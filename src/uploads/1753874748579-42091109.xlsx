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raraja-my.sharepoint.com/personal/mn10_amararaja_com/Documents/Downloads/"/>
    </mc:Choice>
  </mc:AlternateContent>
  <xr:revisionPtr revIDLastSave="0" documentId="8_{87A254FF-9681-42D5-9532-0A39E48E80AD}" xr6:coauthVersionLast="47" xr6:coauthVersionMax="47" xr10:uidLastSave="{00000000-0000-0000-0000-000000000000}"/>
  <bookViews>
    <workbookView xWindow="-110" yWindow="-110" windowWidth="19420" windowHeight="10300" tabRatio="865" xr2:uid="{885A4D7C-356D-44FF-B3CE-730EC0C96E04}"/>
  </bookViews>
  <sheets>
    <sheet name="Construction DASHBOARD" sheetId="8" r:id="rId1"/>
    <sheet name="Sheet1" sheetId="18" state="hidden" r:id="rId2"/>
    <sheet name="Preliminary Activity" sheetId="14" r:id="rId3"/>
    <sheet name="Manpower" sheetId="10" state="hidden" r:id="rId4"/>
    <sheet name="Machinery" sheetId="12" state="hidden" r:id="rId5"/>
    <sheet name="Ordering" sheetId="15" r:id="rId6"/>
    <sheet name="MDL (2)" sheetId="23" r:id="rId7"/>
    <sheet name="Construction Status" sheetId="11" r:id="rId8"/>
    <sheet name="MDL" sheetId="21" state="hidden" r:id="rId9"/>
    <sheet name="Engineering &amp; Delivery" sheetId="16" state="hidden" r:id="rId10"/>
    <sheet name="Hinderance Register" sheetId="13" state="hidden" r:id="rId11"/>
    <sheet name="Construction Status (2)" sheetId="17" state="hidden" r:id="rId12"/>
  </sheets>
  <externalReferences>
    <externalReference r:id="rId13"/>
    <externalReference r:id="rId14"/>
  </externalReferences>
  <definedNames>
    <definedName name="_xlnm._FilterDatabase" localSheetId="7" hidden="1">'Construction Status'!$B$1:$BN$120</definedName>
    <definedName name="_xlnm._FilterDatabase" localSheetId="11" hidden="1">'Construction Status (2)'!$B$1:$BL$156</definedName>
    <definedName name="_xlnm._FilterDatabase" localSheetId="8" hidden="1">MDL!$A$2:$AB$206</definedName>
    <definedName name="_xlnm._FilterDatabase" localSheetId="6" hidden="1">'MDL (2)'!$A$2:$U$219</definedName>
    <definedName name="_xlnm.Print_Area" localSheetId="0">'Construction DASHBOARD'!$A$1:$L$59</definedName>
    <definedName name="_xlnm.Print_Titles" localSheetId="0">'Construction DASHBOARD'!$8:$8</definedName>
    <definedName name="projectStatus" localSheetId="10">#REF!</definedName>
    <definedName name="project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8" l="1"/>
  <c r="K6" i="8"/>
  <c r="A26" i="14" l="1"/>
  <c r="L7" i="8"/>
  <c r="DU3" i="11"/>
  <c r="DV3" i="11"/>
  <c r="DW3" i="11"/>
  <c r="DX3" i="11"/>
  <c r="DY3" i="11"/>
  <c r="DZ3" i="11"/>
  <c r="EA3" i="11"/>
  <c r="EB3" i="11"/>
  <c r="EC3" i="11"/>
  <c r="ED3" i="11"/>
  <c r="EE3" i="11"/>
  <c r="EF3" i="11"/>
  <c r="EG3" i="11"/>
  <c r="EH3" i="11"/>
  <c r="EI3" i="11"/>
  <c r="EJ3" i="11"/>
  <c r="EK3" i="11"/>
  <c r="DK3" i="11"/>
  <c r="DL3" i="11"/>
  <c r="DM3" i="11"/>
  <c r="DN3" i="11"/>
  <c r="DO3" i="11"/>
  <c r="DP3" i="11"/>
  <c r="DQ3" i="11"/>
  <c r="DR3" i="11"/>
  <c r="DS3" i="11"/>
  <c r="DT3" i="11"/>
  <c r="DG3" i="11"/>
  <c r="DH3" i="11"/>
  <c r="DI3" i="11"/>
  <c r="DJ3" i="11"/>
  <c r="G28" i="11" l="1"/>
  <c r="H28" i="11"/>
  <c r="I28" i="11"/>
  <c r="N28" i="11"/>
  <c r="O28" i="11" s="1"/>
  <c r="G29" i="11"/>
  <c r="H29" i="11"/>
  <c r="I29" i="11"/>
  <c r="N29" i="11"/>
  <c r="O29" i="11" s="1"/>
  <c r="G30" i="11"/>
  <c r="H30" i="11"/>
  <c r="I30" i="11"/>
  <c r="N30" i="11"/>
  <c r="O30" i="11" s="1"/>
  <c r="G31" i="11"/>
  <c r="H31" i="11"/>
  <c r="I31" i="11"/>
  <c r="N31" i="11"/>
  <c r="O31" i="11" s="1"/>
  <c r="G32" i="11"/>
  <c r="H32" i="11"/>
  <c r="I32" i="11"/>
  <c r="N32" i="11"/>
  <c r="O32" i="11" s="1"/>
  <c r="G33" i="11"/>
  <c r="H33" i="11"/>
  <c r="I33" i="11"/>
  <c r="N33" i="11"/>
  <c r="O33" i="11" s="1"/>
  <c r="G34" i="11"/>
  <c r="I34" i="11" s="1"/>
  <c r="N34" i="11"/>
  <c r="O34" i="11" s="1"/>
  <c r="G35" i="11"/>
  <c r="N35" i="11"/>
  <c r="O35" i="11" s="1"/>
  <c r="A20" i="14"/>
  <c r="A21" i="14"/>
  <c r="A22" i="14"/>
  <c r="A23" i="14"/>
  <c r="A24" i="14"/>
  <c r="A25" i="14"/>
  <c r="A19" i="14"/>
  <c r="I19" i="8"/>
  <c r="I18" i="8"/>
  <c r="I17" i="8"/>
  <c r="I16" i="8"/>
  <c r="I15" i="8"/>
  <c r="I14" i="8"/>
  <c r="I12" i="8"/>
  <c r="I11" i="8"/>
  <c r="K19" i="8" a="1"/>
  <c r="K19" i="8" s="1"/>
  <c r="K18" i="8" a="1"/>
  <c r="K18" i="8" s="1"/>
  <c r="K17" i="8" a="1"/>
  <c r="K17" i="8" s="1"/>
  <c r="K16" i="8" a="1"/>
  <c r="K16" i="8" s="1"/>
  <c r="K15" i="8" a="1"/>
  <c r="K15" i="8" s="1"/>
  <c r="K14" i="8" a="1"/>
  <c r="K14" i="8" s="1"/>
  <c r="O219" i="23"/>
  <c r="S218" i="23"/>
  <c r="P218" i="23"/>
  <c r="O218" i="23"/>
  <c r="H218" i="23"/>
  <c r="H216" i="23"/>
  <c r="S214" i="23"/>
  <c r="O214" i="23"/>
  <c r="H214" i="23"/>
  <c r="H213" i="23"/>
  <c r="H212" i="23"/>
  <c r="H211" i="23"/>
  <c r="H210" i="23"/>
  <c r="H209" i="23"/>
  <c r="G208" i="23"/>
  <c r="H208" i="23" s="1"/>
  <c r="G207" i="23"/>
  <c r="G206" i="23"/>
  <c r="H206" i="23" s="1"/>
  <c r="G205" i="23"/>
  <c r="H205" i="23" s="1"/>
  <c r="G204" i="23"/>
  <c r="H203" i="23"/>
  <c r="G203" i="23"/>
  <c r="G202" i="23"/>
  <c r="H202" i="23" s="1"/>
  <c r="G201" i="23"/>
  <c r="H201" i="23" s="1"/>
  <c r="G200" i="23"/>
  <c r="G199" i="23"/>
  <c r="H199" i="23" s="1"/>
  <c r="G198" i="23"/>
  <c r="H198" i="23" s="1"/>
  <c r="G197" i="23"/>
  <c r="G196" i="23"/>
  <c r="H196" i="23" s="1"/>
  <c r="G195" i="23"/>
  <c r="H195" i="23" s="1"/>
  <c r="H194" i="23"/>
  <c r="G194" i="23"/>
  <c r="G193" i="23"/>
  <c r="H193" i="23" s="1"/>
  <c r="H192" i="23"/>
  <c r="G192" i="23"/>
  <c r="S191" i="23"/>
  <c r="H191" i="23"/>
  <c r="G191" i="23"/>
  <c r="H190" i="23"/>
  <c r="G190" i="23"/>
  <c r="H189" i="23"/>
  <c r="G189" i="23"/>
  <c r="S187" i="23"/>
  <c r="O187" i="23"/>
  <c r="H186" i="23"/>
  <c r="G185" i="23"/>
  <c r="H185" i="23" s="1"/>
  <c r="G184" i="23"/>
  <c r="A184" i="23"/>
  <c r="A185" i="23" s="1"/>
  <c r="A186" i="23" s="1"/>
  <c r="A187" i="23" s="1"/>
  <c r="A189" i="23" s="1"/>
  <c r="A190" i="23" s="1"/>
  <c r="A191" i="23" s="1"/>
  <c r="A192" i="23" s="1"/>
  <c r="A193" i="23" s="1"/>
  <c r="A194" i="23" s="1"/>
  <c r="A195" i="23" s="1"/>
  <c r="A196" i="23" s="1"/>
  <c r="A197" i="23" s="1"/>
  <c r="A198" i="23" s="1"/>
  <c r="A199" i="23" s="1"/>
  <c r="A200" i="23" s="1"/>
  <c r="A201" i="23" s="1"/>
  <c r="A202" i="23" s="1"/>
  <c r="A203" i="23" s="1"/>
  <c r="A204" i="23" s="1"/>
  <c r="A205" i="23" s="1"/>
  <c r="A206" i="23" s="1"/>
  <c r="A207" i="23" s="1"/>
  <c r="A208" i="23" s="1"/>
  <c r="A209" i="23" s="1"/>
  <c r="A211" i="23" s="1"/>
  <c r="A212" i="23" s="1"/>
  <c r="A213" i="23" s="1"/>
  <c r="G183" i="23"/>
  <c r="G182" i="23"/>
  <c r="G181" i="23"/>
  <c r="H180" i="23"/>
  <c r="G180" i="23"/>
  <c r="H179" i="23"/>
  <c r="G178" i="23"/>
  <c r="H178" i="23" s="1"/>
  <c r="G177" i="23"/>
  <c r="H177" i="23" s="1"/>
  <c r="G176" i="23"/>
  <c r="G175" i="23"/>
  <c r="H175" i="23" s="1"/>
  <c r="G174" i="23"/>
  <c r="H174" i="23" s="1"/>
  <c r="H173" i="23"/>
  <c r="G173" i="23"/>
  <c r="G172" i="23"/>
  <c r="H172" i="23" s="1"/>
  <c r="G171" i="23"/>
  <c r="G170" i="23"/>
  <c r="H170" i="23" s="1"/>
  <c r="G169" i="23"/>
  <c r="H169" i="23" s="1"/>
  <c r="G168" i="23"/>
  <c r="H168" i="23" s="1"/>
  <c r="G167" i="23"/>
  <c r="H166" i="23"/>
  <c r="G166" i="23"/>
  <c r="G165" i="23"/>
  <c r="H165" i="23" s="1"/>
  <c r="G164" i="23"/>
  <c r="H164" i="23" s="1"/>
  <c r="G162" i="23"/>
  <c r="H162" i="23" s="1"/>
  <c r="G161" i="23"/>
  <c r="H161" i="23" s="1"/>
  <c r="H155" i="23"/>
  <c r="S154" i="23"/>
  <c r="H154" i="23"/>
  <c r="H153" i="23"/>
  <c r="O151" i="23"/>
  <c r="P150" i="23"/>
  <c r="O150" i="23"/>
  <c r="S149" i="23"/>
  <c r="P149" i="23"/>
  <c r="O149" i="23"/>
  <c r="H149" i="23"/>
  <c r="O148" i="23"/>
  <c r="P147" i="23"/>
  <c r="O147" i="23"/>
  <c r="S146" i="23"/>
  <c r="P146" i="23"/>
  <c r="O146" i="23"/>
  <c r="H146" i="23"/>
  <c r="H145" i="23"/>
  <c r="S142" i="23"/>
  <c r="Q142" i="23"/>
  <c r="H142" i="23"/>
  <c r="J139" i="23"/>
  <c r="J138" i="23"/>
  <c r="S135" i="23"/>
  <c r="P135" i="23"/>
  <c r="O135" i="23"/>
  <c r="H135" i="23"/>
  <c r="O134" i="23"/>
  <c r="U133" i="23"/>
  <c r="P133" i="23"/>
  <c r="O133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14" i="23"/>
  <c r="S111" i="23"/>
  <c r="O111" i="23"/>
  <c r="H111" i="23"/>
  <c r="H110" i="23"/>
  <c r="H109" i="23"/>
  <c r="H108" i="23"/>
  <c r="H107" i="23"/>
  <c r="O105" i="23"/>
  <c r="S104" i="23"/>
  <c r="P104" i="23"/>
  <c r="O104" i="23"/>
  <c r="H104" i="23"/>
  <c r="S103" i="23"/>
  <c r="H103" i="23"/>
  <c r="S101" i="23"/>
  <c r="P101" i="23"/>
  <c r="O101" i="23"/>
  <c r="H101" i="23"/>
  <c r="P99" i="23"/>
  <c r="O99" i="23"/>
  <c r="P98" i="23"/>
  <c r="O98" i="23"/>
  <c r="S97" i="23"/>
  <c r="P97" i="23"/>
  <c r="O97" i="23"/>
  <c r="H97" i="23"/>
  <c r="H96" i="23"/>
  <c r="H93" i="23"/>
  <c r="H89" i="23"/>
  <c r="H84" i="23"/>
  <c r="O71" i="23"/>
  <c r="P70" i="23"/>
  <c r="O70" i="23"/>
  <c r="U69" i="23"/>
  <c r="S69" i="23"/>
  <c r="R69" i="23"/>
  <c r="Q69" i="23"/>
  <c r="P69" i="23"/>
  <c r="O69" i="23"/>
  <c r="H69" i="23"/>
  <c r="S67" i="23"/>
  <c r="P67" i="23"/>
  <c r="O67" i="23"/>
  <c r="H67" i="23"/>
  <c r="H55" i="23"/>
  <c r="H54" i="23"/>
  <c r="H53" i="23"/>
  <c r="H52" i="23"/>
  <c r="H51" i="23"/>
  <c r="H50" i="23"/>
  <c r="H49" i="23"/>
  <c r="H48" i="23"/>
  <c r="S44" i="23"/>
  <c r="P44" i="23"/>
  <c r="O44" i="23"/>
  <c r="H44" i="23"/>
  <c r="S42" i="23"/>
  <c r="H42" i="23"/>
  <c r="O40" i="23"/>
  <c r="P39" i="23"/>
  <c r="O39" i="23"/>
  <c r="S38" i="23"/>
  <c r="Q38" i="23"/>
  <c r="P38" i="23"/>
  <c r="O38" i="23"/>
  <c r="H38" i="23"/>
  <c r="O37" i="23"/>
  <c r="S36" i="23"/>
  <c r="P36" i="23"/>
  <c r="O36" i="23"/>
  <c r="H36" i="23"/>
  <c r="S35" i="23"/>
  <c r="H35" i="23"/>
  <c r="O34" i="23"/>
  <c r="O33" i="23"/>
  <c r="P32" i="23"/>
  <c r="O32" i="23"/>
  <c r="P31" i="23"/>
  <c r="O31" i="23"/>
  <c r="U30" i="23"/>
  <c r="S30" i="23"/>
  <c r="Q30" i="23"/>
  <c r="P30" i="23"/>
  <c r="O30" i="23"/>
  <c r="H30" i="23"/>
  <c r="S29" i="23"/>
  <c r="H29" i="23"/>
  <c r="S28" i="23"/>
  <c r="H28" i="23"/>
  <c r="O27" i="23"/>
  <c r="P26" i="23"/>
  <c r="O26" i="23"/>
  <c r="S25" i="23"/>
  <c r="P25" i="23"/>
  <c r="O25" i="23"/>
  <c r="H25" i="23"/>
  <c r="O21" i="23"/>
  <c r="P20" i="23"/>
  <c r="O20" i="23"/>
  <c r="U19" i="23"/>
  <c r="S19" i="23"/>
  <c r="Q19" i="23"/>
  <c r="P19" i="23"/>
  <c r="O19" i="23"/>
  <c r="H19" i="23"/>
  <c r="S18" i="23"/>
  <c r="O18" i="23"/>
  <c r="S14" i="23"/>
  <c r="P14" i="23"/>
  <c r="O14" i="23"/>
  <c r="S13" i="23"/>
  <c r="S10" i="23"/>
  <c r="Q10" i="23"/>
  <c r="O10" i="23"/>
  <c r="O8" i="23"/>
  <c r="U7" i="23"/>
  <c r="S7" i="23"/>
  <c r="R7" i="23"/>
  <c r="Q7" i="23"/>
  <c r="P7" i="23"/>
  <c r="O7" i="23"/>
  <c r="P5" i="23"/>
  <c r="O5" i="23"/>
  <c r="P4" i="23"/>
  <c r="O4" i="23"/>
  <c r="U1" i="23"/>
  <c r="U142" i="23" s="1"/>
  <c r="O1" i="23"/>
  <c r="P219" i="23" s="1"/>
  <c r="U16" i="23" l="1"/>
  <c r="O16" i="23"/>
  <c r="U28" i="23"/>
  <c r="O15" i="23"/>
  <c r="U149" i="23"/>
  <c r="U111" i="23"/>
  <c r="O42" i="23"/>
  <c r="O130" i="23"/>
  <c r="U104" i="23"/>
  <c r="U130" i="23"/>
  <c r="O28" i="23"/>
  <c r="O145" i="23"/>
  <c r="U145" i="23"/>
  <c r="O114" i="23"/>
  <c r="U114" i="23"/>
  <c r="U14" i="23"/>
  <c r="U187" i="23"/>
  <c r="P187" i="23"/>
  <c r="U214" i="23"/>
  <c r="U135" i="23"/>
  <c r="O68" i="23"/>
  <c r="O137" i="23"/>
  <c r="P214" i="23"/>
  <c r="O35" i="23"/>
  <c r="U35" i="23"/>
  <c r="U101" i="23"/>
  <c r="U154" i="23"/>
  <c r="O102" i="23"/>
  <c r="O189" i="23"/>
  <c r="U189" i="23"/>
  <c r="O29" i="23"/>
  <c r="O142" i="23"/>
  <c r="U103" i="23"/>
  <c r="U218" i="23"/>
  <c r="U29" i="23"/>
  <c r="P111" i="23"/>
  <c r="O154" i="23"/>
  <c r="O103" i="23"/>
  <c r="U146" i="23"/>
  <c r="U18" i="23"/>
  <c r="U13" i="23"/>
  <c r="U25" i="23"/>
  <c r="U67" i="23"/>
  <c r="O100" i="23"/>
  <c r="P148" i="23"/>
  <c r="H13" i="11" l="1"/>
  <c r="I11" i="11"/>
  <c r="O205" i="21" l="1"/>
  <c r="H205" i="21"/>
  <c r="H204" i="21"/>
  <c r="H203" i="21"/>
  <c r="O201" i="21"/>
  <c r="H201" i="21"/>
  <c r="G200" i="21"/>
  <c r="H200" i="21" s="1"/>
  <c r="G199" i="21"/>
  <c r="H199" i="21" s="1"/>
  <c r="G198" i="21"/>
  <c r="H198" i="21" s="1"/>
  <c r="G197" i="21"/>
  <c r="H197" i="21" s="1"/>
  <c r="G196" i="21"/>
  <c r="G195" i="21"/>
  <c r="H195" i="21" s="1"/>
  <c r="G194" i="21"/>
  <c r="H194" i="21" s="1"/>
  <c r="G193" i="21"/>
  <c r="H193" i="21" s="1"/>
  <c r="G192" i="21"/>
  <c r="H192" i="21" s="1"/>
  <c r="G191" i="21"/>
  <c r="H191" i="21" s="1"/>
  <c r="G190" i="21"/>
  <c r="H190" i="21" s="1"/>
  <c r="G189" i="21"/>
  <c r="H189" i="21" s="1"/>
  <c r="G188" i="21"/>
  <c r="H188" i="21" s="1"/>
  <c r="G187" i="21"/>
  <c r="H187" i="21" s="1"/>
  <c r="G186" i="21"/>
  <c r="H186" i="21" s="1"/>
  <c r="G185" i="21"/>
  <c r="H185" i="21" s="1"/>
  <c r="G184" i="21"/>
  <c r="H184" i="21" s="1"/>
  <c r="G183" i="21"/>
  <c r="H183" i="21" s="1"/>
  <c r="G182" i="21"/>
  <c r="H182" i="21" s="1"/>
  <c r="G181" i="21"/>
  <c r="H181" i="21" s="1"/>
  <c r="G180" i="21"/>
  <c r="H180" i="21" s="1"/>
  <c r="G179" i="21"/>
  <c r="G178" i="21"/>
  <c r="H177" i="21"/>
  <c r="G177" i="21"/>
  <c r="H176" i="21"/>
  <c r="G176" i="21"/>
  <c r="A176" i="21"/>
  <c r="A177" i="21" s="1"/>
  <c r="A178" i="21" s="1"/>
  <c r="A179" i="21" s="1"/>
  <c r="A180" i="21" s="1"/>
  <c r="A181" i="21" s="1"/>
  <c r="A182" i="21" s="1"/>
  <c r="A183" i="21" s="1"/>
  <c r="A184" i="21" s="1"/>
  <c r="A185" i="21" s="1"/>
  <c r="A186" i="21" s="1"/>
  <c r="A187" i="21" s="1"/>
  <c r="A188" i="21" s="1"/>
  <c r="A189" i="21" s="1"/>
  <c r="A190" i="21" s="1"/>
  <c r="A191" i="21" s="1"/>
  <c r="A192" i="21" s="1"/>
  <c r="A193" i="21" s="1"/>
  <c r="A194" i="21" s="1"/>
  <c r="A195" i="21" s="1"/>
  <c r="A196" i="21" s="1"/>
  <c r="A198" i="21" s="1"/>
  <c r="A199" i="21" s="1"/>
  <c r="A200" i="21" s="1"/>
  <c r="S175" i="21"/>
  <c r="O175" i="21"/>
  <c r="H175" i="21"/>
  <c r="H174" i="21"/>
  <c r="G173" i="21"/>
  <c r="H173" i="21" s="1"/>
  <c r="A173" i="21"/>
  <c r="A174" i="21" s="1"/>
  <c r="A175" i="21" s="1"/>
  <c r="G172" i="21"/>
  <c r="H172" i="21" s="1"/>
  <c r="A172" i="21"/>
  <c r="G171" i="21"/>
  <c r="H171" i="21" s="1"/>
  <c r="G170" i="21"/>
  <c r="H170" i="21" s="1"/>
  <c r="G169" i="21"/>
  <c r="H169" i="21" s="1"/>
  <c r="G168" i="21"/>
  <c r="H168" i="21" s="1"/>
  <c r="H167" i="21"/>
  <c r="G166" i="21"/>
  <c r="H166" i="21" s="1"/>
  <c r="G165" i="21"/>
  <c r="H165" i="21" s="1"/>
  <c r="G164" i="21"/>
  <c r="H164" i="21" s="1"/>
  <c r="G163" i="21"/>
  <c r="H163" i="21" s="1"/>
  <c r="G162" i="21"/>
  <c r="H162" i="21" s="1"/>
  <c r="G161" i="21"/>
  <c r="H161" i="21" s="1"/>
  <c r="G160" i="21"/>
  <c r="H160" i="21" s="1"/>
  <c r="G159" i="21"/>
  <c r="H159" i="21" s="1"/>
  <c r="G158" i="21"/>
  <c r="H158" i="21" s="1"/>
  <c r="G157" i="21"/>
  <c r="H157" i="21" s="1"/>
  <c r="G156" i="21"/>
  <c r="H156" i="21" s="1"/>
  <c r="G155" i="21"/>
  <c r="H155" i="21" s="1"/>
  <c r="G154" i="21"/>
  <c r="H154" i="21" s="1"/>
  <c r="G153" i="21"/>
  <c r="H153" i="21" s="1"/>
  <c r="G152" i="21"/>
  <c r="H152" i="21" s="1"/>
  <c r="G150" i="21"/>
  <c r="H150" i="21" s="1"/>
  <c r="G149" i="21"/>
  <c r="H149" i="21" s="1"/>
  <c r="H146" i="21"/>
  <c r="H179" i="21" s="1"/>
  <c r="H145" i="21"/>
  <c r="H178" i="21" s="1"/>
  <c r="H143" i="21"/>
  <c r="H142" i="21"/>
  <c r="H141" i="21"/>
  <c r="O139" i="21"/>
  <c r="S138" i="21"/>
  <c r="P138" i="21"/>
  <c r="O138" i="21"/>
  <c r="H138" i="21"/>
  <c r="O137" i="21"/>
  <c r="S136" i="21"/>
  <c r="P136" i="21"/>
  <c r="O136" i="21"/>
  <c r="H136" i="21"/>
  <c r="H135" i="21"/>
  <c r="S133" i="21"/>
  <c r="Q133" i="21"/>
  <c r="H133" i="21"/>
  <c r="H132" i="21"/>
  <c r="H131" i="21"/>
  <c r="J130" i="21"/>
  <c r="J129" i="21"/>
  <c r="S127" i="21"/>
  <c r="P127" i="21"/>
  <c r="O127" i="21"/>
  <c r="H127" i="21"/>
  <c r="O126" i="21"/>
  <c r="U125" i="21"/>
  <c r="P125" i="21"/>
  <c r="O125" i="21"/>
  <c r="H125" i="21"/>
  <c r="H124" i="21"/>
  <c r="H123" i="21"/>
  <c r="H122" i="21"/>
  <c r="H121" i="21"/>
  <c r="H120" i="21"/>
  <c r="H119" i="21"/>
  <c r="H118" i="21"/>
  <c r="H117" i="21"/>
  <c r="H116" i="21"/>
  <c r="H115" i="21"/>
  <c r="H114" i="21"/>
  <c r="H113" i="21"/>
  <c r="H112" i="21"/>
  <c r="H111" i="21"/>
  <c r="H109" i="21"/>
  <c r="H108" i="21"/>
  <c r="H107" i="21"/>
  <c r="H106" i="21"/>
  <c r="S105" i="21"/>
  <c r="O105" i="21"/>
  <c r="H105" i="21"/>
  <c r="H104" i="21"/>
  <c r="H103" i="21"/>
  <c r="H102" i="21"/>
  <c r="H101" i="21"/>
  <c r="S99" i="21"/>
  <c r="P99" i="21"/>
  <c r="O99" i="21"/>
  <c r="H99" i="21"/>
  <c r="H98" i="21"/>
  <c r="S96" i="21"/>
  <c r="P96" i="21"/>
  <c r="O96" i="21"/>
  <c r="H96" i="21"/>
  <c r="P94" i="21"/>
  <c r="O94" i="21"/>
  <c r="P93" i="21"/>
  <c r="O93" i="21"/>
  <c r="S92" i="21"/>
  <c r="P92" i="21"/>
  <c r="O92" i="21"/>
  <c r="H92" i="21"/>
  <c r="H91" i="21"/>
  <c r="H88" i="21"/>
  <c r="H84" i="21"/>
  <c r="H79" i="21"/>
  <c r="H67" i="21"/>
  <c r="O66" i="21"/>
  <c r="P65" i="21"/>
  <c r="O65" i="21"/>
  <c r="U64" i="21"/>
  <c r="S64" i="21"/>
  <c r="R64" i="21"/>
  <c r="Q64" i="21"/>
  <c r="P64" i="21"/>
  <c r="O64" i="21"/>
  <c r="H64" i="21"/>
  <c r="S62" i="21"/>
  <c r="P62" i="21"/>
  <c r="O62" i="21"/>
  <c r="H62" i="21"/>
  <c r="H59" i="21"/>
  <c r="H50" i="21"/>
  <c r="H49" i="21"/>
  <c r="H48" i="21"/>
  <c r="H47" i="21"/>
  <c r="H46" i="21"/>
  <c r="H45" i="21"/>
  <c r="H44" i="21"/>
  <c r="H43" i="21"/>
  <c r="S41" i="21"/>
  <c r="P41" i="21"/>
  <c r="O41" i="21"/>
  <c r="H41" i="21"/>
  <c r="S39" i="21"/>
  <c r="H39" i="21"/>
  <c r="O38" i="21"/>
  <c r="P37" i="21"/>
  <c r="O37" i="21"/>
  <c r="S36" i="21"/>
  <c r="Q36" i="21"/>
  <c r="P36" i="21"/>
  <c r="O36" i="21"/>
  <c r="H36" i="21"/>
  <c r="O35" i="21"/>
  <c r="S34" i="21"/>
  <c r="P34" i="21"/>
  <c r="O34" i="21"/>
  <c r="H34" i="21"/>
  <c r="S33" i="21"/>
  <c r="H33" i="21"/>
  <c r="O32" i="21"/>
  <c r="P31" i="21"/>
  <c r="O31" i="21"/>
  <c r="P30" i="21"/>
  <c r="O30" i="21"/>
  <c r="U29" i="21"/>
  <c r="S29" i="21"/>
  <c r="Q29" i="21"/>
  <c r="P29" i="21"/>
  <c r="O29" i="21"/>
  <c r="H29" i="21"/>
  <c r="H28" i="21"/>
  <c r="S27" i="21"/>
  <c r="H27" i="21"/>
  <c r="O26" i="21"/>
  <c r="P25" i="21"/>
  <c r="O25" i="21"/>
  <c r="S24" i="21"/>
  <c r="P24" i="21"/>
  <c r="O24" i="21"/>
  <c r="H24" i="21"/>
  <c r="O20" i="21"/>
  <c r="P19" i="21"/>
  <c r="O19" i="21"/>
  <c r="U18" i="21"/>
  <c r="S18" i="21"/>
  <c r="Q18" i="21"/>
  <c r="P18" i="21"/>
  <c r="O18" i="21"/>
  <c r="H18" i="21"/>
  <c r="S17" i="21"/>
  <c r="O17" i="21"/>
  <c r="S13" i="21"/>
  <c r="P13" i="21"/>
  <c r="O13" i="21"/>
  <c r="S10" i="21"/>
  <c r="Q10" i="21"/>
  <c r="O10" i="21"/>
  <c r="O8" i="21"/>
  <c r="U7" i="21"/>
  <c r="S7" i="21"/>
  <c r="R7" i="21"/>
  <c r="Q7" i="21"/>
  <c r="P7" i="21"/>
  <c r="O7" i="21"/>
  <c r="P5" i="21"/>
  <c r="O5" i="21"/>
  <c r="P4" i="21"/>
  <c r="O4" i="21"/>
  <c r="U1" i="21"/>
  <c r="U175" i="21" s="1"/>
  <c r="O1" i="21"/>
  <c r="O15" i="21" s="1"/>
  <c r="U133" i="21" l="1"/>
  <c r="O28" i="21"/>
  <c r="O97" i="21"/>
  <c r="O122" i="21"/>
  <c r="P137" i="21"/>
  <c r="U27" i="21"/>
  <c r="U15" i="21"/>
  <c r="U96" i="21"/>
  <c r="P205" i="21"/>
  <c r="O133" i="21"/>
  <c r="O100" i="21"/>
  <c r="O39" i="21"/>
  <c r="O27" i="21"/>
  <c r="O14" i="21"/>
  <c r="O142" i="21"/>
  <c r="O106" i="21"/>
  <c r="P175" i="21"/>
  <c r="O95" i="21"/>
  <c r="O63" i="21"/>
  <c r="P139" i="21"/>
  <c r="P105" i="21"/>
  <c r="P201" i="21"/>
  <c r="O128" i="21"/>
  <c r="O42" i="21"/>
  <c r="O33" i="21"/>
  <c r="O135" i="21"/>
  <c r="O98" i="21"/>
  <c r="O176" i="21"/>
  <c r="U17" i="21"/>
  <c r="U28" i="21"/>
  <c r="U122" i="21"/>
  <c r="U127" i="21"/>
  <c r="U176" i="21"/>
  <c r="U98" i="21"/>
  <c r="U135" i="21"/>
  <c r="U138" i="21"/>
  <c r="U24" i="21"/>
  <c r="U36" i="21"/>
  <c r="U201" i="21"/>
  <c r="U33" i="21"/>
  <c r="U62" i="21"/>
  <c r="U105" i="21"/>
  <c r="U13" i="21"/>
  <c r="U99" i="21"/>
  <c r="U136" i="21"/>
  <c r="U106" i="21"/>
  <c r="U142" i="21"/>
  <c r="T120" i="11" l="1"/>
  <c r="T119" i="11"/>
  <c r="T118" i="11"/>
  <c r="T117" i="11"/>
  <c r="T116" i="11"/>
  <c r="T115" i="11"/>
  <c r="T114" i="11"/>
  <c r="T113" i="11"/>
  <c r="T112" i="11"/>
  <c r="T111" i="11"/>
  <c r="T110" i="11"/>
  <c r="T109" i="11"/>
  <c r="T108" i="11"/>
  <c r="T107" i="11"/>
  <c r="T106" i="11"/>
  <c r="T105" i="11"/>
  <c r="T104" i="11"/>
  <c r="T103" i="11"/>
  <c r="T102" i="11"/>
  <c r="T101" i="11"/>
  <c r="T100" i="11"/>
  <c r="T99" i="11"/>
  <c r="T98" i="11"/>
  <c r="T97" i="11"/>
  <c r="T96" i="11"/>
  <c r="T95" i="11"/>
  <c r="T94" i="11"/>
  <c r="T93" i="11"/>
  <c r="T92" i="11"/>
  <c r="T91" i="11"/>
  <c r="T90" i="11"/>
  <c r="T89" i="11"/>
  <c r="T88" i="11"/>
  <c r="T87" i="11"/>
  <c r="T86" i="11"/>
  <c r="T85" i="11"/>
  <c r="T84" i="11"/>
  <c r="T83" i="11"/>
  <c r="T82" i="11"/>
  <c r="T81" i="11"/>
  <c r="T80" i="11"/>
  <c r="T79" i="11"/>
  <c r="T78" i="11"/>
  <c r="T77" i="11"/>
  <c r="T76" i="11"/>
  <c r="T75" i="11"/>
  <c r="T74" i="11"/>
  <c r="T73" i="11"/>
  <c r="T72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T12" i="11"/>
  <c r="T11" i="11"/>
  <c r="T10" i="11"/>
  <c r="T9" i="11"/>
  <c r="T8" i="11"/>
  <c r="T7" i="11"/>
  <c r="T6" i="11"/>
  <c r="T5" i="11"/>
  <c r="T4" i="11"/>
  <c r="L19" i="8" a="1"/>
  <c r="L19" i="8" s="1"/>
  <c r="L18" i="8" a="1"/>
  <c r="L18" i="8" s="1"/>
  <c r="L17" i="8" a="1"/>
  <c r="L17" i="8" s="1"/>
  <c r="L16" i="8" a="1"/>
  <c r="L16" i="8" s="1"/>
  <c r="L15" i="8" a="1"/>
  <c r="L15" i="8" s="1"/>
  <c r="L14" i="8" a="1"/>
  <c r="L14" i="8" s="1"/>
  <c r="L12" i="8" a="1"/>
  <c r="L12" i="8" s="1"/>
  <c r="L11" i="8" a="1"/>
  <c r="L11" i="8" s="1"/>
  <c r="CD3" i="11"/>
  <c r="CE3" i="11"/>
  <c r="CF3" i="11"/>
  <c r="CG3" i="11"/>
  <c r="CH3" i="11"/>
  <c r="CI3" i="11"/>
  <c r="CJ3" i="11"/>
  <c r="CK3" i="11"/>
  <c r="CL3" i="11"/>
  <c r="CM3" i="11"/>
  <c r="CN3" i="11"/>
  <c r="CO3" i="11"/>
  <c r="CP3" i="11"/>
  <c r="CQ3" i="11"/>
  <c r="CR3" i="11"/>
  <c r="CS3" i="11"/>
  <c r="CT3" i="11"/>
  <c r="CU3" i="11"/>
  <c r="CV3" i="11"/>
  <c r="CW3" i="11"/>
  <c r="CX3" i="11"/>
  <c r="CY3" i="11"/>
  <c r="CZ3" i="11"/>
  <c r="DA3" i="11"/>
  <c r="DB3" i="11"/>
  <c r="DC3" i="11"/>
  <c r="DD3" i="11"/>
  <c r="DE3" i="11"/>
  <c r="DF3" i="11"/>
  <c r="G120" i="11" l="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88" i="11"/>
  <c r="G87" i="11"/>
  <c r="G86" i="11"/>
  <c r="G85" i="11"/>
  <c r="G84" i="11"/>
  <c r="G83" i="11"/>
  <c r="G79" i="11"/>
  <c r="G76" i="11"/>
  <c r="G73" i="11"/>
  <c r="G71" i="11"/>
  <c r="I88" i="11"/>
  <c r="H88" i="11"/>
  <c r="I87" i="11"/>
  <c r="H87" i="11"/>
  <c r="I86" i="11"/>
  <c r="H86" i="11"/>
  <c r="I85" i="11"/>
  <c r="H85" i="11"/>
  <c r="I84" i="11"/>
  <c r="H84" i="11"/>
  <c r="I83" i="11"/>
  <c r="H83" i="11"/>
  <c r="H82" i="11"/>
  <c r="I79" i="11"/>
  <c r="H79" i="11"/>
  <c r="I77" i="11"/>
  <c r="I76" i="11"/>
  <c r="H76" i="11"/>
  <c r="H74" i="11"/>
  <c r="I73" i="11"/>
  <c r="H73" i="11"/>
  <c r="I71" i="11"/>
  <c r="H71" i="11"/>
  <c r="E89" i="11"/>
  <c r="E90" i="11" s="1"/>
  <c r="F80" i="11"/>
  <c r="E80" i="11"/>
  <c r="H80" i="11" s="1"/>
  <c r="F78" i="11"/>
  <c r="I78" i="11" s="1"/>
  <c r="E77" i="11"/>
  <c r="G77" i="11" s="1"/>
  <c r="E75" i="11"/>
  <c r="H75" i="11" s="1"/>
  <c r="F74" i="11"/>
  <c r="F75" i="11" s="1"/>
  <c r="F69" i="11"/>
  <c r="E70" i="11" s="1"/>
  <c r="F68" i="11"/>
  <c r="G68" i="11" s="1"/>
  <c r="H69" i="11"/>
  <c r="H68" i="11"/>
  <c r="G67" i="11"/>
  <c r="I67" i="11"/>
  <c r="H67" i="11"/>
  <c r="G66" i="11"/>
  <c r="I66" i="11"/>
  <c r="H66" i="11"/>
  <c r="G65" i="11"/>
  <c r="I65" i="11"/>
  <c r="H65" i="11"/>
  <c r="G64" i="11"/>
  <c r="I64" i="11"/>
  <c r="H64" i="11"/>
  <c r="G63" i="11"/>
  <c r="G62" i="11"/>
  <c r="I63" i="11"/>
  <c r="H63" i="11"/>
  <c r="I62" i="11"/>
  <c r="H62" i="11"/>
  <c r="G61" i="11"/>
  <c r="I61" i="11"/>
  <c r="H61" i="11"/>
  <c r="G60" i="11"/>
  <c r="I60" i="11"/>
  <c r="H60" i="11"/>
  <c r="G59" i="11"/>
  <c r="I59" i="11"/>
  <c r="H59" i="11"/>
  <c r="I58" i="11"/>
  <c r="H58" i="11"/>
  <c r="I57" i="11"/>
  <c r="H57" i="11"/>
  <c r="I56" i="11"/>
  <c r="H56" i="11"/>
  <c r="I55" i="11"/>
  <c r="H55" i="11"/>
  <c r="I54" i="11"/>
  <c r="H54" i="11"/>
  <c r="I53" i="11"/>
  <c r="H53" i="11"/>
  <c r="I52" i="11"/>
  <c r="H52" i="11"/>
  <c r="I51" i="11"/>
  <c r="H51" i="11"/>
  <c r="I50" i="11"/>
  <c r="H50" i="11"/>
  <c r="I49" i="11"/>
  <c r="I48" i="11"/>
  <c r="H48" i="11"/>
  <c r="I47" i="11"/>
  <c r="H47" i="11"/>
  <c r="I46" i="11"/>
  <c r="I44" i="11"/>
  <c r="H44" i="11"/>
  <c r="I43" i="11"/>
  <c r="H43" i="11"/>
  <c r="I42" i="11"/>
  <c r="H42" i="11"/>
  <c r="I41" i="11"/>
  <c r="H41" i="11"/>
  <c r="I40" i="11"/>
  <c r="H40" i="11"/>
  <c r="I39" i="11"/>
  <c r="H39" i="11"/>
  <c r="I38" i="11"/>
  <c r="H38" i="11"/>
  <c r="I120" i="11"/>
  <c r="H120" i="11"/>
  <c r="I119" i="11"/>
  <c r="H119" i="11"/>
  <c r="I118" i="11"/>
  <c r="H118" i="11"/>
  <c r="I117" i="11"/>
  <c r="H117" i="11"/>
  <c r="I116" i="11"/>
  <c r="H116" i="11"/>
  <c r="I115" i="11"/>
  <c r="H115" i="11"/>
  <c r="I114" i="11"/>
  <c r="H114" i="11"/>
  <c r="I113" i="11"/>
  <c r="H113" i="11"/>
  <c r="I112" i="11"/>
  <c r="H112" i="11"/>
  <c r="I111" i="11"/>
  <c r="H111" i="11"/>
  <c r="I110" i="11"/>
  <c r="H110" i="11"/>
  <c r="I109" i="11"/>
  <c r="H109" i="11"/>
  <c r="I108" i="11"/>
  <c r="H108" i="11"/>
  <c r="I107" i="11"/>
  <c r="H107" i="11"/>
  <c r="I106" i="11"/>
  <c r="H106" i="11"/>
  <c r="I105" i="11"/>
  <c r="H105" i="11"/>
  <c r="I104" i="11"/>
  <c r="H104" i="11"/>
  <c r="I103" i="11"/>
  <c r="H103" i="11"/>
  <c r="I102" i="11"/>
  <c r="H102" i="11"/>
  <c r="I101" i="11"/>
  <c r="H101" i="11"/>
  <c r="I100" i="11"/>
  <c r="H100" i="11"/>
  <c r="I99" i="11"/>
  <c r="H99" i="11"/>
  <c r="I98" i="11"/>
  <c r="H98" i="11"/>
  <c r="I97" i="11"/>
  <c r="H97" i="11"/>
  <c r="I96" i="11"/>
  <c r="H96" i="11"/>
  <c r="I95" i="11"/>
  <c r="H95" i="11"/>
  <c r="I94" i="11"/>
  <c r="H94" i="11"/>
  <c r="I93" i="11"/>
  <c r="H93" i="11"/>
  <c r="I92" i="11"/>
  <c r="H92" i="11"/>
  <c r="G58" i="11"/>
  <c r="G57" i="11"/>
  <c r="G56" i="11"/>
  <c r="G55" i="11"/>
  <c r="G54" i="11"/>
  <c r="G53" i="11"/>
  <c r="G52" i="11"/>
  <c r="G51" i="11"/>
  <c r="G50" i="11"/>
  <c r="G48" i="11"/>
  <c r="G47" i="11"/>
  <c r="G44" i="11"/>
  <c r="G43" i="11"/>
  <c r="G42" i="11"/>
  <c r="E49" i="11"/>
  <c r="H49" i="11" s="1"/>
  <c r="E46" i="11"/>
  <c r="G46" i="11" s="1"/>
  <c r="F45" i="11"/>
  <c r="I45" i="11" s="1"/>
  <c r="E45" i="11"/>
  <c r="H45" i="11" s="1"/>
  <c r="G41" i="11"/>
  <c r="G40" i="11"/>
  <c r="G39" i="11"/>
  <c r="G38" i="11"/>
  <c r="G37" i="11"/>
  <c r="G36" i="11"/>
  <c r="G12" i="11"/>
  <c r="G21" i="11"/>
  <c r="G16" i="11"/>
  <c r="G15" i="11"/>
  <c r="G14" i="11"/>
  <c r="G13" i="11"/>
  <c r="G10" i="11"/>
  <c r="G9" i="11"/>
  <c r="G8" i="11"/>
  <c r="G7" i="11"/>
  <c r="G6" i="11"/>
  <c r="G5" i="11"/>
  <c r="G4" i="11"/>
  <c r="I27" i="11"/>
  <c r="I21" i="11"/>
  <c r="H21" i="11"/>
  <c r="E27" i="11"/>
  <c r="H27" i="11" s="1"/>
  <c r="F22" i="11"/>
  <c r="F23" i="11" s="1"/>
  <c r="F24" i="11" s="1"/>
  <c r="F25" i="11" s="1"/>
  <c r="F26" i="11" s="1"/>
  <c r="I26" i="11" s="1"/>
  <c r="E22" i="11"/>
  <c r="E23" i="11" s="1"/>
  <c r="G69" i="11" l="1"/>
  <c r="H46" i="11"/>
  <c r="G49" i="11"/>
  <c r="I69" i="11"/>
  <c r="G74" i="11"/>
  <c r="H77" i="11"/>
  <c r="G80" i="11"/>
  <c r="E78" i="11"/>
  <c r="H78" i="11" s="1"/>
  <c r="H89" i="11"/>
  <c r="E91" i="11"/>
  <c r="H91" i="11" s="1"/>
  <c r="H90" i="11"/>
  <c r="E72" i="11"/>
  <c r="G75" i="11"/>
  <c r="I75" i="11"/>
  <c r="F70" i="11"/>
  <c r="H70" i="11"/>
  <c r="E81" i="11"/>
  <c r="H81" i="11" s="1"/>
  <c r="I74" i="11"/>
  <c r="I80" i="11"/>
  <c r="F81" i="11"/>
  <c r="F89" i="11"/>
  <c r="G45" i="11"/>
  <c r="I68" i="11"/>
  <c r="G23" i="11"/>
  <c r="G27" i="11"/>
  <c r="G22" i="11"/>
  <c r="H22" i="11"/>
  <c r="I22" i="11"/>
  <c r="I23" i="11"/>
  <c r="I24" i="11"/>
  <c r="I25" i="11"/>
  <c r="E24" i="11"/>
  <c r="G24" i="11" s="1"/>
  <c r="H23" i="11"/>
  <c r="G78" i="11" l="1"/>
  <c r="G81" i="11"/>
  <c r="I81" i="11"/>
  <c r="F82" i="11"/>
  <c r="G70" i="11"/>
  <c r="I70" i="11"/>
  <c r="F72" i="11"/>
  <c r="H72" i="11"/>
  <c r="I89" i="11"/>
  <c r="F90" i="11"/>
  <c r="G89" i="11"/>
  <c r="E25" i="11"/>
  <c r="G25" i="11" s="1"/>
  <c r="H24" i="11"/>
  <c r="F91" i="11" l="1"/>
  <c r="I90" i="11"/>
  <c r="G90" i="11"/>
  <c r="G72" i="11"/>
  <c r="I72" i="11"/>
  <c r="I82" i="11"/>
  <c r="G82" i="11"/>
  <c r="E26" i="11"/>
  <c r="H25" i="11"/>
  <c r="I91" i="11" l="1"/>
  <c r="G91" i="11"/>
  <c r="H26" i="11"/>
  <c r="G26" i="11"/>
  <c r="I16" i="11" l="1"/>
  <c r="F17" i="11"/>
  <c r="E18" i="11"/>
  <c r="E19" i="11" s="1"/>
  <c r="H17" i="11"/>
  <c r="H16" i="11"/>
  <c r="I15" i="11"/>
  <c r="H15" i="11"/>
  <c r="I14" i="11"/>
  <c r="H14" i="11"/>
  <c r="I13" i="11"/>
  <c r="F18" i="11" l="1"/>
  <c r="I18" i="11" s="1"/>
  <c r="G17" i="11"/>
  <c r="H18" i="11"/>
  <c r="E20" i="11"/>
  <c r="H20" i="11" s="1"/>
  <c r="H19" i="11"/>
  <c r="I17" i="11"/>
  <c r="F19" i="11" l="1"/>
  <c r="G18" i="11"/>
  <c r="F20" i="11" l="1"/>
  <c r="G19" i="11"/>
  <c r="I19" i="11"/>
  <c r="I20" i="11" l="1"/>
  <c r="G20" i="11"/>
  <c r="E11" i="11" l="1"/>
  <c r="F11" i="11" s="1"/>
  <c r="C16" i="14"/>
  <c r="D30" i="16"/>
  <c r="D20" i="16"/>
  <c r="D18" i="16"/>
  <c r="D17" i="16"/>
  <c r="D16" i="16"/>
  <c r="D15" i="16"/>
  <c r="D13" i="16"/>
  <c r="D12" i="16"/>
  <c r="D10" i="16"/>
  <c r="AG17" i="18"/>
  <c r="AF17" i="18"/>
  <c r="AE17" i="18"/>
  <c r="AG14" i="18"/>
  <c r="AE14" i="18"/>
  <c r="AP5" i="18"/>
  <c r="AP3" i="18"/>
  <c r="AM8" i="18"/>
  <c r="AI8" i="18"/>
  <c r="AH8" i="18"/>
  <c r="AG8" i="18"/>
  <c r="AF8" i="18"/>
  <c r="AE8" i="18"/>
  <c r="AL8" i="18"/>
  <c r="AK8" i="18"/>
  <c r="AJ8" i="18"/>
  <c r="AD8" i="18"/>
  <c r="K4" i="18" l="1"/>
  <c r="O4" i="18"/>
  <c r="O7" i="18" s="1"/>
  <c r="N4" i="18"/>
  <c r="N7" i="18" s="1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T8" i="18" s="1"/>
  <c r="U5" i="18"/>
  <c r="U8" i="18" s="1"/>
  <c r="V5" i="18"/>
  <c r="V8" i="18" s="1"/>
  <c r="W5" i="18"/>
  <c r="W8" i="18" s="1"/>
  <c r="X5" i="18"/>
  <c r="X8" i="18" s="1"/>
  <c r="Y5" i="18"/>
  <c r="Y8" i="18" s="1"/>
  <c r="Z5" i="18"/>
  <c r="Z8" i="18" s="1"/>
  <c r="AA5" i="18"/>
  <c r="AA8" i="18" s="1"/>
  <c r="AB5" i="18"/>
  <c r="AB8" i="18" s="1"/>
  <c r="AC5" i="18"/>
  <c r="AC8" i="18" s="1"/>
  <c r="B5" i="18"/>
  <c r="C4" i="18"/>
  <c r="C7" i="18" s="1"/>
  <c r="D4" i="18"/>
  <c r="D7" i="18" s="1"/>
  <c r="E4" i="18"/>
  <c r="E7" i="18" s="1"/>
  <c r="F4" i="18"/>
  <c r="F7" i="18" s="1"/>
  <c r="G4" i="18"/>
  <c r="G7" i="18" s="1"/>
  <c r="H4" i="18"/>
  <c r="H7" i="18" s="1"/>
  <c r="I4" i="18"/>
  <c r="I7" i="18" s="1"/>
  <c r="J4" i="18"/>
  <c r="L4" i="18"/>
  <c r="L7" i="18" s="1"/>
  <c r="M4" i="18"/>
  <c r="M7" i="18" s="1"/>
  <c r="P4" i="18"/>
  <c r="P7" i="18" s="1"/>
  <c r="Q4" i="18"/>
  <c r="Q7" i="18" s="1"/>
  <c r="R4" i="18"/>
  <c r="R7" i="18" s="1"/>
  <c r="S4" i="18"/>
  <c r="S7" i="18" s="1"/>
  <c r="T4" i="18"/>
  <c r="U4" i="18"/>
  <c r="V4" i="18"/>
  <c r="W4" i="18"/>
  <c r="X4" i="18"/>
  <c r="Y4" i="18"/>
  <c r="Z4" i="18"/>
  <c r="AA4" i="18"/>
  <c r="AB4" i="18"/>
  <c r="AC4" i="18"/>
  <c r="B4" i="18"/>
  <c r="B7" i="18" s="1"/>
  <c r="AP4" i="18" l="1"/>
  <c r="AQ4" i="18" s="1"/>
  <c r="AP6" i="18"/>
  <c r="AQ6" i="18" s="1"/>
  <c r="BO3" i="11"/>
  <c r="BP3" i="11"/>
  <c r="BQ3" i="11"/>
  <c r="BR3" i="11"/>
  <c r="BS3" i="11"/>
  <c r="BT3" i="11"/>
  <c r="BU3" i="11"/>
  <c r="BV3" i="11"/>
  <c r="BW3" i="11"/>
  <c r="BX3" i="11"/>
  <c r="BY3" i="11"/>
  <c r="BZ3" i="11"/>
  <c r="CA3" i="11"/>
  <c r="CB3" i="11"/>
  <c r="CC3" i="11"/>
  <c r="N6" i="11"/>
  <c r="S5" i="11"/>
  <c r="N5" i="11"/>
  <c r="O5" i="11" s="1"/>
  <c r="N8" i="11"/>
  <c r="R156" i="17"/>
  <c r="M156" i="17"/>
  <c r="N156" i="17" s="1"/>
  <c r="R155" i="17"/>
  <c r="N155" i="17"/>
  <c r="M155" i="17"/>
  <c r="R154" i="17"/>
  <c r="M154" i="17"/>
  <c r="N154" i="17" s="1"/>
  <c r="R153" i="17"/>
  <c r="N153" i="17"/>
  <c r="M153" i="17"/>
  <c r="R152" i="17"/>
  <c r="M152" i="17"/>
  <c r="N152" i="17" s="1"/>
  <c r="R151" i="17"/>
  <c r="N151" i="17"/>
  <c r="M151" i="17"/>
  <c r="R150" i="17"/>
  <c r="M150" i="17"/>
  <c r="N150" i="17" s="1"/>
  <c r="R149" i="17"/>
  <c r="N149" i="17"/>
  <c r="M149" i="17"/>
  <c r="R148" i="17"/>
  <c r="M148" i="17"/>
  <c r="N148" i="17" s="1"/>
  <c r="R147" i="17"/>
  <c r="N147" i="17"/>
  <c r="M147" i="17"/>
  <c r="R146" i="17"/>
  <c r="M146" i="17"/>
  <c r="N146" i="17" s="1"/>
  <c r="R145" i="17"/>
  <c r="N145" i="17"/>
  <c r="M145" i="17"/>
  <c r="R144" i="17"/>
  <c r="M144" i="17"/>
  <c r="N144" i="17" s="1"/>
  <c r="R143" i="17"/>
  <c r="N143" i="17"/>
  <c r="M143" i="17"/>
  <c r="R142" i="17"/>
  <c r="M142" i="17"/>
  <c r="N142" i="17" s="1"/>
  <c r="R141" i="17"/>
  <c r="N141" i="17"/>
  <c r="M141" i="17"/>
  <c r="R140" i="17"/>
  <c r="M140" i="17"/>
  <c r="N140" i="17" s="1"/>
  <c r="R139" i="17"/>
  <c r="N139" i="17"/>
  <c r="M139" i="17"/>
  <c r="R138" i="17"/>
  <c r="M138" i="17"/>
  <c r="N138" i="17" s="1"/>
  <c r="R137" i="17"/>
  <c r="N137" i="17"/>
  <c r="M137" i="17"/>
  <c r="R136" i="17"/>
  <c r="M136" i="17"/>
  <c r="N136" i="17" s="1"/>
  <c r="R135" i="17"/>
  <c r="N135" i="17"/>
  <c r="M135" i="17"/>
  <c r="R134" i="17"/>
  <c r="M134" i="17"/>
  <c r="N134" i="17" s="1"/>
  <c r="R133" i="17"/>
  <c r="N133" i="17"/>
  <c r="M133" i="17"/>
  <c r="R132" i="17"/>
  <c r="M132" i="17"/>
  <c r="N132" i="17" s="1"/>
  <c r="R131" i="17"/>
  <c r="N131" i="17"/>
  <c r="M131" i="17"/>
  <c r="R130" i="17"/>
  <c r="M130" i="17"/>
  <c r="N130" i="17" s="1"/>
  <c r="R129" i="17"/>
  <c r="N129" i="17"/>
  <c r="M129" i="17"/>
  <c r="R128" i="17"/>
  <c r="M128" i="17"/>
  <c r="N128" i="17" s="1"/>
  <c r="R127" i="17"/>
  <c r="N127" i="17"/>
  <c r="M127" i="17"/>
  <c r="R126" i="17"/>
  <c r="M126" i="17"/>
  <c r="N126" i="17" s="1"/>
  <c r="R125" i="17"/>
  <c r="N125" i="17"/>
  <c r="M125" i="17"/>
  <c r="R124" i="17"/>
  <c r="M124" i="17"/>
  <c r="N124" i="17" s="1"/>
  <c r="R123" i="17"/>
  <c r="N123" i="17"/>
  <c r="M123" i="17"/>
  <c r="R122" i="17"/>
  <c r="M122" i="17"/>
  <c r="N122" i="17" s="1"/>
  <c r="R121" i="17"/>
  <c r="N121" i="17"/>
  <c r="M121" i="17"/>
  <c r="R120" i="17"/>
  <c r="M120" i="17"/>
  <c r="N120" i="17" s="1"/>
  <c r="R119" i="17"/>
  <c r="N119" i="17"/>
  <c r="M119" i="17"/>
  <c r="R118" i="17"/>
  <c r="M118" i="17"/>
  <c r="N118" i="17" s="1"/>
  <c r="R117" i="17"/>
  <c r="N117" i="17"/>
  <c r="M117" i="17"/>
  <c r="R116" i="17"/>
  <c r="M116" i="17"/>
  <c r="N116" i="17" s="1"/>
  <c r="R115" i="17"/>
  <c r="N115" i="17"/>
  <c r="M115" i="17"/>
  <c r="R114" i="17"/>
  <c r="M114" i="17"/>
  <c r="N114" i="17" s="1"/>
  <c r="R113" i="17"/>
  <c r="N113" i="17"/>
  <c r="M113" i="17"/>
  <c r="R112" i="17"/>
  <c r="M112" i="17"/>
  <c r="N112" i="17" s="1"/>
  <c r="R111" i="17"/>
  <c r="N111" i="17"/>
  <c r="M111" i="17"/>
  <c r="R110" i="17"/>
  <c r="M110" i="17"/>
  <c r="N110" i="17" s="1"/>
  <c r="R109" i="17"/>
  <c r="N109" i="17"/>
  <c r="M109" i="17"/>
  <c r="R108" i="17"/>
  <c r="M108" i="17"/>
  <c r="N108" i="17" s="1"/>
  <c r="R107" i="17"/>
  <c r="N107" i="17"/>
  <c r="M107" i="17"/>
  <c r="R106" i="17"/>
  <c r="M106" i="17"/>
  <c r="N106" i="17" s="1"/>
  <c r="R105" i="17"/>
  <c r="N105" i="17"/>
  <c r="M105" i="17"/>
  <c r="R104" i="17"/>
  <c r="M104" i="17"/>
  <c r="N104" i="17" s="1"/>
  <c r="R103" i="17"/>
  <c r="N103" i="17"/>
  <c r="M103" i="17"/>
  <c r="R102" i="17"/>
  <c r="M102" i="17"/>
  <c r="N102" i="17" s="1"/>
  <c r="R101" i="17"/>
  <c r="N101" i="17"/>
  <c r="M101" i="17"/>
  <c r="R100" i="17"/>
  <c r="M100" i="17"/>
  <c r="N100" i="17" s="1"/>
  <c r="R99" i="17"/>
  <c r="N99" i="17"/>
  <c r="M99" i="17"/>
  <c r="R98" i="17"/>
  <c r="M98" i="17"/>
  <c r="N98" i="17" s="1"/>
  <c r="R97" i="17"/>
  <c r="N97" i="17"/>
  <c r="M97" i="17"/>
  <c r="R96" i="17"/>
  <c r="M96" i="17"/>
  <c r="N96" i="17" s="1"/>
  <c r="R95" i="17"/>
  <c r="N95" i="17"/>
  <c r="M95" i="17"/>
  <c r="R94" i="17"/>
  <c r="M94" i="17"/>
  <c r="N94" i="17" s="1"/>
  <c r="R93" i="17"/>
  <c r="N93" i="17"/>
  <c r="M93" i="17"/>
  <c r="R92" i="17"/>
  <c r="M92" i="17"/>
  <c r="N92" i="17" s="1"/>
  <c r="R91" i="17"/>
  <c r="N91" i="17"/>
  <c r="M91" i="17"/>
  <c r="R90" i="17"/>
  <c r="M90" i="17"/>
  <c r="N90" i="17" s="1"/>
  <c r="R89" i="17"/>
  <c r="N89" i="17"/>
  <c r="M89" i="17"/>
  <c r="R88" i="17"/>
  <c r="M88" i="17"/>
  <c r="N88" i="17" s="1"/>
  <c r="R87" i="17"/>
  <c r="N87" i="17"/>
  <c r="M87" i="17"/>
  <c r="R86" i="17"/>
  <c r="M86" i="17"/>
  <c r="N86" i="17" s="1"/>
  <c r="R85" i="17"/>
  <c r="N85" i="17"/>
  <c r="M85" i="17"/>
  <c r="R84" i="17"/>
  <c r="M84" i="17"/>
  <c r="N84" i="17" s="1"/>
  <c r="R83" i="17"/>
  <c r="N83" i="17"/>
  <c r="M83" i="17"/>
  <c r="R82" i="17"/>
  <c r="M82" i="17"/>
  <c r="N82" i="17" s="1"/>
  <c r="R81" i="17"/>
  <c r="N81" i="17"/>
  <c r="M81" i="17"/>
  <c r="R80" i="17"/>
  <c r="M80" i="17"/>
  <c r="N80" i="17" s="1"/>
  <c r="R79" i="17"/>
  <c r="N79" i="17"/>
  <c r="M79" i="17"/>
  <c r="R78" i="17"/>
  <c r="M78" i="17"/>
  <c r="N78" i="17" s="1"/>
  <c r="R77" i="17"/>
  <c r="N77" i="17"/>
  <c r="M77" i="17"/>
  <c r="R76" i="17"/>
  <c r="M76" i="17"/>
  <c r="N76" i="17" s="1"/>
  <c r="R75" i="17"/>
  <c r="N75" i="17"/>
  <c r="M75" i="17"/>
  <c r="R74" i="17"/>
  <c r="M74" i="17"/>
  <c r="N74" i="17" s="1"/>
  <c r="R73" i="17"/>
  <c r="N73" i="17"/>
  <c r="M73" i="17"/>
  <c r="R72" i="17"/>
  <c r="M72" i="17"/>
  <c r="N72" i="17" s="1"/>
  <c r="R71" i="17"/>
  <c r="N71" i="17"/>
  <c r="M71" i="17"/>
  <c r="R70" i="17"/>
  <c r="M70" i="17"/>
  <c r="N70" i="17" s="1"/>
  <c r="R69" i="17"/>
  <c r="N69" i="17"/>
  <c r="M69" i="17"/>
  <c r="R68" i="17"/>
  <c r="M68" i="17"/>
  <c r="N68" i="17" s="1"/>
  <c r="R67" i="17"/>
  <c r="N67" i="17"/>
  <c r="M67" i="17"/>
  <c r="R66" i="17"/>
  <c r="M66" i="17"/>
  <c r="N66" i="17" s="1"/>
  <c r="R65" i="17"/>
  <c r="N65" i="17"/>
  <c r="M65" i="17"/>
  <c r="R64" i="17"/>
  <c r="M64" i="17"/>
  <c r="N64" i="17" s="1"/>
  <c r="R63" i="17"/>
  <c r="N63" i="17"/>
  <c r="M63" i="17"/>
  <c r="R62" i="17"/>
  <c r="M62" i="17"/>
  <c r="N62" i="17" s="1"/>
  <c r="R61" i="17"/>
  <c r="N61" i="17"/>
  <c r="M61" i="17"/>
  <c r="R60" i="17"/>
  <c r="M60" i="17"/>
  <c r="N60" i="17" s="1"/>
  <c r="R59" i="17"/>
  <c r="N59" i="17"/>
  <c r="M59" i="17"/>
  <c r="R58" i="17"/>
  <c r="M58" i="17"/>
  <c r="N58" i="17" s="1"/>
  <c r="R57" i="17"/>
  <c r="N57" i="17"/>
  <c r="M57" i="17"/>
  <c r="R56" i="17"/>
  <c r="M56" i="17"/>
  <c r="N56" i="17" s="1"/>
  <c r="R55" i="17"/>
  <c r="N55" i="17"/>
  <c r="M55" i="17"/>
  <c r="R54" i="17"/>
  <c r="M54" i="17"/>
  <c r="N54" i="17" s="1"/>
  <c r="R53" i="17"/>
  <c r="N53" i="17"/>
  <c r="M53" i="17"/>
  <c r="R52" i="17"/>
  <c r="M52" i="17"/>
  <c r="N52" i="17" s="1"/>
  <c r="R51" i="17"/>
  <c r="N51" i="17"/>
  <c r="M51" i="17"/>
  <c r="R50" i="17"/>
  <c r="M50" i="17"/>
  <c r="N50" i="17" s="1"/>
  <c r="R49" i="17"/>
  <c r="N49" i="17"/>
  <c r="M49" i="17"/>
  <c r="R48" i="17"/>
  <c r="M48" i="17"/>
  <c r="N48" i="17" s="1"/>
  <c r="R47" i="17"/>
  <c r="N47" i="17"/>
  <c r="M47" i="17"/>
  <c r="R46" i="17"/>
  <c r="M46" i="17"/>
  <c r="N46" i="17" s="1"/>
  <c r="R45" i="17"/>
  <c r="N45" i="17"/>
  <c r="M45" i="17"/>
  <c r="R44" i="17"/>
  <c r="M44" i="17"/>
  <c r="N44" i="17" s="1"/>
  <c r="R43" i="17"/>
  <c r="N43" i="17"/>
  <c r="M43" i="17"/>
  <c r="R42" i="17"/>
  <c r="M42" i="17"/>
  <c r="N42" i="17" s="1"/>
  <c r="R41" i="17"/>
  <c r="N41" i="17"/>
  <c r="M41" i="17"/>
  <c r="R40" i="17"/>
  <c r="M40" i="17"/>
  <c r="N40" i="17" s="1"/>
  <c r="R39" i="17"/>
  <c r="N39" i="17"/>
  <c r="M39" i="17"/>
  <c r="R38" i="17"/>
  <c r="M38" i="17"/>
  <c r="N38" i="17" s="1"/>
  <c r="R37" i="17"/>
  <c r="N37" i="17"/>
  <c r="M37" i="17"/>
  <c r="R36" i="17"/>
  <c r="M36" i="17"/>
  <c r="N36" i="17" s="1"/>
  <c r="R35" i="17"/>
  <c r="N35" i="17"/>
  <c r="M35" i="17"/>
  <c r="R34" i="17"/>
  <c r="M34" i="17"/>
  <c r="N34" i="17" s="1"/>
  <c r="R33" i="17"/>
  <c r="N33" i="17"/>
  <c r="M33" i="17"/>
  <c r="R32" i="17"/>
  <c r="M32" i="17"/>
  <c r="N32" i="17" s="1"/>
  <c r="R31" i="17"/>
  <c r="N31" i="17"/>
  <c r="M31" i="17"/>
  <c r="R30" i="17"/>
  <c r="M30" i="17"/>
  <c r="N30" i="17" s="1"/>
  <c r="R29" i="17"/>
  <c r="N29" i="17"/>
  <c r="M29" i="17"/>
  <c r="R28" i="17"/>
  <c r="M28" i="17"/>
  <c r="N28" i="17" s="1"/>
  <c r="R27" i="17"/>
  <c r="N27" i="17"/>
  <c r="M27" i="17"/>
  <c r="R26" i="17"/>
  <c r="M26" i="17"/>
  <c r="N26" i="17" s="1"/>
  <c r="R25" i="17"/>
  <c r="N25" i="17"/>
  <c r="M25" i="17"/>
  <c r="R24" i="17"/>
  <c r="M24" i="17"/>
  <c r="N24" i="17" s="1"/>
  <c r="R23" i="17"/>
  <c r="N23" i="17"/>
  <c r="M23" i="17"/>
  <c r="R22" i="17"/>
  <c r="M22" i="17"/>
  <c r="N22" i="17" s="1"/>
  <c r="R21" i="17"/>
  <c r="N21" i="17"/>
  <c r="M21" i="17"/>
  <c r="R20" i="17"/>
  <c r="M20" i="17"/>
  <c r="N20" i="17" s="1"/>
  <c r="R19" i="17"/>
  <c r="N19" i="17"/>
  <c r="M19" i="17"/>
  <c r="R18" i="17"/>
  <c r="M18" i="17"/>
  <c r="N18" i="17" s="1"/>
  <c r="R17" i="17"/>
  <c r="N17" i="17"/>
  <c r="M17" i="17"/>
  <c r="R16" i="17"/>
  <c r="M16" i="17"/>
  <c r="N16" i="17" s="1"/>
  <c r="R15" i="17"/>
  <c r="N15" i="17"/>
  <c r="M15" i="17"/>
  <c r="R14" i="17"/>
  <c r="M14" i="17"/>
  <c r="N14" i="17" s="1"/>
  <c r="R13" i="17"/>
  <c r="N13" i="17"/>
  <c r="M13" i="17"/>
  <c r="R12" i="17"/>
  <c r="M12" i="17"/>
  <c r="N12" i="17" s="1"/>
  <c r="R11" i="17"/>
  <c r="N11" i="17"/>
  <c r="M11" i="17"/>
  <c r="R10" i="17"/>
  <c r="M10" i="17"/>
  <c r="N10" i="17" s="1"/>
  <c r="R9" i="17"/>
  <c r="N9" i="17"/>
  <c r="M9" i="17"/>
  <c r="R8" i="17"/>
  <c r="M8" i="17"/>
  <c r="N8" i="17" s="1"/>
  <c r="R7" i="17"/>
  <c r="N7" i="17"/>
  <c r="M7" i="17"/>
  <c r="R6" i="17"/>
  <c r="M6" i="17"/>
  <c r="N6" i="17" s="1"/>
  <c r="R5" i="17"/>
  <c r="N5" i="17"/>
  <c r="R4" i="17"/>
  <c r="M4" i="17"/>
  <c r="N4" i="17" s="1"/>
  <c r="BL3" i="17"/>
  <c r="BK3" i="17"/>
  <c r="BJ3" i="17"/>
  <c r="BI3" i="17"/>
  <c r="BH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D1" i="17"/>
  <c r="P4" i="17" s="1"/>
  <c r="Q4" i="17" s="1"/>
  <c r="D12" i="8" l="1"/>
  <c r="H12" i="8" s="1"/>
  <c r="G12" i="8" s="1"/>
  <c r="Q5" i="11"/>
  <c r="O5" i="17"/>
  <c r="O7" i="17"/>
  <c r="O9" i="17"/>
  <c r="O11" i="17"/>
  <c r="O13" i="17"/>
  <c r="O15" i="17"/>
  <c r="O17" i="17"/>
  <c r="O19" i="17"/>
  <c r="O21" i="17"/>
  <c r="O23" i="17"/>
  <c r="O25" i="17"/>
  <c r="O27" i="17"/>
  <c r="O29" i="17"/>
  <c r="O31" i="17"/>
  <c r="O33" i="17"/>
  <c r="O35" i="17"/>
  <c r="O37" i="17"/>
  <c r="O39" i="17"/>
  <c r="O41" i="17"/>
  <c r="O43" i="17"/>
  <c r="O45" i="17"/>
  <c r="O47" i="17"/>
  <c r="O49" i="17"/>
  <c r="O51" i="17"/>
  <c r="O53" i="17"/>
  <c r="O55" i="17"/>
  <c r="O57" i="17"/>
  <c r="O59" i="17"/>
  <c r="O61" i="17"/>
  <c r="O63" i="17"/>
  <c r="O65" i="17"/>
  <c r="O67" i="17"/>
  <c r="O69" i="17"/>
  <c r="O71" i="17"/>
  <c r="O73" i="17"/>
  <c r="O75" i="17"/>
  <c r="O77" i="17"/>
  <c r="O79" i="17"/>
  <c r="O81" i="17"/>
  <c r="O83" i="17"/>
  <c r="O85" i="17"/>
  <c r="O87" i="17"/>
  <c r="O89" i="17"/>
  <c r="O91" i="17"/>
  <c r="O93" i="17"/>
  <c r="O95" i="17"/>
  <c r="O97" i="17"/>
  <c r="O99" i="17"/>
  <c r="O101" i="17"/>
  <c r="O103" i="17"/>
  <c r="O105" i="17"/>
  <c r="O107" i="17"/>
  <c r="O109" i="17"/>
  <c r="O111" i="17"/>
  <c r="O113" i="17"/>
  <c r="O115" i="17"/>
  <c r="O117" i="17"/>
  <c r="O119" i="17"/>
  <c r="O121" i="17"/>
  <c r="O123" i="17"/>
  <c r="O125" i="17"/>
  <c r="O127" i="17"/>
  <c r="O129" i="17"/>
  <c r="O131" i="17"/>
  <c r="O133" i="17"/>
  <c r="O135" i="17"/>
  <c r="O137" i="17"/>
  <c r="O139" i="17"/>
  <c r="O141" i="17"/>
  <c r="O143" i="17"/>
  <c r="O145" i="17"/>
  <c r="O147" i="17"/>
  <c r="O149" i="17"/>
  <c r="O151" i="17"/>
  <c r="O153" i="17"/>
  <c r="O155" i="17"/>
  <c r="P5" i="17"/>
  <c r="Q5" i="17" s="1"/>
  <c r="P7" i="17"/>
  <c r="Q7" i="17" s="1"/>
  <c r="P9" i="17"/>
  <c r="Q9" i="17" s="1"/>
  <c r="P11" i="17"/>
  <c r="Q11" i="17" s="1"/>
  <c r="P13" i="17"/>
  <c r="Q13" i="17" s="1"/>
  <c r="P15" i="17"/>
  <c r="Q15" i="17" s="1"/>
  <c r="P17" i="17"/>
  <c r="Q17" i="17" s="1"/>
  <c r="P19" i="17"/>
  <c r="Q19" i="17" s="1"/>
  <c r="P21" i="17"/>
  <c r="Q21" i="17" s="1"/>
  <c r="P23" i="17"/>
  <c r="Q23" i="17" s="1"/>
  <c r="P25" i="17"/>
  <c r="Q25" i="17" s="1"/>
  <c r="P27" i="17"/>
  <c r="Q27" i="17" s="1"/>
  <c r="P29" i="17"/>
  <c r="Q29" i="17" s="1"/>
  <c r="P31" i="17"/>
  <c r="Q31" i="17" s="1"/>
  <c r="P33" i="17"/>
  <c r="Q33" i="17" s="1"/>
  <c r="P35" i="17"/>
  <c r="Q35" i="17" s="1"/>
  <c r="P37" i="17"/>
  <c r="Q37" i="17" s="1"/>
  <c r="P39" i="17"/>
  <c r="Q39" i="17" s="1"/>
  <c r="P41" i="17"/>
  <c r="Q41" i="17" s="1"/>
  <c r="P43" i="17"/>
  <c r="Q43" i="17" s="1"/>
  <c r="P45" i="17"/>
  <c r="Q45" i="17" s="1"/>
  <c r="P47" i="17"/>
  <c r="Q47" i="17" s="1"/>
  <c r="P49" i="17"/>
  <c r="Q49" i="17" s="1"/>
  <c r="P51" i="17"/>
  <c r="Q51" i="17" s="1"/>
  <c r="P53" i="17"/>
  <c r="Q53" i="17" s="1"/>
  <c r="P55" i="17"/>
  <c r="Q55" i="17" s="1"/>
  <c r="P57" i="17"/>
  <c r="Q57" i="17" s="1"/>
  <c r="P59" i="17"/>
  <c r="Q59" i="17" s="1"/>
  <c r="P61" i="17"/>
  <c r="Q61" i="17" s="1"/>
  <c r="P63" i="17"/>
  <c r="Q63" i="17" s="1"/>
  <c r="P65" i="17"/>
  <c r="Q65" i="17" s="1"/>
  <c r="P67" i="17"/>
  <c r="Q67" i="17" s="1"/>
  <c r="P69" i="17"/>
  <c r="Q69" i="17" s="1"/>
  <c r="P71" i="17"/>
  <c r="Q71" i="17" s="1"/>
  <c r="P73" i="17"/>
  <c r="Q73" i="17" s="1"/>
  <c r="P75" i="17"/>
  <c r="Q75" i="17" s="1"/>
  <c r="P77" i="17"/>
  <c r="Q77" i="17" s="1"/>
  <c r="P79" i="17"/>
  <c r="Q79" i="17" s="1"/>
  <c r="P81" i="17"/>
  <c r="Q81" i="17" s="1"/>
  <c r="P83" i="17"/>
  <c r="Q83" i="17" s="1"/>
  <c r="P85" i="17"/>
  <c r="Q85" i="17" s="1"/>
  <c r="P87" i="17"/>
  <c r="Q87" i="17" s="1"/>
  <c r="P89" i="17"/>
  <c r="Q89" i="17" s="1"/>
  <c r="P91" i="17"/>
  <c r="Q91" i="17" s="1"/>
  <c r="P93" i="17"/>
  <c r="Q93" i="17" s="1"/>
  <c r="P95" i="17"/>
  <c r="Q95" i="17" s="1"/>
  <c r="P97" i="17"/>
  <c r="Q97" i="17" s="1"/>
  <c r="P99" i="17"/>
  <c r="Q99" i="17" s="1"/>
  <c r="P101" i="17"/>
  <c r="Q101" i="17" s="1"/>
  <c r="P103" i="17"/>
  <c r="Q103" i="17" s="1"/>
  <c r="P105" i="17"/>
  <c r="Q105" i="17" s="1"/>
  <c r="P107" i="17"/>
  <c r="Q107" i="17" s="1"/>
  <c r="P109" i="17"/>
  <c r="Q109" i="17" s="1"/>
  <c r="P111" i="17"/>
  <c r="Q111" i="17" s="1"/>
  <c r="P113" i="17"/>
  <c r="Q113" i="17" s="1"/>
  <c r="P115" i="17"/>
  <c r="Q115" i="17" s="1"/>
  <c r="P117" i="17"/>
  <c r="Q117" i="17" s="1"/>
  <c r="P119" i="17"/>
  <c r="Q119" i="17" s="1"/>
  <c r="P121" i="17"/>
  <c r="Q121" i="17" s="1"/>
  <c r="P123" i="17"/>
  <c r="Q123" i="17" s="1"/>
  <c r="P125" i="17"/>
  <c r="Q125" i="17" s="1"/>
  <c r="P127" i="17"/>
  <c r="Q127" i="17" s="1"/>
  <c r="P129" i="17"/>
  <c r="Q129" i="17" s="1"/>
  <c r="P131" i="17"/>
  <c r="Q131" i="17" s="1"/>
  <c r="P133" i="17"/>
  <c r="Q133" i="17" s="1"/>
  <c r="P135" i="17"/>
  <c r="Q135" i="17" s="1"/>
  <c r="P137" i="17"/>
  <c r="Q137" i="17" s="1"/>
  <c r="P139" i="17"/>
  <c r="Q139" i="17" s="1"/>
  <c r="P141" i="17"/>
  <c r="Q141" i="17" s="1"/>
  <c r="P143" i="17"/>
  <c r="Q143" i="17" s="1"/>
  <c r="P145" i="17"/>
  <c r="Q145" i="17" s="1"/>
  <c r="P147" i="17"/>
  <c r="Q147" i="17" s="1"/>
  <c r="P149" i="17"/>
  <c r="Q149" i="17" s="1"/>
  <c r="P151" i="17"/>
  <c r="Q151" i="17" s="1"/>
  <c r="P153" i="17"/>
  <c r="Q153" i="17" s="1"/>
  <c r="P155" i="17"/>
  <c r="Q155" i="17" s="1"/>
  <c r="O6" i="17"/>
  <c r="O8" i="17"/>
  <c r="O10" i="17"/>
  <c r="O12" i="17"/>
  <c r="O14" i="17"/>
  <c r="O16" i="17"/>
  <c r="O18" i="17"/>
  <c r="O20" i="17"/>
  <c r="O22" i="17"/>
  <c r="O24" i="17"/>
  <c r="O26" i="17"/>
  <c r="O28" i="17"/>
  <c r="O30" i="17"/>
  <c r="O32" i="17"/>
  <c r="O34" i="17"/>
  <c r="O36" i="17"/>
  <c r="O38" i="17"/>
  <c r="O40" i="17"/>
  <c r="O42" i="17"/>
  <c r="O44" i="17"/>
  <c r="O46" i="17"/>
  <c r="O48" i="17"/>
  <c r="O50" i="17"/>
  <c r="O52" i="17"/>
  <c r="O54" i="17"/>
  <c r="O56" i="17"/>
  <c r="O58" i="17"/>
  <c r="O60" i="17"/>
  <c r="O62" i="17"/>
  <c r="O64" i="17"/>
  <c r="O66" i="17"/>
  <c r="O68" i="17"/>
  <c r="O70" i="17"/>
  <c r="O72" i="17"/>
  <c r="O74" i="17"/>
  <c r="O76" i="17"/>
  <c r="O78" i="17"/>
  <c r="O80" i="17"/>
  <c r="O82" i="17"/>
  <c r="O84" i="17"/>
  <c r="O86" i="17"/>
  <c r="O88" i="17"/>
  <c r="O90" i="17"/>
  <c r="O92" i="17"/>
  <c r="O94" i="17"/>
  <c r="O96" i="17"/>
  <c r="O98" i="17"/>
  <c r="O100" i="17"/>
  <c r="O102" i="17"/>
  <c r="O104" i="17"/>
  <c r="O106" i="17"/>
  <c r="O108" i="17"/>
  <c r="O110" i="17"/>
  <c r="O112" i="17"/>
  <c r="O114" i="17"/>
  <c r="O116" i="17"/>
  <c r="O118" i="17"/>
  <c r="O120" i="17"/>
  <c r="O122" i="17"/>
  <c r="O124" i="17"/>
  <c r="O126" i="17"/>
  <c r="O128" i="17"/>
  <c r="O130" i="17"/>
  <c r="O132" i="17"/>
  <c r="O134" i="17"/>
  <c r="O136" i="17"/>
  <c r="O138" i="17"/>
  <c r="O140" i="17"/>
  <c r="O142" i="17"/>
  <c r="O144" i="17"/>
  <c r="O146" i="17"/>
  <c r="O148" i="17"/>
  <c r="O150" i="17"/>
  <c r="O152" i="17"/>
  <c r="O154" i="17"/>
  <c r="O156" i="17"/>
  <c r="O4" i="17"/>
  <c r="P6" i="17"/>
  <c r="Q6" i="17" s="1"/>
  <c r="P8" i="17"/>
  <c r="Q8" i="17" s="1"/>
  <c r="P10" i="17"/>
  <c r="Q10" i="17" s="1"/>
  <c r="P12" i="17"/>
  <c r="Q12" i="17" s="1"/>
  <c r="P14" i="17"/>
  <c r="Q14" i="17" s="1"/>
  <c r="P16" i="17"/>
  <c r="Q16" i="17" s="1"/>
  <c r="P18" i="17"/>
  <c r="Q18" i="17" s="1"/>
  <c r="P20" i="17"/>
  <c r="Q20" i="17" s="1"/>
  <c r="P22" i="17"/>
  <c r="Q22" i="17" s="1"/>
  <c r="P24" i="17"/>
  <c r="Q24" i="17" s="1"/>
  <c r="P26" i="17"/>
  <c r="Q26" i="17" s="1"/>
  <c r="P28" i="17"/>
  <c r="Q28" i="17" s="1"/>
  <c r="P30" i="17"/>
  <c r="Q30" i="17" s="1"/>
  <c r="P32" i="17"/>
  <c r="Q32" i="17" s="1"/>
  <c r="P34" i="17"/>
  <c r="Q34" i="17" s="1"/>
  <c r="P36" i="17"/>
  <c r="Q36" i="17" s="1"/>
  <c r="P38" i="17"/>
  <c r="Q38" i="17" s="1"/>
  <c r="P40" i="17"/>
  <c r="Q40" i="17" s="1"/>
  <c r="P42" i="17"/>
  <c r="Q42" i="17" s="1"/>
  <c r="P44" i="17"/>
  <c r="Q44" i="17" s="1"/>
  <c r="P46" i="17"/>
  <c r="Q46" i="17" s="1"/>
  <c r="P48" i="17"/>
  <c r="Q48" i="17" s="1"/>
  <c r="P50" i="17"/>
  <c r="Q50" i="17" s="1"/>
  <c r="P52" i="17"/>
  <c r="Q52" i="17" s="1"/>
  <c r="P54" i="17"/>
  <c r="Q54" i="17" s="1"/>
  <c r="P56" i="17"/>
  <c r="Q56" i="17" s="1"/>
  <c r="P58" i="17"/>
  <c r="Q58" i="17" s="1"/>
  <c r="P60" i="17"/>
  <c r="Q60" i="17" s="1"/>
  <c r="P62" i="17"/>
  <c r="Q62" i="17" s="1"/>
  <c r="P64" i="17"/>
  <c r="Q64" i="17" s="1"/>
  <c r="P66" i="17"/>
  <c r="Q66" i="17" s="1"/>
  <c r="P68" i="17"/>
  <c r="Q68" i="17" s="1"/>
  <c r="P70" i="17"/>
  <c r="Q70" i="17" s="1"/>
  <c r="P72" i="17"/>
  <c r="Q72" i="17" s="1"/>
  <c r="P74" i="17"/>
  <c r="Q74" i="17" s="1"/>
  <c r="P76" i="17"/>
  <c r="Q76" i="17" s="1"/>
  <c r="P78" i="17"/>
  <c r="Q78" i="17" s="1"/>
  <c r="P80" i="17"/>
  <c r="Q80" i="17" s="1"/>
  <c r="P82" i="17"/>
  <c r="Q82" i="17" s="1"/>
  <c r="P84" i="17"/>
  <c r="Q84" i="17" s="1"/>
  <c r="P86" i="17"/>
  <c r="Q86" i="17" s="1"/>
  <c r="P88" i="17"/>
  <c r="Q88" i="17" s="1"/>
  <c r="P90" i="17"/>
  <c r="Q90" i="17" s="1"/>
  <c r="P92" i="17"/>
  <c r="Q92" i="17" s="1"/>
  <c r="P94" i="17"/>
  <c r="Q94" i="17" s="1"/>
  <c r="P96" i="17"/>
  <c r="Q96" i="17" s="1"/>
  <c r="P98" i="17"/>
  <c r="Q98" i="17" s="1"/>
  <c r="P100" i="17"/>
  <c r="Q100" i="17" s="1"/>
  <c r="P102" i="17"/>
  <c r="Q102" i="17" s="1"/>
  <c r="P104" i="17"/>
  <c r="Q104" i="17" s="1"/>
  <c r="P106" i="17"/>
  <c r="Q106" i="17" s="1"/>
  <c r="P108" i="17"/>
  <c r="Q108" i="17" s="1"/>
  <c r="P110" i="17"/>
  <c r="Q110" i="17" s="1"/>
  <c r="P112" i="17"/>
  <c r="Q112" i="17" s="1"/>
  <c r="P114" i="17"/>
  <c r="Q114" i="17" s="1"/>
  <c r="P116" i="17"/>
  <c r="Q116" i="17" s="1"/>
  <c r="P118" i="17"/>
  <c r="Q118" i="17" s="1"/>
  <c r="P120" i="17"/>
  <c r="Q120" i="17" s="1"/>
  <c r="P122" i="17"/>
  <c r="Q122" i="17" s="1"/>
  <c r="P124" i="17"/>
  <c r="Q124" i="17" s="1"/>
  <c r="P126" i="17"/>
  <c r="Q126" i="17" s="1"/>
  <c r="P128" i="17"/>
  <c r="Q128" i="17" s="1"/>
  <c r="P130" i="17"/>
  <c r="Q130" i="17" s="1"/>
  <c r="P132" i="17"/>
  <c r="Q132" i="17" s="1"/>
  <c r="P134" i="17"/>
  <c r="Q134" i="17" s="1"/>
  <c r="P136" i="17"/>
  <c r="Q136" i="17" s="1"/>
  <c r="P138" i="17"/>
  <c r="Q138" i="17" s="1"/>
  <c r="P140" i="17"/>
  <c r="Q140" i="17" s="1"/>
  <c r="P142" i="17"/>
  <c r="Q142" i="17" s="1"/>
  <c r="P144" i="17"/>
  <c r="Q144" i="17" s="1"/>
  <c r="P146" i="17"/>
  <c r="Q146" i="17" s="1"/>
  <c r="P148" i="17"/>
  <c r="Q148" i="17" s="1"/>
  <c r="P150" i="17"/>
  <c r="Q150" i="17" s="1"/>
  <c r="P152" i="17"/>
  <c r="Q152" i="17" s="1"/>
  <c r="P154" i="17"/>
  <c r="Q154" i="17" s="1"/>
  <c r="P156" i="17"/>
  <c r="Q156" i="17" s="1"/>
  <c r="V3" i="11"/>
  <c r="D1" i="11"/>
  <c r="D31" i="16"/>
  <c r="D29" i="16"/>
  <c r="D25" i="16"/>
  <c r="D24" i="16"/>
  <c r="D21" i="16"/>
  <c r="D19" i="16"/>
  <c r="D7" i="16"/>
  <c r="D4" i="16"/>
  <c r="D2" i="16"/>
  <c r="B15" i="8"/>
  <c r="B17" i="8"/>
  <c r="B18" i="8"/>
  <c r="B19" i="8"/>
  <c r="B14" i="8"/>
  <c r="P29" i="11" l="1"/>
  <c r="Q29" i="11"/>
  <c r="R29" i="11" s="1"/>
  <c r="P31" i="11"/>
  <c r="Q31" i="11"/>
  <c r="R31" i="11" s="1"/>
  <c r="P35" i="11"/>
  <c r="P33" i="11"/>
  <c r="Q35" i="11"/>
  <c r="Q33" i="11"/>
  <c r="R33" i="11" s="1"/>
  <c r="P28" i="11"/>
  <c r="Q28" i="11"/>
  <c r="R28" i="11" s="1"/>
  <c r="P30" i="11"/>
  <c r="Q30" i="11"/>
  <c r="R30" i="11" s="1"/>
  <c r="P32" i="11"/>
  <c r="Q32" i="11"/>
  <c r="R32" i="11" s="1"/>
  <c r="P34" i="11"/>
  <c r="Q34" i="11"/>
  <c r="K11" i="8" a="1"/>
  <c r="K11" i="8" s="1"/>
  <c r="K12" i="8" a="1"/>
  <c r="K12" i="8" s="1"/>
  <c r="E12" i="8"/>
  <c r="K7" i="8"/>
  <c r="Q9" i="11"/>
  <c r="Q8" i="11"/>
  <c r="P8" i="11" s="1"/>
  <c r="Q7" i="11"/>
  <c r="D15" i="8" s="1"/>
  <c r="Q6" i="11"/>
  <c r="P120" i="11"/>
  <c r="P41" i="11"/>
  <c r="P42" i="11"/>
  <c r="P43" i="11"/>
  <c r="P52" i="11"/>
  <c r="P53" i="11"/>
  <c r="P54" i="11"/>
  <c r="P90" i="11"/>
  <c r="P64" i="11"/>
  <c r="P76" i="11"/>
  <c r="P112" i="11"/>
  <c r="P113" i="11"/>
  <c r="P13" i="11"/>
  <c r="P87" i="11"/>
  <c r="P14" i="11"/>
  <c r="P88" i="11"/>
  <c r="P15" i="11"/>
  <c r="P16" i="11"/>
  <c r="P55" i="11"/>
  <c r="P26" i="11"/>
  <c r="P65" i="11"/>
  <c r="P100" i="11"/>
  <c r="P99" i="11"/>
  <c r="P27" i="11"/>
  <c r="P66" i="11"/>
  <c r="P101" i="11"/>
  <c r="P111" i="11"/>
  <c r="P77" i="11"/>
  <c r="P78" i="11"/>
  <c r="P89" i="11"/>
  <c r="P25" i="11"/>
  <c r="P63" i="11"/>
  <c r="P75" i="11"/>
  <c r="P110" i="11"/>
  <c r="P7" i="11"/>
  <c r="P19" i="11"/>
  <c r="P38" i="11"/>
  <c r="P46" i="11"/>
  <c r="P57" i="11"/>
  <c r="P69" i="11"/>
  <c r="P81" i="11"/>
  <c r="P93" i="11"/>
  <c r="P104" i="11"/>
  <c r="P115" i="11"/>
  <c r="P9" i="11"/>
  <c r="P21" i="11"/>
  <c r="P40" i="11"/>
  <c r="P48" i="11"/>
  <c r="P59" i="11"/>
  <c r="P71" i="11"/>
  <c r="P83" i="11"/>
  <c r="P95" i="11"/>
  <c r="P106" i="11"/>
  <c r="P117" i="11"/>
  <c r="P6" i="11"/>
  <c r="P18" i="11"/>
  <c r="P37" i="11"/>
  <c r="P45" i="11"/>
  <c r="P56" i="11"/>
  <c r="P68" i="11"/>
  <c r="P80" i="11"/>
  <c r="P92" i="11"/>
  <c r="P103" i="11"/>
  <c r="P22" i="11"/>
  <c r="P49" i="11"/>
  <c r="P60" i="11"/>
  <c r="P72" i="11"/>
  <c r="P84" i="11"/>
  <c r="P96" i="11"/>
  <c r="P107" i="11"/>
  <c r="P118" i="11"/>
  <c r="P17" i="11"/>
  <c r="P36" i="11"/>
  <c r="P44" i="11"/>
  <c r="P67" i="11"/>
  <c r="P79" i="11"/>
  <c r="P91" i="11"/>
  <c r="P102" i="11"/>
  <c r="P114" i="11"/>
  <c r="P20" i="11"/>
  <c r="P39" i="11"/>
  <c r="P47" i="11"/>
  <c r="P58" i="11"/>
  <c r="P70" i="11"/>
  <c r="P82" i="11"/>
  <c r="P94" i="11"/>
  <c r="P105" i="11"/>
  <c r="P116" i="11"/>
  <c r="P23" i="11"/>
  <c r="P50" i="11"/>
  <c r="P61" i="11"/>
  <c r="P73" i="11"/>
  <c r="P85" i="11"/>
  <c r="P97" i="11"/>
  <c r="P108" i="11"/>
  <c r="P119" i="11"/>
  <c r="P12" i="11"/>
  <c r="P24" i="11"/>
  <c r="P51" i="11"/>
  <c r="P62" i="11"/>
  <c r="P74" i="11"/>
  <c r="P86" i="11"/>
  <c r="P98" i="11"/>
  <c r="P109" i="11"/>
  <c r="F77" i="13"/>
  <c r="B77" i="13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A10" i="12"/>
  <c r="A11" i="12" s="1"/>
  <c r="A12" i="12" s="1"/>
  <c r="A13" i="12" s="1"/>
  <c r="A14" i="12" s="1"/>
  <c r="A15" i="12" s="1"/>
  <c r="F9" i="12"/>
  <c r="F8" i="12"/>
  <c r="A8" i="12"/>
  <c r="A9" i="12" s="1"/>
  <c r="F7" i="12"/>
  <c r="LN6" i="12"/>
  <c r="LM6" i="12"/>
  <c r="LL6" i="12"/>
  <c r="LK6" i="12"/>
  <c r="LJ6" i="12"/>
  <c r="LI6" i="12"/>
  <c r="LH6" i="12"/>
  <c r="LG6" i="12"/>
  <c r="LF6" i="12"/>
  <c r="LE6" i="12"/>
  <c r="LD6" i="12"/>
  <c r="LC6" i="12"/>
  <c r="LB6" i="12"/>
  <c r="LA6" i="12"/>
  <c r="KZ6" i="12"/>
  <c r="KY6" i="12"/>
  <c r="KX6" i="12"/>
  <c r="KW6" i="12"/>
  <c r="KV6" i="12"/>
  <c r="KU6" i="12"/>
  <c r="KT6" i="12"/>
  <c r="KS6" i="12"/>
  <c r="KR6" i="12"/>
  <c r="KQ6" i="12"/>
  <c r="KP6" i="12"/>
  <c r="KO6" i="12"/>
  <c r="KN6" i="12"/>
  <c r="KM6" i="12"/>
  <c r="KL6" i="12"/>
  <c r="KK6" i="12"/>
  <c r="KJ6" i="12"/>
  <c r="KI6" i="12"/>
  <c r="KH6" i="12"/>
  <c r="KG6" i="12"/>
  <c r="KF6" i="12"/>
  <c r="KE6" i="12"/>
  <c r="KD6" i="12"/>
  <c r="KC6" i="12"/>
  <c r="KB6" i="12"/>
  <c r="KA6" i="12"/>
  <c r="JZ6" i="12"/>
  <c r="JY6" i="12"/>
  <c r="JX6" i="12"/>
  <c r="JW6" i="12"/>
  <c r="JV6" i="12"/>
  <c r="JU6" i="12"/>
  <c r="JT6" i="12"/>
  <c r="JS6" i="12"/>
  <c r="JR6" i="12"/>
  <c r="JQ6" i="12"/>
  <c r="JP6" i="12"/>
  <c r="JO6" i="12"/>
  <c r="JN6" i="12"/>
  <c r="JM6" i="12"/>
  <c r="JL6" i="12"/>
  <c r="JK6" i="12"/>
  <c r="JJ6" i="12"/>
  <c r="JI6" i="12"/>
  <c r="JH6" i="12"/>
  <c r="JG6" i="12"/>
  <c r="JF6" i="12"/>
  <c r="JE6" i="12"/>
  <c r="JD6" i="12"/>
  <c r="JC6" i="12"/>
  <c r="JB6" i="12"/>
  <c r="JA6" i="12"/>
  <c r="IZ6" i="12"/>
  <c r="IY6" i="12"/>
  <c r="IX6" i="12"/>
  <c r="IW6" i="12"/>
  <c r="IV6" i="12"/>
  <c r="IU6" i="12"/>
  <c r="IT6" i="12"/>
  <c r="IS6" i="12"/>
  <c r="IR6" i="12"/>
  <c r="IQ6" i="12"/>
  <c r="IP6" i="12"/>
  <c r="IO6" i="12"/>
  <c r="IN6" i="12"/>
  <c r="IM6" i="12"/>
  <c r="IL6" i="12"/>
  <c r="IK6" i="12"/>
  <c r="IJ6" i="12"/>
  <c r="II6" i="12"/>
  <c r="IH6" i="12"/>
  <c r="IG6" i="12"/>
  <c r="IF6" i="12"/>
  <c r="IE6" i="12"/>
  <c r="ID6" i="12"/>
  <c r="IC6" i="12"/>
  <c r="IB6" i="12"/>
  <c r="IA6" i="12"/>
  <c r="HZ6" i="12"/>
  <c r="HY6" i="12"/>
  <c r="HX6" i="12"/>
  <c r="HW6" i="12"/>
  <c r="HV6" i="12"/>
  <c r="HU6" i="12"/>
  <c r="HT6" i="12"/>
  <c r="HS6" i="12"/>
  <c r="HR6" i="12"/>
  <c r="HQ6" i="12"/>
  <c r="HP6" i="12"/>
  <c r="HO6" i="12"/>
  <c r="HN6" i="12"/>
  <c r="HM6" i="12"/>
  <c r="HL6" i="12"/>
  <c r="HK6" i="12"/>
  <c r="HJ6" i="12"/>
  <c r="HI6" i="12"/>
  <c r="HH6" i="12"/>
  <c r="HG6" i="12"/>
  <c r="HF6" i="12"/>
  <c r="HE6" i="12"/>
  <c r="HD6" i="12"/>
  <c r="HC6" i="12"/>
  <c r="HB6" i="12"/>
  <c r="HA6" i="12"/>
  <c r="GZ6" i="12"/>
  <c r="GY6" i="12"/>
  <c r="GX6" i="12"/>
  <c r="GW6" i="12"/>
  <c r="GV6" i="12"/>
  <c r="GU6" i="12"/>
  <c r="GT6" i="12"/>
  <c r="GS6" i="12"/>
  <c r="GR6" i="12"/>
  <c r="GQ6" i="12"/>
  <c r="GP6" i="12"/>
  <c r="GO6" i="12"/>
  <c r="GN6" i="12"/>
  <c r="GM6" i="12"/>
  <c r="GL6" i="12"/>
  <c r="GK6" i="12"/>
  <c r="GJ6" i="12"/>
  <c r="GI6" i="12"/>
  <c r="GH6" i="12"/>
  <c r="GG6" i="12"/>
  <c r="GF6" i="12"/>
  <c r="GE6" i="12"/>
  <c r="GD6" i="12"/>
  <c r="GC6" i="12"/>
  <c r="GB6" i="12"/>
  <c r="GA6" i="12"/>
  <c r="FZ6" i="12"/>
  <c r="FY6" i="12"/>
  <c r="FX6" i="12"/>
  <c r="FW6" i="12"/>
  <c r="FV6" i="12"/>
  <c r="FU6" i="12"/>
  <c r="FT6" i="12"/>
  <c r="FS6" i="12"/>
  <c r="FR6" i="12"/>
  <c r="FQ6" i="12"/>
  <c r="FP6" i="12"/>
  <c r="FO6" i="12"/>
  <c r="FN6" i="12"/>
  <c r="FM6" i="12"/>
  <c r="FL6" i="12"/>
  <c r="FK6" i="12"/>
  <c r="FJ6" i="12"/>
  <c r="FI6" i="12"/>
  <c r="FH6" i="12"/>
  <c r="FG6" i="12"/>
  <c r="FF6" i="12"/>
  <c r="FE6" i="12"/>
  <c r="FD6" i="12"/>
  <c r="FC6" i="12"/>
  <c r="FB6" i="12"/>
  <c r="FA6" i="12"/>
  <c r="EZ6" i="12"/>
  <c r="EY6" i="12"/>
  <c r="EX6" i="12"/>
  <c r="EW6" i="12"/>
  <c r="EV6" i="12"/>
  <c r="EU6" i="12"/>
  <c r="ET6" i="12"/>
  <c r="ES6" i="12"/>
  <c r="ER6" i="12"/>
  <c r="EQ6" i="12"/>
  <c r="EP6" i="12"/>
  <c r="EO6" i="12"/>
  <c r="EN6" i="12"/>
  <c r="EM6" i="12"/>
  <c r="EL6" i="12"/>
  <c r="EK6" i="12"/>
  <c r="EJ6" i="12"/>
  <c r="EI6" i="12"/>
  <c r="EH6" i="12"/>
  <c r="EG6" i="12"/>
  <c r="EF6" i="12"/>
  <c r="EE6" i="12"/>
  <c r="ED6" i="12"/>
  <c r="EC6" i="12"/>
  <c r="EB6" i="12"/>
  <c r="EA6" i="12"/>
  <c r="DZ6" i="12"/>
  <c r="DY6" i="12"/>
  <c r="DX6" i="12"/>
  <c r="DW6" i="12"/>
  <c r="DV6" i="12"/>
  <c r="DU6" i="12"/>
  <c r="DT6" i="12"/>
  <c r="DS6" i="12"/>
  <c r="DR6" i="12"/>
  <c r="DQ6" i="12"/>
  <c r="DP6" i="12"/>
  <c r="DO6" i="12"/>
  <c r="DN6" i="12"/>
  <c r="DM6" i="12"/>
  <c r="DL6" i="12"/>
  <c r="DK6" i="12"/>
  <c r="DJ6" i="12"/>
  <c r="DI6" i="12"/>
  <c r="DH6" i="12"/>
  <c r="DG6" i="12"/>
  <c r="DF6" i="12"/>
  <c r="DE6" i="12"/>
  <c r="DD6" i="12"/>
  <c r="DC6" i="12"/>
  <c r="DB6" i="12"/>
  <c r="DA6" i="12"/>
  <c r="CZ6" i="12"/>
  <c r="CY6" i="12"/>
  <c r="CX6" i="12"/>
  <c r="CW6" i="12"/>
  <c r="CV6" i="12"/>
  <c r="CU6" i="12"/>
  <c r="CT6" i="12"/>
  <c r="CS6" i="12"/>
  <c r="CR6" i="12"/>
  <c r="CQ6" i="12"/>
  <c r="CP6" i="12"/>
  <c r="CO6" i="12"/>
  <c r="CN6" i="12"/>
  <c r="CM6" i="12"/>
  <c r="CL6" i="12"/>
  <c r="CK6" i="12"/>
  <c r="CJ6" i="12"/>
  <c r="CI6" i="12"/>
  <c r="CH6" i="12"/>
  <c r="CG6" i="12"/>
  <c r="CF6" i="12"/>
  <c r="CE6" i="12"/>
  <c r="CD6" i="12"/>
  <c r="CC6" i="12"/>
  <c r="CB6" i="12"/>
  <c r="CA6" i="12"/>
  <c r="BZ6" i="12"/>
  <c r="BY6" i="12"/>
  <c r="BX6" i="12"/>
  <c r="BW6" i="12"/>
  <c r="BV6" i="12"/>
  <c r="BU6" i="12"/>
  <c r="BT6" i="12"/>
  <c r="BS6" i="12"/>
  <c r="BR6" i="12"/>
  <c r="BQ6" i="12"/>
  <c r="BP6" i="12"/>
  <c r="BO6" i="12"/>
  <c r="BN6" i="12"/>
  <c r="BM6" i="12"/>
  <c r="BL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H5" i="12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N5" i="12" s="1"/>
  <c r="AO5" i="12" s="1"/>
  <c r="AP5" i="12" s="1"/>
  <c r="AQ5" i="12" s="1"/>
  <c r="AR5" i="12" s="1"/>
  <c r="AS5" i="12" s="1"/>
  <c r="AT5" i="12" s="1"/>
  <c r="AU5" i="12" s="1"/>
  <c r="AV5" i="12" s="1"/>
  <c r="AW5" i="12" s="1"/>
  <c r="AX5" i="12" s="1"/>
  <c r="AY5" i="12" s="1"/>
  <c r="AZ5" i="12" s="1"/>
  <c r="BA5" i="12" s="1"/>
  <c r="BB5" i="12" s="1"/>
  <c r="BC5" i="12" s="1"/>
  <c r="BD5" i="12" s="1"/>
  <c r="BE5" i="12" s="1"/>
  <c r="BF5" i="12" s="1"/>
  <c r="BG5" i="12" s="1"/>
  <c r="BH5" i="12" s="1"/>
  <c r="BI5" i="12" s="1"/>
  <c r="BJ5" i="12" s="1"/>
  <c r="BK5" i="12" s="1"/>
  <c r="BL5" i="12" s="1"/>
  <c r="BM5" i="12" s="1"/>
  <c r="BN5" i="12" s="1"/>
  <c r="BO5" i="12" s="1"/>
  <c r="BP5" i="12" s="1"/>
  <c r="BQ5" i="12" s="1"/>
  <c r="BR5" i="12" s="1"/>
  <c r="BS5" i="12" s="1"/>
  <c r="BT5" i="12" s="1"/>
  <c r="BU5" i="12" s="1"/>
  <c r="BV5" i="12" s="1"/>
  <c r="BW5" i="12" s="1"/>
  <c r="BX5" i="12" s="1"/>
  <c r="BY5" i="12" s="1"/>
  <c r="BZ5" i="12" s="1"/>
  <c r="CA5" i="12" s="1"/>
  <c r="CB5" i="12" s="1"/>
  <c r="CC5" i="12" s="1"/>
  <c r="CD5" i="12" s="1"/>
  <c r="CE5" i="12" s="1"/>
  <c r="CF5" i="12" s="1"/>
  <c r="CG5" i="12" s="1"/>
  <c r="CH5" i="12" s="1"/>
  <c r="CI5" i="12" s="1"/>
  <c r="CJ5" i="12" s="1"/>
  <c r="CK5" i="12" s="1"/>
  <c r="CL5" i="12" s="1"/>
  <c r="CM5" i="12" s="1"/>
  <c r="CN5" i="12" s="1"/>
  <c r="CO5" i="12" s="1"/>
  <c r="CP5" i="12" s="1"/>
  <c r="CQ5" i="12" s="1"/>
  <c r="CR5" i="12" s="1"/>
  <c r="CS5" i="12" s="1"/>
  <c r="CT5" i="12" s="1"/>
  <c r="CU5" i="12" s="1"/>
  <c r="CV5" i="12" s="1"/>
  <c r="CW5" i="12" s="1"/>
  <c r="CX5" i="12" s="1"/>
  <c r="CY5" i="12" s="1"/>
  <c r="CZ5" i="12" s="1"/>
  <c r="DA5" i="12" s="1"/>
  <c r="DB5" i="12" s="1"/>
  <c r="DC5" i="12" s="1"/>
  <c r="DD5" i="12" s="1"/>
  <c r="DE5" i="12" s="1"/>
  <c r="DF5" i="12" s="1"/>
  <c r="DG5" i="12" s="1"/>
  <c r="DH5" i="12" s="1"/>
  <c r="DI5" i="12" s="1"/>
  <c r="DJ5" i="12" s="1"/>
  <c r="DK5" i="12" s="1"/>
  <c r="DL5" i="12" s="1"/>
  <c r="DM5" i="12" s="1"/>
  <c r="DN5" i="12" s="1"/>
  <c r="DO5" i="12" s="1"/>
  <c r="DP5" i="12" s="1"/>
  <c r="DQ5" i="12" s="1"/>
  <c r="DR5" i="12" s="1"/>
  <c r="DS5" i="12" s="1"/>
  <c r="DT5" i="12" s="1"/>
  <c r="DU5" i="12" s="1"/>
  <c r="DV5" i="12" s="1"/>
  <c r="DW5" i="12" s="1"/>
  <c r="DX5" i="12" s="1"/>
  <c r="DY5" i="12" s="1"/>
  <c r="DZ5" i="12" s="1"/>
  <c r="EA5" i="12" s="1"/>
  <c r="EB5" i="12" s="1"/>
  <c r="EC5" i="12" s="1"/>
  <c r="ED5" i="12" s="1"/>
  <c r="EE5" i="12" s="1"/>
  <c r="EF5" i="12" s="1"/>
  <c r="EG5" i="12" s="1"/>
  <c r="EH5" i="12" s="1"/>
  <c r="EI5" i="12" s="1"/>
  <c r="EJ5" i="12" s="1"/>
  <c r="EK5" i="12" s="1"/>
  <c r="EL5" i="12" s="1"/>
  <c r="EM5" i="12" s="1"/>
  <c r="EN5" i="12" s="1"/>
  <c r="EO5" i="12" s="1"/>
  <c r="EP5" i="12" s="1"/>
  <c r="EQ5" i="12" s="1"/>
  <c r="ER5" i="12" s="1"/>
  <c r="ES5" i="12" s="1"/>
  <c r="ET5" i="12" s="1"/>
  <c r="EU5" i="12" s="1"/>
  <c r="EV5" i="12" s="1"/>
  <c r="EW5" i="12" s="1"/>
  <c r="EX5" i="12" s="1"/>
  <c r="EY5" i="12" s="1"/>
  <c r="EZ5" i="12" s="1"/>
  <c r="FA5" i="12" s="1"/>
  <c r="FB5" i="12" s="1"/>
  <c r="FC5" i="12" s="1"/>
  <c r="FD5" i="12" s="1"/>
  <c r="FE5" i="12" s="1"/>
  <c r="FF5" i="12" s="1"/>
  <c r="FG5" i="12" s="1"/>
  <c r="FH5" i="12" s="1"/>
  <c r="FI5" i="12" s="1"/>
  <c r="FJ5" i="12" s="1"/>
  <c r="FK5" i="12" s="1"/>
  <c r="FL5" i="12" s="1"/>
  <c r="FM5" i="12" s="1"/>
  <c r="FN5" i="12" s="1"/>
  <c r="FO5" i="12" s="1"/>
  <c r="FP5" i="12" s="1"/>
  <c r="FQ5" i="12" s="1"/>
  <c r="FR5" i="12" s="1"/>
  <c r="FS5" i="12" s="1"/>
  <c r="FT5" i="12" s="1"/>
  <c r="FU5" i="12" s="1"/>
  <c r="FV5" i="12" s="1"/>
  <c r="FW5" i="12" s="1"/>
  <c r="FX5" i="12" s="1"/>
  <c r="FY5" i="12" s="1"/>
  <c r="FZ5" i="12" s="1"/>
  <c r="GA5" i="12" s="1"/>
  <c r="GB5" i="12" s="1"/>
  <c r="GC5" i="12" s="1"/>
  <c r="GD5" i="12" s="1"/>
  <c r="GE5" i="12" s="1"/>
  <c r="GF5" i="12" s="1"/>
  <c r="GG5" i="12" s="1"/>
  <c r="GH5" i="12" s="1"/>
  <c r="GI5" i="12" s="1"/>
  <c r="GJ5" i="12" s="1"/>
  <c r="GK5" i="12" s="1"/>
  <c r="GL5" i="12" s="1"/>
  <c r="GM5" i="12" s="1"/>
  <c r="GN5" i="12" s="1"/>
  <c r="GO5" i="12" s="1"/>
  <c r="GP5" i="12" s="1"/>
  <c r="GQ5" i="12" s="1"/>
  <c r="GR5" i="12" s="1"/>
  <c r="GS5" i="12" s="1"/>
  <c r="GT5" i="12" s="1"/>
  <c r="GU5" i="12" s="1"/>
  <c r="GV5" i="12" s="1"/>
  <c r="GW5" i="12" s="1"/>
  <c r="GX5" i="12" s="1"/>
  <c r="GY5" i="12" s="1"/>
  <c r="GZ5" i="12" s="1"/>
  <c r="HA5" i="12" s="1"/>
  <c r="HB5" i="12" s="1"/>
  <c r="HC5" i="12" s="1"/>
  <c r="HD5" i="12" s="1"/>
  <c r="HE5" i="12" s="1"/>
  <c r="HF5" i="12" s="1"/>
  <c r="HG5" i="12" s="1"/>
  <c r="HH5" i="12" s="1"/>
  <c r="HI5" i="12" s="1"/>
  <c r="HJ5" i="12" s="1"/>
  <c r="HK5" i="12" s="1"/>
  <c r="HL5" i="12" s="1"/>
  <c r="HM5" i="12" s="1"/>
  <c r="HN5" i="12" s="1"/>
  <c r="HO5" i="12" s="1"/>
  <c r="HP5" i="12" s="1"/>
  <c r="HQ5" i="12" s="1"/>
  <c r="HR5" i="12" s="1"/>
  <c r="HS5" i="12" s="1"/>
  <c r="HT5" i="12" s="1"/>
  <c r="HU5" i="12" s="1"/>
  <c r="HV5" i="12" s="1"/>
  <c r="HW5" i="12" s="1"/>
  <c r="HX5" i="12" s="1"/>
  <c r="HY5" i="12" s="1"/>
  <c r="HZ5" i="12" s="1"/>
  <c r="IA5" i="12" s="1"/>
  <c r="IB5" i="12" s="1"/>
  <c r="IC5" i="12" s="1"/>
  <c r="ID5" i="12" s="1"/>
  <c r="IE5" i="12" s="1"/>
  <c r="IF5" i="12" s="1"/>
  <c r="IG5" i="12" s="1"/>
  <c r="IH5" i="12" s="1"/>
  <c r="II5" i="12" s="1"/>
  <c r="IJ5" i="12" s="1"/>
  <c r="IK5" i="12" s="1"/>
  <c r="IL5" i="12" s="1"/>
  <c r="IM5" i="12" s="1"/>
  <c r="IN5" i="12" s="1"/>
  <c r="IO5" i="12" s="1"/>
  <c r="IP5" i="12" s="1"/>
  <c r="IQ5" i="12" s="1"/>
  <c r="IR5" i="12" s="1"/>
  <c r="IS5" i="12" s="1"/>
  <c r="IT5" i="12" s="1"/>
  <c r="IU5" i="12" s="1"/>
  <c r="IV5" i="12" s="1"/>
  <c r="IW5" i="12" s="1"/>
  <c r="IX5" i="12" s="1"/>
  <c r="IY5" i="12" s="1"/>
  <c r="IZ5" i="12" s="1"/>
  <c r="JA5" i="12" s="1"/>
  <c r="JB5" i="12" s="1"/>
  <c r="JC5" i="12" s="1"/>
  <c r="JD5" i="12" s="1"/>
  <c r="JE5" i="12" s="1"/>
  <c r="JF5" i="12" s="1"/>
  <c r="JG5" i="12" s="1"/>
  <c r="JH5" i="12" s="1"/>
  <c r="JI5" i="12" s="1"/>
  <c r="JJ5" i="12" s="1"/>
  <c r="JK5" i="12" s="1"/>
  <c r="JL5" i="12" s="1"/>
  <c r="JM5" i="12" s="1"/>
  <c r="JN5" i="12" s="1"/>
  <c r="JO5" i="12" s="1"/>
  <c r="JP5" i="12" s="1"/>
  <c r="JQ5" i="12" s="1"/>
  <c r="JR5" i="12" s="1"/>
  <c r="JS5" i="12" s="1"/>
  <c r="JT5" i="12" s="1"/>
  <c r="JU5" i="12" s="1"/>
  <c r="JV5" i="12" s="1"/>
  <c r="JW5" i="12" s="1"/>
  <c r="JX5" i="12" s="1"/>
  <c r="JY5" i="12" s="1"/>
  <c r="JZ5" i="12" s="1"/>
  <c r="KA5" i="12" s="1"/>
  <c r="KB5" i="12" s="1"/>
  <c r="KC5" i="12" s="1"/>
  <c r="KD5" i="12" s="1"/>
  <c r="KE5" i="12" s="1"/>
  <c r="KF5" i="12" s="1"/>
  <c r="KG5" i="12" s="1"/>
  <c r="KH5" i="12" s="1"/>
  <c r="KI5" i="12" s="1"/>
  <c r="KJ5" i="12" s="1"/>
  <c r="KK5" i="12" s="1"/>
  <c r="KL5" i="12" s="1"/>
  <c r="KM5" i="12" s="1"/>
  <c r="KN5" i="12" s="1"/>
  <c r="KO5" i="12" s="1"/>
  <c r="KP5" i="12" s="1"/>
  <c r="KQ5" i="12" s="1"/>
  <c r="KR5" i="12" s="1"/>
  <c r="KS5" i="12" s="1"/>
  <c r="KT5" i="12" s="1"/>
  <c r="KU5" i="12" s="1"/>
  <c r="KV5" i="12" s="1"/>
  <c r="KW5" i="12" s="1"/>
  <c r="KX5" i="12" s="1"/>
  <c r="KY5" i="12" s="1"/>
  <c r="KZ5" i="12" s="1"/>
  <c r="LA5" i="12" s="1"/>
  <c r="LB5" i="12" s="1"/>
  <c r="LC5" i="12" s="1"/>
  <c r="LD5" i="12" s="1"/>
  <c r="LE5" i="12" s="1"/>
  <c r="LF5" i="12" s="1"/>
  <c r="LG5" i="12" s="1"/>
  <c r="LH5" i="12" s="1"/>
  <c r="LI5" i="12" s="1"/>
  <c r="LJ5" i="12" s="1"/>
  <c r="LK5" i="12" s="1"/>
  <c r="LL5" i="12" s="1"/>
  <c r="LM5" i="12" s="1"/>
  <c r="LN5" i="12" s="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A3" i="11"/>
  <c r="BB3" i="11"/>
  <c r="BC3" i="11"/>
  <c r="BD3" i="11"/>
  <c r="BE3" i="11"/>
  <c r="BF3" i="11"/>
  <c r="BG3" i="11"/>
  <c r="BH3" i="11"/>
  <c r="BI3" i="11"/>
  <c r="BJ3" i="11"/>
  <c r="BK3" i="11"/>
  <c r="BL3" i="11"/>
  <c r="BM3" i="11"/>
  <c r="BN3" i="11"/>
  <c r="S120" i="11"/>
  <c r="N120" i="11"/>
  <c r="O120" i="11" s="1"/>
  <c r="S119" i="11"/>
  <c r="N119" i="11"/>
  <c r="O119" i="11" s="1"/>
  <c r="S118" i="11"/>
  <c r="N118" i="11"/>
  <c r="O118" i="11" s="1"/>
  <c r="S117" i="11"/>
  <c r="N117" i="11"/>
  <c r="O117" i="11" s="1"/>
  <c r="S116" i="11"/>
  <c r="N116" i="11"/>
  <c r="O116" i="11" s="1"/>
  <c r="S115" i="11"/>
  <c r="N115" i="11"/>
  <c r="O115" i="11" s="1"/>
  <c r="S114" i="11"/>
  <c r="N114" i="11"/>
  <c r="O114" i="11" s="1"/>
  <c r="S113" i="11"/>
  <c r="N113" i="11"/>
  <c r="O113" i="11" s="1"/>
  <c r="S112" i="11"/>
  <c r="N112" i="11"/>
  <c r="O112" i="11" s="1"/>
  <c r="S111" i="11"/>
  <c r="N111" i="11"/>
  <c r="O111" i="11" s="1"/>
  <c r="S110" i="11"/>
  <c r="N110" i="11"/>
  <c r="O110" i="11" s="1"/>
  <c r="S109" i="11"/>
  <c r="N109" i="11"/>
  <c r="O109" i="11" s="1"/>
  <c r="S108" i="11"/>
  <c r="N108" i="11"/>
  <c r="O108" i="11" s="1"/>
  <c r="S107" i="11"/>
  <c r="N107" i="11"/>
  <c r="O107" i="11" s="1"/>
  <c r="S106" i="11"/>
  <c r="N106" i="11"/>
  <c r="O106" i="11" s="1"/>
  <c r="S105" i="11"/>
  <c r="N105" i="11"/>
  <c r="O105" i="11" s="1"/>
  <c r="S104" i="11"/>
  <c r="N104" i="11"/>
  <c r="O104" i="11" s="1"/>
  <c r="S103" i="11"/>
  <c r="N103" i="11"/>
  <c r="O103" i="11" s="1"/>
  <c r="S102" i="11"/>
  <c r="N102" i="11"/>
  <c r="O102" i="11" s="1"/>
  <c r="S101" i="11"/>
  <c r="N101" i="11"/>
  <c r="O101" i="11" s="1"/>
  <c r="S100" i="11"/>
  <c r="N100" i="11"/>
  <c r="O100" i="11" s="1"/>
  <c r="S99" i="11"/>
  <c r="N99" i="11"/>
  <c r="O99" i="11" s="1"/>
  <c r="S98" i="11"/>
  <c r="N98" i="11"/>
  <c r="O98" i="11" s="1"/>
  <c r="S97" i="11"/>
  <c r="N97" i="11"/>
  <c r="O97" i="11" s="1"/>
  <c r="S96" i="11"/>
  <c r="N96" i="11"/>
  <c r="O96" i="11" s="1"/>
  <c r="S95" i="11"/>
  <c r="S94" i="11"/>
  <c r="N94" i="11"/>
  <c r="O94" i="11" s="1"/>
  <c r="S93" i="11"/>
  <c r="N93" i="11"/>
  <c r="O93" i="11" s="1"/>
  <c r="S92" i="11"/>
  <c r="N92" i="11"/>
  <c r="O92" i="11" s="1"/>
  <c r="S91" i="11"/>
  <c r="N91" i="11"/>
  <c r="O91" i="11" s="1"/>
  <c r="S90" i="11"/>
  <c r="N90" i="11"/>
  <c r="O90" i="11" s="1"/>
  <c r="S89" i="11"/>
  <c r="N89" i="11"/>
  <c r="O89" i="11" s="1"/>
  <c r="S88" i="11"/>
  <c r="N88" i="11"/>
  <c r="O88" i="11" s="1"/>
  <c r="S87" i="11"/>
  <c r="N87" i="11"/>
  <c r="O87" i="11" s="1"/>
  <c r="S86" i="11"/>
  <c r="N86" i="11"/>
  <c r="O86" i="11" s="1"/>
  <c r="S85" i="11"/>
  <c r="N85" i="11"/>
  <c r="O85" i="11" s="1"/>
  <c r="S84" i="11"/>
  <c r="N84" i="11"/>
  <c r="O84" i="11" s="1"/>
  <c r="S83" i="11"/>
  <c r="N83" i="11"/>
  <c r="O83" i="11" s="1"/>
  <c r="S82" i="11"/>
  <c r="N82" i="11"/>
  <c r="S81" i="11"/>
  <c r="N81" i="11"/>
  <c r="S80" i="11"/>
  <c r="N80" i="11"/>
  <c r="S79" i="11"/>
  <c r="N79" i="11"/>
  <c r="S78" i="11"/>
  <c r="S77" i="11"/>
  <c r="N77" i="11"/>
  <c r="O77" i="11" s="1"/>
  <c r="S76" i="11"/>
  <c r="N76" i="11"/>
  <c r="O76" i="11" s="1"/>
  <c r="S75" i="11"/>
  <c r="N75" i="11"/>
  <c r="O75" i="11" s="1"/>
  <c r="S74" i="11"/>
  <c r="N74" i="11"/>
  <c r="O74" i="11" s="1"/>
  <c r="S73" i="11"/>
  <c r="N73" i="11"/>
  <c r="O73" i="11" s="1"/>
  <c r="S72" i="11"/>
  <c r="N72" i="11"/>
  <c r="O72" i="11" s="1"/>
  <c r="S71" i="11"/>
  <c r="N71" i="11"/>
  <c r="O71" i="11" s="1"/>
  <c r="S70" i="11"/>
  <c r="N70" i="11"/>
  <c r="O70" i="11" s="1"/>
  <c r="S69" i="11"/>
  <c r="N69" i="11"/>
  <c r="O69" i="11" s="1"/>
  <c r="S68" i="11"/>
  <c r="N68" i="11"/>
  <c r="O68" i="11" s="1"/>
  <c r="S67" i="11"/>
  <c r="N67" i="11"/>
  <c r="O67" i="11" s="1"/>
  <c r="S66" i="11"/>
  <c r="N66" i="11"/>
  <c r="O66" i="11" s="1"/>
  <c r="S65" i="11"/>
  <c r="N65" i="11"/>
  <c r="O65" i="11" s="1"/>
  <c r="S64" i="11"/>
  <c r="N64" i="11"/>
  <c r="O64" i="11" s="1"/>
  <c r="S63" i="11"/>
  <c r="N63" i="11"/>
  <c r="O63" i="11" s="1"/>
  <c r="S62" i="11"/>
  <c r="N62" i="11"/>
  <c r="O62" i="11" s="1"/>
  <c r="S61" i="11"/>
  <c r="N61" i="11"/>
  <c r="O61" i="11" s="1"/>
  <c r="S60" i="11"/>
  <c r="N60" i="11"/>
  <c r="O60" i="11" s="1"/>
  <c r="S59" i="11"/>
  <c r="N59" i="11"/>
  <c r="O59" i="11" s="1"/>
  <c r="S58" i="11"/>
  <c r="N58" i="11"/>
  <c r="O58" i="11" s="1"/>
  <c r="S57" i="11"/>
  <c r="N57" i="11"/>
  <c r="O57" i="11" s="1"/>
  <c r="S56" i="11"/>
  <c r="N56" i="11"/>
  <c r="O56" i="11" s="1"/>
  <c r="S55" i="11"/>
  <c r="N55" i="11"/>
  <c r="O55" i="11" s="1"/>
  <c r="S54" i="11"/>
  <c r="N54" i="11"/>
  <c r="O54" i="11" s="1"/>
  <c r="S53" i="11"/>
  <c r="N53" i="11"/>
  <c r="O53" i="11" s="1"/>
  <c r="S52" i="11"/>
  <c r="N52" i="11"/>
  <c r="O52" i="11" s="1"/>
  <c r="S51" i="11"/>
  <c r="N51" i="11"/>
  <c r="O51" i="11" s="1"/>
  <c r="S50" i="11"/>
  <c r="N50" i="11"/>
  <c r="O50" i="11" s="1"/>
  <c r="S49" i="11"/>
  <c r="N49" i="11"/>
  <c r="O49" i="11" s="1"/>
  <c r="S48" i="11"/>
  <c r="N48" i="11"/>
  <c r="O48" i="11" s="1"/>
  <c r="S47" i="11"/>
  <c r="N47" i="11"/>
  <c r="O47" i="11" s="1"/>
  <c r="S46" i="11"/>
  <c r="N46" i="11"/>
  <c r="O46" i="11" s="1"/>
  <c r="S45" i="11"/>
  <c r="N45" i="11"/>
  <c r="O45" i="11" s="1"/>
  <c r="S44" i="11"/>
  <c r="N44" i="11"/>
  <c r="O44" i="11" s="1"/>
  <c r="N43" i="11"/>
  <c r="S42" i="11"/>
  <c r="N42" i="11"/>
  <c r="S41" i="11"/>
  <c r="N41" i="11"/>
  <c r="S40" i="11"/>
  <c r="N40" i="11"/>
  <c r="O40" i="11" s="1"/>
  <c r="S39" i="11"/>
  <c r="N39" i="11"/>
  <c r="O39" i="11" s="1"/>
  <c r="N38" i="11"/>
  <c r="S37" i="11"/>
  <c r="N37" i="11"/>
  <c r="O37" i="11" s="1"/>
  <c r="S36" i="11"/>
  <c r="N36" i="11"/>
  <c r="O36" i="11" s="1"/>
  <c r="S35" i="11"/>
  <c r="S34" i="11"/>
  <c r="S33" i="11"/>
  <c r="S32" i="11"/>
  <c r="S31" i="11"/>
  <c r="S30" i="11"/>
  <c r="S29" i="11"/>
  <c r="S28" i="11"/>
  <c r="N26" i="11"/>
  <c r="N21" i="11"/>
  <c r="O21" i="11" s="1"/>
  <c r="N16" i="11"/>
  <c r="S15" i="11"/>
  <c r="S14" i="11"/>
  <c r="S13" i="11"/>
  <c r="N15" i="11"/>
  <c r="O15" i="11" s="1"/>
  <c r="S12" i="11"/>
  <c r="S11" i="11"/>
  <c r="Q11" i="11" s="1"/>
  <c r="P11" i="11" s="1"/>
  <c r="N11" i="11"/>
  <c r="O11" i="11" s="1"/>
  <c r="S10" i="11"/>
  <c r="Q10" i="11" s="1"/>
  <c r="P10" i="11" s="1"/>
  <c r="N10" i="11"/>
  <c r="O10" i="11" s="1"/>
  <c r="S9" i="11"/>
  <c r="N9" i="11"/>
  <c r="O9" i="11" s="1"/>
  <c r="S8" i="11"/>
  <c r="O8" i="11"/>
  <c r="S7" i="11"/>
  <c r="N7" i="11"/>
  <c r="O7" i="11" s="1"/>
  <c r="S6" i="11"/>
  <c r="O6" i="11"/>
  <c r="N4" i="11"/>
  <c r="O4" i="11" s="1"/>
  <c r="U3" i="11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7" i="10"/>
  <c r="MM6" i="10"/>
  <c r="ML6" i="10"/>
  <c r="MK6" i="10"/>
  <c r="MJ6" i="10"/>
  <c r="MI6" i="10"/>
  <c r="MH6" i="10"/>
  <c r="MG6" i="10"/>
  <c r="MF6" i="10"/>
  <c r="ME6" i="10"/>
  <c r="MD6" i="10"/>
  <c r="MC6" i="10"/>
  <c r="MB6" i="10"/>
  <c r="MA6" i="10"/>
  <c r="LZ6" i="10"/>
  <c r="LY6" i="10"/>
  <c r="LX6" i="10"/>
  <c r="LW6" i="10"/>
  <c r="LV6" i="10"/>
  <c r="LU6" i="10"/>
  <c r="LT6" i="10"/>
  <c r="LS6" i="10"/>
  <c r="LR6" i="10"/>
  <c r="LQ6" i="10"/>
  <c r="LP6" i="10"/>
  <c r="LO6" i="10"/>
  <c r="LN6" i="10"/>
  <c r="LM6" i="10"/>
  <c r="LL6" i="10"/>
  <c r="LK6" i="10"/>
  <c r="LJ6" i="10"/>
  <c r="LI6" i="10"/>
  <c r="LH6" i="10"/>
  <c r="LG6" i="10"/>
  <c r="LF6" i="10"/>
  <c r="LE6" i="10"/>
  <c r="LD6" i="10"/>
  <c r="LC6" i="10"/>
  <c r="LB6" i="10"/>
  <c r="LA6" i="10"/>
  <c r="KZ6" i="10"/>
  <c r="KY6" i="10"/>
  <c r="KX6" i="10"/>
  <c r="KW6" i="10"/>
  <c r="KV6" i="10"/>
  <c r="KU6" i="10"/>
  <c r="KT6" i="10"/>
  <c r="KS6" i="10"/>
  <c r="KR6" i="10"/>
  <c r="KQ6" i="10"/>
  <c r="KP6" i="10"/>
  <c r="KO6" i="10"/>
  <c r="KN6" i="10"/>
  <c r="KM6" i="10"/>
  <c r="KL6" i="10"/>
  <c r="KK6" i="10"/>
  <c r="KJ6" i="10"/>
  <c r="KI6" i="10"/>
  <c r="KH6" i="10"/>
  <c r="KG6" i="10"/>
  <c r="KF6" i="10"/>
  <c r="KE6" i="10"/>
  <c r="KD6" i="10"/>
  <c r="KC6" i="10"/>
  <c r="KB6" i="10"/>
  <c r="KA6" i="10"/>
  <c r="JZ6" i="10"/>
  <c r="JY6" i="10"/>
  <c r="JX6" i="10"/>
  <c r="JW6" i="10"/>
  <c r="JV6" i="10"/>
  <c r="JU6" i="10"/>
  <c r="JT6" i="10"/>
  <c r="JS6" i="10"/>
  <c r="JR6" i="10"/>
  <c r="JQ6" i="10"/>
  <c r="JP6" i="10"/>
  <c r="JO6" i="10"/>
  <c r="JN6" i="10"/>
  <c r="JM6" i="10"/>
  <c r="JL6" i="10"/>
  <c r="JK6" i="10"/>
  <c r="JJ6" i="10"/>
  <c r="JI6" i="10"/>
  <c r="JH6" i="10"/>
  <c r="JG6" i="10"/>
  <c r="JF6" i="10"/>
  <c r="JE6" i="10"/>
  <c r="JD6" i="10"/>
  <c r="JC6" i="10"/>
  <c r="JB6" i="10"/>
  <c r="JA6" i="10"/>
  <c r="IZ6" i="10"/>
  <c r="IY6" i="10"/>
  <c r="IX6" i="10"/>
  <c r="IW6" i="10"/>
  <c r="IV6" i="10"/>
  <c r="IU6" i="10"/>
  <c r="IT6" i="10"/>
  <c r="IS6" i="10"/>
  <c r="IR6" i="10"/>
  <c r="IQ6" i="10"/>
  <c r="IP6" i="10"/>
  <c r="IO6" i="10"/>
  <c r="IN6" i="10"/>
  <c r="IM6" i="10"/>
  <c r="IL6" i="10"/>
  <c r="IK6" i="10"/>
  <c r="IJ6" i="10"/>
  <c r="II6" i="10"/>
  <c r="IH6" i="10"/>
  <c r="IG6" i="10"/>
  <c r="IF6" i="10"/>
  <c r="IE6" i="10"/>
  <c r="ID6" i="10"/>
  <c r="IC6" i="10"/>
  <c r="IB6" i="10"/>
  <c r="IA6" i="10"/>
  <c r="HZ6" i="10"/>
  <c r="HY6" i="10"/>
  <c r="HX6" i="10"/>
  <c r="HW6" i="10"/>
  <c r="HV6" i="10"/>
  <c r="HU6" i="10"/>
  <c r="HT6" i="10"/>
  <c r="HS6" i="10"/>
  <c r="HR6" i="10"/>
  <c r="HQ6" i="10"/>
  <c r="HP6" i="10"/>
  <c r="HO6" i="10"/>
  <c r="HN6" i="10"/>
  <c r="HM6" i="10"/>
  <c r="HL6" i="10"/>
  <c r="HK6" i="10"/>
  <c r="HJ6" i="10"/>
  <c r="HI6" i="10"/>
  <c r="HH6" i="10"/>
  <c r="HG6" i="10"/>
  <c r="HF6" i="10"/>
  <c r="HE6" i="10"/>
  <c r="HD6" i="10"/>
  <c r="HC6" i="10"/>
  <c r="HB6" i="10"/>
  <c r="HA6" i="10"/>
  <c r="GZ6" i="10"/>
  <c r="GY6" i="10"/>
  <c r="GX6" i="10"/>
  <c r="GW6" i="10"/>
  <c r="GV6" i="10"/>
  <c r="GU6" i="10"/>
  <c r="GT6" i="10"/>
  <c r="GS6" i="10"/>
  <c r="GR6" i="10"/>
  <c r="GQ6" i="10"/>
  <c r="GP6" i="10"/>
  <c r="GO6" i="10"/>
  <c r="GN6" i="10"/>
  <c r="GM6" i="10"/>
  <c r="GL6" i="10"/>
  <c r="GK6" i="10"/>
  <c r="GJ6" i="10"/>
  <c r="GI6" i="10"/>
  <c r="GH6" i="10"/>
  <c r="GG6" i="10"/>
  <c r="GF6" i="10"/>
  <c r="GE6" i="10"/>
  <c r="GD6" i="10"/>
  <c r="GC6" i="10"/>
  <c r="GB6" i="10"/>
  <c r="GA6" i="10"/>
  <c r="FZ6" i="10"/>
  <c r="FY6" i="10"/>
  <c r="FX6" i="10"/>
  <c r="FW6" i="10"/>
  <c r="FV6" i="10"/>
  <c r="FU6" i="10"/>
  <c r="FT6" i="10"/>
  <c r="FS6" i="10"/>
  <c r="FR6" i="10"/>
  <c r="FQ6" i="10"/>
  <c r="FP6" i="10"/>
  <c r="FO6" i="10"/>
  <c r="FN6" i="10"/>
  <c r="FM6" i="10"/>
  <c r="FL6" i="10"/>
  <c r="FK6" i="10"/>
  <c r="FJ6" i="10"/>
  <c r="FI6" i="10"/>
  <c r="FH6" i="10"/>
  <c r="FG6" i="10"/>
  <c r="FF6" i="10"/>
  <c r="FE6" i="10"/>
  <c r="FD6" i="10"/>
  <c r="FC6" i="10"/>
  <c r="FB6" i="10"/>
  <c r="FA6" i="10"/>
  <c r="EZ6" i="10"/>
  <c r="EY6" i="10"/>
  <c r="EX6" i="10"/>
  <c r="EW6" i="10"/>
  <c r="EV6" i="10"/>
  <c r="EU6" i="10"/>
  <c r="ET6" i="10"/>
  <c r="ES6" i="10"/>
  <c r="ER6" i="10"/>
  <c r="EQ6" i="10"/>
  <c r="EP6" i="10"/>
  <c r="EO6" i="10"/>
  <c r="EN6" i="10"/>
  <c r="EM6" i="10"/>
  <c r="EL6" i="10"/>
  <c r="EK6" i="10"/>
  <c r="EJ6" i="10"/>
  <c r="EI6" i="10"/>
  <c r="EH6" i="10"/>
  <c r="EG6" i="10"/>
  <c r="EF6" i="10"/>
  <c r="EE6" i="10"/>
  <c r="ED6" i="10"/>
  <c r="EC6" i="10"/>
  <c r="EB6" i="10"/>
  <c r="EA6" i="10"/>
  <c r="DZ6" i="10"/>
  <c r="DY6" i="10"/>
  <c r="DX6" i="10"/>
  <c r="DW6" i="10"/>
  <c r="DV6" i="10"/>
  <c r="DU6" i="10"/>
  <c r="DT6" i="10"/>
  <c r="DS6" i="10"/>
  <c r="DR6" i="10"/>
  <c r="DQ6" i="10"/>
  <c r="DP6" i="10"/>
  <c r="DO6" i="10"/>
  <c r="DN6" i="10"/>
  <c r="DM6" i="10"/>
  <c r="DL6" i="10"/>
  <c r="DK6" i="10"/>
  <c r="DJ6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H5" i="10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CE5" i="10" s="1"/>
  <c r="CF5" i="10" s="1"/>
  <c r="CG5" i="10" s="1"/>
  <c r="CH5" i="10" s="1"/>
  <c r="CI5" i="10" s="1"/>
  <c r="CJ5" i="10" s="1"/>
  <c r="CK5" i="10" s="1"/>
  <c r="CL5" i="10" s="1"/>
  <c r="CM5" i="10" s="1"/>
  <c r="CN5" i="10" s="1"/>
  <c r="CO5" i="10" s="1"/>
  <c r="CP5" i="10" s="1"/>
  <c r="CQ5" i="10" s="1"/>
  <c r="CR5" i="10" s="1"/>
  <c r="CS5" i="10" s="1"/>
  <c r="CT5" i="10" s="1"/>
  <c r="CU5" i="10" s="1"/>
  <c r="CV5" i="10" s="1"/>
  <c r="CW5" i="10" s="1"/>
  <c r="CX5" i="10" s="1"/>
  <c r="CY5" i="10" s="1"/>
  <c r="CZ5" i="10" s="1"/>
  <c r="DA5" i="10" s="1"/>
  <c r="DB5" i="10" s="1"/>
  <c r="DC5" i="10" s="1"/>
  <c r="DD5" i="10" s="1"/>
  <c r="DE5" i="10" s="1"/>
  <c r="DF5" i="10" s="1"/>
  <c r="DG5" i="10" s="1"/>
  <c r="DH5" i="10" s="1"/>
  <c r="DI5" i="10" s="1"/>
  <c r="DJ5" i="10" s="1"/>
  <c r="DK5" i="10" s="1"/>
  <c r="DL5" i="10" s="1"/>
  <c r="DM5" i="10" s="1"/>
  <c r="DN5" i="10" s="1"/>
  <c r="DO5" i="10" s="1"/>
  <c r="DP5" i="10" s="1"/>
  <c r="DQ5" i="10" s="1"/>
  <c r="DR5" i="10" s="1"/>
  <c r="DS5" i="10" s="1"/>
  <c r="DT5" i="10" s="1"/>
  <c r="DU5" i="10" s="1"/>
  <c r="DV5" i="10" s="1"/>
  <c r="DW5" i="10" s="1"/>
  <c r="DX5" i="10" s="1"/>
  <c r="DY5" i="10" s="1"/>
  <c r="DZ5" i="10" s="1"/>
  <c r="EA5" i="10" s="1"/>
  <c r="EB5" i="10" s="1"/>
  <c r="EC5" i="10" s="1"/>
  <c r="ED5" i="10" s="1"/>
  <c r="EE5" i="10" s="1"/>
  <c r="EF5" i="10" s="1"/>
  <c r="EG5" i="10" s="1"/>
  <c r="EH5" i="10" s="1"/>
  <c r="EI5" i="10" s="1"/>
  <c r="EJ5" i="10" s="1"/>
  <c r="EK5" i="10" s="1"/>
  <c r="EL5" i="10" s="1"/>
  <c r="EM5" i="10" s="1"/>
  <c r="EN5" i="10" s="1"/>
  <c r="EO5" i="10" s="1"/>
  <c r="EP5" i="10" s="1"/>
  <c r="EQ5" i="10" s="1"/>
  <c r="ER5" i="10" s="1"/>
  <c r="ES5" i="10" s="1"/>
  <c r="ET5" i="10" s="1"/>
  <c r="EU5" i="10" s="1"/>
  <c r="EV5" i="10" s="1"/>
  <c r="EW5" i="10" s="1"/>
  <c r="EX5" i="10" s="1"/>
  <c r="EY5" i="10" s="1"/>
  <c r="EZ5" i="10" s="1"/>
  <c r="FA5" i="10" s="1"/>
  <c r="FB5" i="10" s="1"/>
  <c r="FC5" i="10" s="1"/>
  <c r="FD5" i="10" s="1"/>
  <c r="FE5" i="10" s="1"/>
  <c r="FF5" i="10" s="1"/>
  <c r="FG5" i="10" s="1"/>
  <c r="FH5" i="10" s="1"/>
  <c r="FI5" i="10" s="1"/>
  <c r="FJ5" i="10" s="1"/>
  <c r="FK5" i="10" s="1"/>
  <c r="FL5" i="10" s="1"/>
  <c r="FM5" i="10" s="1"/>
  <c r="FN5" i="10" s="1"/>
  <c r="FO5" i="10" s="1"/>
  <c r="FP5" i="10" s="1"/>
  <c r="FQ5" i="10" s="1"/>
  <c r="FR5" i="10" s="1"/>
  <c r="FS5" i="10" s="1"/>
  <c r="FT5" i="10" s="1"/>
  <c r="FU5" i="10" s="1"/>
  <c r="FV5" i="10" s="1"/>
  <c r="FW5" i="10" s="1"/>
  <c r="FX5" i="10" s="1"/>
  <c r="FY5" i="10" s="1"/>
  <c r="FZ5" i="10" s="1"/>
  <c r="GA5" i="10" s="1"/>
  <c r="GB5" i="10" s="1"/>
  <c r="GC5" i="10" s="1"/>
  <c r="GD5" i="10" s="1"/>
  <c r="GE5" i="10" s="1"/>
  <c r="GF5" i="10" s="1"/>
  <c r="GG5" i="10" s="1"/>
  <c r="GH5" i="10" s="1"/>
  <c r="GI5" i="10" s="1"/>
  <c r="GJ5" i="10" s="1"/>
  <c r="GK5" i="10" s="1"/>
  <c r="GL5" i="10" s="1"/>
  <c r="GM5" i="10" s="1"/>
  <c r="GN5" i="10" s="1"/>
  <c r="GO5" i="10" s="1"/>
  <c r="GP5" i="10" s="1"/>
  <c r="GQ5" i="10" s="1"/>
  <c r="GR5" i="10" s="1"/>
  <c r="GS5" i="10" s="1"/>
  <c r="GT5" i="10" s="1"/>
  <c r="GU5" i="10" s="1"/>
  <c r="GV5" i="10" s="1"/>
  <c r="GW5" i="10" s="1"/>
  <c r="GX5" i="10" s="1"/>
  <c r="GY5" i="10" s="1"/>
  <c r="GZ5" i="10" s="1"/>
  <c r="HA5" i="10" s="1"/>
  <c r="HB5" i="10" s="1"/>
  <c r="HC5" i="10" s="1"/>
  <c r="HD5" i="10" s="1"/>
  <c r="HE5" i="10" s="1"/>
  <c r="HF5" i="10" s="1"/>
  <c r="HG5" i="10" s="1"/>
  <c r="HH5" i="10" s="1"/>
  <c r="HI5" i="10" s="1"/>
  <c r="HJ5" i="10" s="1"/>
  <c r="HK5" i="10" s="1"/>
  <c r="HL5" i="10" s="1"/>
  <c r="HM5" i="10" s="1"/>
  <c r="HN5" i="10" s="1"/>
  <c r="HO5" i="10" s="1"/>
  <c r="HP5" i="10" s="1"/>
  <c r="HQ5" i="10" s="1"/>
  <c r="HR5" i="10" s="1"/>
  <c r="HS5" i="10" s="1"/>
  <c r="HT5" i="10" s="1"/>
  <c r="HU5" i="10" s="1"/>
  <c r="HV5" i="10" s="1"/>
  <c r="HW5" i="10" s="1"/>
  <c r="HX5" i="10" s="1"/>
  <c r="HY5" i="10" s="1"/>
  <c r="HZ5" i="10" s="1"/>
  <c r="IA5" i="10" s="1"/>
  <c r="IB5" i="10" s="1"/>
  <c r="IC5" i="10" s="1"/>
  <c r="ID5" i="10" s="1"/>
  <c r="IE5" i="10" s="1"/>
  <c r="IF5" i="10" s="1"/>
  <c r="IG5" i="10" s="1"/>
  <c r="IH5" i="10" s="1"/>
  <c r="II5" i="10" s="1"/>
  <c r="IJ5" i="10" s="1"/>
  <c r="IK5" i="10" s="1"/>
  <c r="IL5" i="10" s="1"/>
  <c r="IM5" i="10" s="1"/>
  <c r="IN5" i="10" s="1"/>
  <c r="IO5" i="10" s="1"/>
  <c r="IP5" i="10" s="1"/>
  <c r="IQ5" i="10" s="1"/>
  <c r="IR5" i="10" s="1"/>
  <c r="IS5" i="10" s="1"/>
  <c r="IT5" i="10" s="1"/>
  <c r="IU5" i="10" s="1"/>
  <c r="IV5" i="10" s="1"/>
  <c r="IW5" i="10" s="1"/>
  <c r="IX5" i="10" s="1"/>
  <c r="IY5" i="10" s="1"/>
  <c r="IZ5" i="10" s="1"/>
  <c r="JA5" i="10" s="1"/>
  <c r="JB5" i="10" s="1"/>
  <c r="JC5" i="10" s="1"/>
  <c r="JD5" i="10" s="1"/>
  <c r="JE5" i="10" s="1"/>
  <c r="JF5" i="10" s="1"/>
  <c r="JG5" i="10" s="1"/>
  <c r="JH5" i="10" s="1"/>
  <c r="JI5" i="10" s="1"/>
  <c r="JJ5" i="10" s="1"/>
  <c r="JK5" i="10" s="1"/>
  <c r="JL5" i="10" s="1"/>
  <c r="JM5" i="10" s="1"/>
  <c r="JN5" i="10" s="1"/>
  <c r="JO5" i="10" s="1"/>
  <c r="JP5" i="10" s="1"/>
  <c r="JQ5" i="10" s="1"/>
  <c r="JR5" i="10" s="1"/>
  <c r="JS5" i="10" s="1"/>
  <c r="JT5" i="10" s="1"/>
  <c r="JU5" i="10" s="1"/>
  <c r="JV5" i="10" s="1"/>
  <c r="JW5" i="10" s="1"/>
  <c r="JX5" i="10" s="1"/>
  <c r="JY5" i="10" s="1"/>
  <c r="JZ5" i="10" s="1"/>
  <c r="KA5" i="10" s="1"/>
  <c r="KB5" i="10" s="1"/>
  <c r="KC5" i="10" s="1"/>
  <c r="KD5" i="10" s="1"/>
  <c r="KE5" i="10" s="1"/>
  <c r="KF5" i="10" s="1"/>
  <c r="KG5" i="10" s="1"/>
  <c r="KH5" i="10" s="1"/>
  <c r="KI5" i="10" s="1"/>
  <c r="KJ5" i="10" s="1"/>
  <c r="KK5" i="10" s="1"/>
  <c r="KL5" i="10" s="1"/>
  <c r="KM5" i="10" s="1"/>
  <c r="KN5" i="10" s="1"/>
  <c r="KO5" i="10" s="1"/>
  <c r="KP5" i="10" s="1"/>
  <c r="KQ5" i="10" s="1"/>
  <c r="KR5" i="10" s="1"/>
  <c r="KS5" i="10" s="1"/>
  <c r="KT5" i="10" s="1"/>
  <c r="KU5" i="10" s="1"/>
  <c r="KV5" i="10" s="1"/>
  <c r="KW5" i="10" s="1"/>
  <c r="KX5" i="10" s="1"/>
  <c r="KY5" i="10" s="1"/>
  <c r="KZ5" i="10" s="1"/>
  <c r="LA5" i="10" s="1"/>
  <c r="LB5" i="10" s="1"/>
  <c r="LC5" i="10" s="1"/>
  <c r="LD5" i="10" s="1"/>
  <c r="LE5" i="10" s="1"/>
  <c r="LF5" i="10" s="1"/>
  <c r="LG5" i="10" s="1"/>
  <c r="LH5" i="10" s="1"/>
  <c r="LI5" i="10" s="1"/>
  <c r="LJ5" i="10" s="1"/>
  <c r="LK5" i="10" s="1"/>
  <c r="LL5" i="10" s="1"/>
  <c r="LM5" i="10" s="1"/>
  <c r="LN5" i="10" s="1"/>
  <c r="LO5" i="10" s="1"/>
  <c r="LP5" i="10" s="1"/>
  <c r="LQ5" i="10" s="1"/>
  <c r="LR5" i="10" s="1"/>
  <c r="LS5" i="10" s="1"/>
  <c r="LT5" i="10" s="1"/>
  <c r="LU5" i="10" s="1"/>
  <c r="LV5" i="10" s="1"/>
  <c r="LW5" i="10" s="1"/>
  <c r="LX5" i="10" s="1"/>
  <c r="LY5" i="10" s="1"/>
  <c r="LZ5" i="10" s="1"/>
  <c r="MA5" i="10" s="1"/>
  <c r="MB5" i="10" s="1"/>
  <c r="MC5" i="10" s="1"/>
  <c r="MD5" i="10" s="1"/>
  <c r="ME5" i="10" s="1"/>
  <c r="MF5" i="10" s="1"/>
  <c r="MG5" i="10" s="1"/>
  <c r="MH5" i="10" s="1"/>
  <c r="MI5" i="10" s="1"/>
  <c r="MJ5" i="10" s="1"/>
  <c r="MK5" i="10" s="1"/>
  <c r="ML5" i="10" s="1"/>
  <c r="MM5" i="10" s="1"/>
  <c r="R5" i="11" l="1"/>
  <c r="P5" i="11"/>
  <c r="H15" i="8"/>
  <c r="G15" i="8" s="1"/>
  <c r="E15" i="8"/>
  <c r="F6" i="12"/>
  <c r="O82" i="11"/>
  <c r="N78" i="11"/>
  <c r="O78" i="11" s="1"/>
  <c r="O38" i="11"/>
  <c r="N95" i="11"/>
  <c r="O95" i="11" s="1"/>
  <c r="O16" i="11"/>
  <c r="N14" i="11"/>
  <c r="O14" i="11" s="1"/>
  <c r="O41" i="11"/>
  <c r="O80" i="11"/>
  <c r="Q115" i="11"/>
  <c r="R115" i="11" s="1"/>
  <c r="Q70" i="11"/>
  <c r="R70" i="11" s="1"/>
  <c r="Q114" i="11"/>
  <c r="R114" i="11" s="1"/>
  <c r="Q109" i="11"/>
  <c r="R109" i="11" s="1"/>
  <c r="Q100" i="11"/>
  <c r="R100" i="11" s="1"/>
  <c r="Q93" i="11"/>
  <c r="R93" i="11" s="1"/>
  <c r="Q88" i="11"/>
  <c r="R88" i="11" s="1"/>
  <c r="Q85" i="11"/>
  <c r="R85" i="11" s="1"/>
  <c r="Q46" i="11"/>
  <c r="R46" i="11" s="1"/>
  <c r="Q14" i="11"/>
  <c r="R14" i="11" s="1"/>
  <c r="Q96" i="11"/>
  <c r="R96" i="11" s="1"/>
  <c r="Q76" i="11"/>
  <c r="R76" i="11" s="1"/>
  <c r="Q73" i="11"/>
  <c r="R73" i="11" s="1"/>
  <c r="R35" i="11"/>
  <c r="Q106" i="11"/>
  <c r="R106" i="11" s="1"/>
  <c r="Q102" i="11"/>
  <c r="R102" i="11" s="1"/>
  <c r="Q74" i="11"/>
  <c r="R74" i="11" s="1"/>
  <c r="Q56" i="11"/>
  <c r="R56" i="11" s="1"/>
  <c r="Q45" i="11"/>
  <c r="R45" i="11" s="1"/>
  <c r="Q68" i="11"/>
  <c r="R68" i="11" s="1"/>
  <c r="Q61" i="11"/>
  <c r="R61" i="11" s="1"/>
  <c r="Q59" i="11"/>
  <c r="R59" i="11" s="1"/>
  <c r="Q57" i="11"/>
  <c r="R57" i="11" s="1"/>
  <c r="Q41" i="11"/>
  <c r="R41" i="11" s="1"/>
  <c r="Q86" i="11"/>
  <c r="R86" i="11" s="1"/>
  <c r="Q13" i="11"/>
  <c r="R13" i="11" s="1"/>
  <c r="Q36" i="11"/>
  <c r="R36" i="11" s="1"/>
  <c r="Q105" i="11"/>
  <c r="R105" i="11" s="1"/>
  <c r="Q99" i="11"/>
  <c r="R99" i="11" s="1"/>
  <c r="Q97" i="11"/>
  <c r="R97" i="11" s="1"/>
  <c r="Q83" i="11"/>
  <c r="R83" i="11" s="1"/>
  <c r="Q116" i="11"/>
  <c r="R116" i="11" s="1"/>
  <c r="Q77" i="11"/>
  <c r="R77" i="11" s="1"/>
  <c r="Q63" i="11"/>
  <c r="R63" i="11" s="1"/>
  <c r="Q119" i="11"/>
  <c r="R119" i="11" s="1"/>
  <c r="Q49" i="11"/>
  <c r="R49" i="11" s="1"/>
  <c r="Q75" i="11"/>
  <c r="R75" i="11" s="1"/>
  <c r="Q117" i="11"/>
  <c r="R117" i="11" s="1"/>
  <c r="Q103" i="11"/>
  <c r="R103" i="11" s="1"/>
  <c r="Q15" i="11"/>
  <c r="R15" i="11" s="1"/>
  <c r="Q66" i="11"/>
  <c r="R66" i="11" s="1"/>
  <c r="Q94" i="11"/>
  <c r="R94" i="11" s="1"/>
  <c r="Q112" i="11"/>
  <c r="R112" i="11" s="1"/>
  <c r="Q69" i="11"/>
  <c r="R69" i="11" s="1"/>
  <c r="Q50" i="11"/>
  <c r="R50" i="11" s="1"/>
  <c r="Q58" i="11"/>
  <c r="R58" i="11" s="1"/>
  <c r="Q108" i="11"/>
  <c r="R108" i="11" s="1"/>
  <c r="Q37" i="11"/>
  <c r="R37" i="11" s="1"/>
  <c r="Q87" i="11"/>
  <c r="R87" i="11" s="1"/>
  <c r="Q89" i="11"/>
  <c r="R89" i="11" s="1"/>
  <c r="Q98" i="11"/>
  <c r="R98" i="11" s="1"/>
  <c r="R34" i="11"/>
  <c r="Q120" i="11"/>
  <c r="R120" i="11" s="1"/>
  <c r="Q54" i="11"/>
  <c r="R54" i="11" s="1"/>
  <c r="Q82" i="11"/>
  <c r="R82" i="11" s="1"/>
  <c r="Q52" i="11"/>
  <c r="R52" i="11" s="1"/>
  <c r="Q12" i="11"/>
  <c r="R12" i="11" s="1"/>
  <c r="Q40" i="11"/>
  <c r="R40" i="11" s="1"/>
  <c r="Q67" i="11"/>
  <c r="R67" i="11" s="1"/>
  <c r="N12" i="11"/>
  <c r="O12" i="11" s="1"/>
  <c r="N13" i="11"/>
  <c r="O13" i="11" s="1"/>
  <c r="S4" i="11"/>
  <c r="O26" i="11"/>
  <c r="N20" i="11"/>
  <c r="O79" i="11"/>
  <c r="O43" i="11"/>
  <c r="O42" i="11"/>
  <c r="Q81" i="11"/>
  <c r="Q78" i="11"/>
  <c r="R78" i="11" s="1"/>
  <c r="Q92" i="11"/>
  <c r="R92" i="11" s="1"/>
  <c r="Q80" i="11"/>
  <c r="R80" i="11" s="1"/>
  <c r="Q79" i="11"/>
  <c r="R79" i="11" s="1"/>
  <c r="Q64" i="11"/>
  <c r="R64" i="11" s="1"/>
  <c r="Q53" i="11"/>
  <c r="R53" i="11" s="1"/>
  <c r="Q104" i="11"/>
  <c r="R104" i="11" s="1"/>
  <c r="Q62" i="11"/>
  <c r="R62" i="11" s="1"/>
  <c r="Q55" i="11"/>
  <c r="R55" i="11" s="1"/>
  <c r="Q48" i="11"/>
  <c r="R48" i="11" s="1"/>
  <c r="Q90" i="11"/>
  <c r="R90" i="11" s="1"/>
  <c r="Q71" i="11"/>
  <c r="R71" i="11" s="1"/>
  <c r="Q65" i="11"/>
  <c r="R65" i="11" s="1"/>
  <c r="Q60" i="11"/>
  <c r="R60" i="11" s="1"/>
  <c r="Q42" i="11"/>
  <c r="R42" i="11" s="1"/>
  <c r="Q39" i="11"/>
  <c r="R39" i="11" s="1"/>
  <c r="Q118" i="11"/>
  <c r="R118" i="11" s="1"/>
  <c r="Q111" i="11"/>
  <c r="R111" i="11" s="1"/>
  <c r="Q107" i="11"/>
  <c r="R107" i="11" s="1"/>
  <c r="Q84" i="11"/>
  <c r="R84" i="11" s="1"/>
  <c r="Q72" i="11"/>
  <c r="R72" i="11" s="1"/>
  <c r="Q44" i="11"/>
  <c r="R44" i="11" s="1"/>
  <c r="R7" i="11"/>
  <c r="Q47" i="11"/>
  <c r="R47" i="11" s="1"/>
  <c r="Q51" i="11"/>
  <c r="R51" i="11" s="1"/>
  <c r="Q91" i="11"/>
  <c r="R91" i="11" s="1"/>
  <c r="Q95" i="11"/>
  <c r="R95" i="11" s="1"/>
  <c r="Q101" i="11"/>
  <c r="R101" i="11" s="1"/>
  <c r="Q110" i="11"/>
  <c r="R110" i="11" s="1"/>
  <c r="Q113" i="11"/>
  <c r="R113" i="11" s="1"/>
  <c r="F6" i="10"/>
  <c r="D11" i="8" l="1"/>
  <c r="E11" i="8" s="1"/>
  <c r="Q4" i="11"/>
  <c r="R11" i="11"/>
  <c r="D19" i="8"/>
  <c r="H19" i="8" s="1"/>
  <c r="G19" i="8" s="1"/>
  <c r="R9" i="11"/>
  <c r="D17" i="8"/>
  <c r="H17" i="8" s="1"/>
  <c r="G17" i="8" s="1"/>
  <c r="R10" i="11"/>
  <c r="D18" i="8"/>
  <c r="H18" i="8" s="1"/>
  <c r="G18" i="8" s="1"/>
  <c r="R8" i="11"/>
  <c r="D16" i="8"/>
  <c r="H16" i="8" s="1"/>
  <c r="G16" i="8" s="1"/>
  <c r="R6" i="11"/>
  <c r="D14" i="8"/>
  <c r="H14" i="8" s="1"/>
  <c r="G14" i="8" s="1"/>
  <c r="S38" i="11"/>
  <c r="O20" i="11"/>
  <c r="S16" i="11"/>
  <c r="Q16" i="11"/>
  <c r="R16" i="11" s="1"/>
  <c r="O81" i="11"/>
  <c r="R81" i="11"/>
  <c r="N19" i="11"/>
  <c r="S43" i="11"/>
  <c r="Q43" i="11"/>
  <c r="R43" i="11" s="1"/>
  <c r="Q26" i="11"/>
  <c r="R26" i="11" s="1"/>
  <c r="S26" i="11"/>
  <c r="S21" i="11"/>
  <c r="Q21" i="11"/>
  <c r="R21" i="11" s="1"/>
  <c r="Q38" i="11"/>
  <c r="R38" i="11" s="1"/>
  <c r="H11" i="8" l="1"/>
  <c r="G11" i="8" s="1"/>
  <c r="P4" i="11"/>
  <c r="R4" i="11"/>
  <c r="E16" i="8"/>
  <c r="E18" i="8"/>
  <c r="E17" i="8"/>
  <c r="E19" i="8"/>
  <c r="E14" i="8"/>
  <c r="N17" i="11"/>
  <c r="N18" i="11"/>
  <c r="O19" i="11"/>
  <c r="N25" i="11"/>
  <c r="O25" i="11" s="1"/>
  <c r="S25" i="11"/>
  <c r="Q25" i="11"/>
  <c r="R25" i="11" s="1"/>
  <c r="S20" i="11"/>
  <c r="Q20" i="11"/>
  <c r="R20" i="11" s="1"/>
  <c r="G59" i="8" l="1"/>
  <c r="C72" i="8" s="1"/>
  <c r="N27" i="11"/>
  <c r="O27" i="11" s="1"/>
  <c r="S19" i="11"/>
  <c r="Q19" i="11"/>
  <c r="R19" i="11" s="1"/>
  <c r="S24" i="11"/>
  <c r="Q24" i="11"/>
  <c r="R24" i="11" s="1"/>
  <c r="O18" i="11"/>
  <c r="N24" i="11"/>
  <c r="O24" i="11" s="1"/>
  <c r="O17" i="11"/>
  <c r="Q18" i="11" l="1"/>
  <c r="R18" i="11" s="1"/>
  <c r="S18" i="11"/>
  <c r="S17" i="11"/>
  <c r="Q17" i="11"/>
  <c r="R17" i="11" s="1"/>
  <c r="S23" i="11"/>
  <c r="Q23" i="11"/>
  <c r="R23" i="11" s="1"/>
  <c r="N23" i="11"/>
  <c r="O23" i="11" s="1"/>
  <c r="N22" i="11"/>
  <c r="O22" i="11" s="1"/>
  <c r="S22" i="11"/>
  <c r="Q22" i="11"/>
  <c r="R22" i="11" s="1"/>
  <c r="S27" i="11"/>
  <c r="Q27" i="11"/>
  <c r="R27" i="11" s="1"/>
  <c r="E5" i="12" l="1"/>
  <c r="E10" i="12" s="1"/>
  <c r="E6" i="12" s="1"/>
  <c r="F59" i="8" l="1"/>
  <c r="C71" i="8" s="1"/>
  <c r="C73" i="8" s="1"/>
  <c r="B3" i="10" l="1"/>
  <c r="E5" i="10" s="1"/>
  <c r="E122" i="10" l="1"/>
  <c r="E17" i="10"/>
  <c r="E22" i="10"/>
  <c r="E93" i="10"/>
  <c r="E108" i="10"/>
  <c r="E46" i="10"/>
  <c r="E54" i="10"/>
  <c r="E139" i="10"/>
  <c r="E29" i="10"/>
  <c r="E99" i="10"/>
  <c r="E116" i="10"/>
  <c r="E133" i="10"/>
  <c r="E119" i="10"/>
  <c r="E84" i="10"/>
  <c r="E67" i="10"/>
  <c r="E58" i="10"/>
  <c r="E59" i="10"/>
  <c r="E41" i="10"/>
  <c r="E102" i="10"/>
  <c r="E44" i="10"/>
  <c r="E136" i="10"/>
  <c r="E123" i="10"/>
  <c r="E83" i="10"/>
  <c r="E94" i="10"/>
  <c r="E82" i="10"/>
  <c r="E112" i="10"/>
  <c r="E135" i="10"/>
  <c r="E40" i="10"/>
  <c r="E109" i="10"/>
  <c r="E18" i="10"/>
  <c r="E98" i="10"/>
  <c r="E14" i="10"/>
  <c r="E19" i="10"/>
  <c r="E53" i="10"/>
  <c r="E101" i="10"/>
  <c r="E106" i="10"/>
  <c r="E110" i="10"/>
  <c r="E49" i="10"/>
  <c r="E79" i="10"/>
  <c r="E73" i="10"/>
  <c r="E30" i="10"/>
  <c r="E52" i="10"/>
  <c r="E35" i="10"/>
  <c r="E55" i="10"/>
  <c r="E36" i="10"/>
  <c r="E130" i="10"/>
  <c r="E50" i="10"/>
  <c r="E129" i="10"/>
  <c r="E92" i="10"/>
  <c r="E32" i="10"/>
  <c r="E96" i="10"/>
  <c r="E39" i="10"/>
  <c r="E47" i="10"/>
  <c r="E56" i="10"/>
  <c r="E115" i="10"/>
  <c r="E15" i="10"/>
  <c r="E10" i="10"/>
  <c r="E95" i="10"/>
  <c r="E25" i="10"/>
  <c r="E138" i="10"/>
  <c r="E111" i="10"/>
  <c r="E21" i="10"/>
  <c r="E24" i="10"/>
  <c r="E51" i="10"/>
  <c r="E38" i="10"/>
  <c r="E118" i="10"/>
  <c r="E76" i="10"/>
  <c r="E85" i="10"/>
  <c r="E37" i="10"/>
  <c r="E62" i="10"/>
  <c r="E65" i="10"/>
  <c r="E134" i="10"/>
  <c r="E11" i="10"/>
  <c r="E48" i="10"/>
  <c r="E113" i="10"/>
  <c r="E23" i="10"/>
  <c r="E104" i="10"/>
  <c r="E61" i="10"/>
  <c r="E66" i="10"/>
  <c r="E126" i="10"/>
  <c r="E74" i="10"/>
  <c r="E71" i="10"/>
  <c r="E131" i="10"/>
  <c r="E120" i="10"/>
  <c r="E89" i="10"/>
  <c r="E57" i="10"/>
  <c r="E88" i="10"/>
  <c r="E7" i="10"/>
  <c r="E78" i="10"/>
  <c r="E33" i="10"/>
  <c r="E114" i="10"/>
  <c r="E16" i="10"/>
  <c r="E8" i="10"/>
  <c r="E124" i="10"/>
  <c r="E100" i="10"/>
  <c r="E77" i="10"/>
  <c r="E45" i="10"/>
  <c r="E90" i="10"/>
  <c r="E75" i="10"/>
  <c r="E132" i="10"/>
  <c r="E97" i="10"/>
  <c r="E69" i="10"/>
  <c r="E86" i="10"/>
  <c r="E60" i="10"/>
  <c r="E9" i="10"/>
  <c r="E26" i="10"/>
  <c r="E31" i="10"/>
  <c r="E117" i="10"/>
  <c r="E64" i="10"/>
  <c r="E81" i="10"/>
  <c r="E43" i="10"/>
  <c r="E63" i="10"/>
  <c r="E137" i="10"/>
  <c r="E127" i="10"/>
  <c r="E128" i="10"/>
  <c r="E87" i="10"/>
  <c r="E91" i="10"/>
  <c r="E103" i="10"/>
  <c r="E34" i="10"/>
  <c r="E105" i="10"/>
  <c r="E125" i="10"/>
  <c r="E20" i="10"/>
  <c r="E42" i="10"/>
  <c r="E80" i="10"/>
  <c r="E68" i="10"/>
  <c r="E70" i="10"/>
  <c r="E28" i="10"/>
  <c r="E121" i="10"/>
  <c r="E27" i="10"/>
  <c r="E107" i="10"/>
  <c r="E13" i="10"/>
  <c r="E72" i="10"/>
  <c r="E6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<sst xmlns="http://schemas.openxmlformats.org/spreadsheetml/2006/main" count="3539" uniqueCount="853">
  <si>
    <t>Description</t>
  </si>
  <si>
    <t>Qty</t>
  </si>
  <si>
    <t>Block</t>
  </si>
  <si>
    <t>UoM</t>
  </si>
  <si>
    <t>Grading</t>
  </si>
  <si>
    <t>Acre</t>
  </si>
  <si>
    <t>Civil</t>
  </si>
  <si>
    <t>Completed</t>
  </si>
  <si>
    <t>Balance</t>
  </si>
  <si>
    <t>Scope</t>
  </si>
  <si>
    <t>Date</t>
  </si>
  <si>
    <t>Lot</t>
  </si>
  <si>
    <t>%</t>
  </si>
  <si>
    <t>nos.</t>
  </si>
  <si>
    <t>DC</t>
  </si>
  <si>
    <t>AC</t>
  </si>
  <si>
    <t>Equipment Earthing</t>
  </si>
  <si>
    <t>SCB</t>
  </si>
  <si>
    <t>Land Development</t>
  </si>
  <si>
    <t>Site Initials</t>
  </si>
  <si>
    <t>Pile - Marking, Drilling &amp; Casting</t>
  </si>
  <si>
    <t xml:space="preserve">Equipments Foundation </t>
  </si>
  <si>
    <t>Excavation For Trenches</t>
  </si>
  <si>
    <t>Road Work</t>
  </si>
  <si>
    <t>MMS</t>
  </si>
  <si>
    <t xml:space="preserve"> Module Mounting Structures </t>
  </si>
  <si>
    <t xml:space="preserve"> PV Modules </t>
  </si>
  <si>
    <t>Solar Cables (Interconnection after module installation)</t>
  </si>
  <si>
    <t>SCB-MOUNTING</t>
  </si>
  <si>
    <t>SCB Installation</t>
  </si>
  <si>
    <t>Equipment Installation</t>
  </si>
  <si>
    <t>Cable Tray Works</t>
  </si>
  <si>
    <t>HT&amp;LT Cable Laying</t>
  </si>
  <si>
    <t>Communication Cable Laying &amp; termination</t>
  </si>
  <si>
    <t>HT&amp;LT Cable Termination</t>
  </si>
  <si>
    <t>Plant Earthing Completion</t>
  </si>
  <si>
    <t>External Works</t>
  </si>
  <si>
    <t>Street Light Works</t>
  </si>
  <si>
    <t>External Earthing Completion</t>
  </si>
  <si>
    <t>Allied works</t>
  </si>
  <si>
    <t>WMS</t>
  </si>
  <si>
    <t>MCS</t>
  </si>
  <si>
    <t>Allied work completion</t>
  </si>
  <si>
    <t>Pre-Commissioning</t>
  </si>
  <si>
    <t>Synchinization Approval</t>
  </si>
  <si>
    <t xml:space="preserve">Commissioning </t>
  </si>
  <si>
    <t>Array &amp; Module Earthing</t>
  </si>
  <si>
    <t>DC Earthing</t>
  </si>
  <si>
    <t>Project Name</t>
  </si>
  <si>
    <t>300MW SECI Solar Project Ramagiri</t>
  </si>
  <si>
    <t>Project Capacity (in MWp)</t>
  </si>
  <si>
    <t>Project Start Date</t>
  </si>
  <si>
    <t>Daily Progress Report</t>
  </si>
  <si>
    <t>Commissioning &amp; HOTO</t>
  </si>
  <si>
    <t>COD</t>
  </si>
  <si>
    <t>DC Power Cables</t>
  </si>
  <si>
    <t>DC Power Cables Terminations</t>
  </si>
  <si>
    <t>Actual Progress (in %)</t>
  </si>
  <si>
    <t>Progress as per weightage (in %)</t>
  </si>
  <si>
    <t>Weightage
(in %)</t>
  </si>
  <si>
    <t>Actual</t>
  </si>
  <si>
    <t>Day- Actual</t>
  </si>
  <si>
    <t>Today-Plan</t>
  </si>
  <si>
    <t>Project Name :</t>
  </si>
  <si>
    <t>Project Size :</t>
  </si>
  <si>
    <t>Date of Report:</t>
  </si>
  <si>
    <t>S No.</t>
  </si>
  <si>
    <t>Contractor Name</t>
  </si>
  <si>
    <t>Resources Category</t>
  </si>
  <si>
    <t>Manpower Description</t>
  </si>
  <si>
    <t>Cum. Nos</t>
  </si>
  <si>
    <t>Staff</t>
  </si>
  <si>
    <t>Surveying</t>
  </si>
  <si>
    <t>Suveryor</t>
  </si>
  <si>
    <t>Security</t>
  </si>
  <si>
    <t>Engineers / Supervisors</t>
  </si>
  <si>
    <t>Workers - Skilled</t>
  </si>
  <si>
    <t>Workers - Unskilled</t>
  </si>
  <si>
    <t>Piling</t>
  </si>
  <si>
    <t>ICR Works</t>
  </si>
  <si>
    <t>ICR Engineers / Supervisors</t>
  </si>
  <si>
    <t>ICR Workers - Skilled</t>
  </si>
  <si>
    <t>ICR Workers - Unskilled</t>
  </si>
  <si>
    <t>MCR Works</t>
  </si>
  <si>
    <t xml:space="preserve">Skilled worker </t>
  </si>
  <si>
    <t>Unskilled worker</t>
  </si>
  <si>
    <t>DC Works</t>
  </si>
  <si>
    <t>DC Technician</t>
  </si>
  <si>
    <t>DC worker - skilled</t>
  </si>
  <si>
    <t>DC worker - unskilled</t>
  </si>
  <si>
    <t>Structure Team</t>
  </si>
  <si>
    <t>safety engineer</t>
  </si>
  <si>
    <t>Technician</t>
  </si>
  <si>
    <t>worker - unskilled</t>
  </si>
  <si>
    <t>300MW SECI RAMAGIRI PROJECT</t>
  </si>
  <si>
    <t>300MW AC Capacity &amp; 390 Mwp DC Capacity</t>
  </si>
  <si>
    <t>Section</t>
  </si>
  <si>
    <t>S.No</t>
  </si>
  <si>
    <t>Site Activity</t>
  </si>
  <si>
    <t>uom</t>
  </si>
  <si>
    <t>Start Date</t>
  </si>
  <si>
    <t>End Date</t>
  </si>
  <si>
    <t>No of Days</t>
  </si>
  <si>
    <t>Avg/Day</t>
  </si>
  <si>
    <t>Comp.</t>
  </si>
  <si>
    <t>Bal</t>
  </si>
  <si>
    <t>L &amp; G</t>
  </si>
  <si>
    <t>Nos</t>
  </si>
  <si>
    <t>Topo Survey</t>
  </si>
  <si>
    <t>Array Yard Civil Works</t>
  </si>
  <si>
    <t>Pile Marking</t>
  </si>
  <si>
    <t>Pile -Drilling</t>
  </si>
  <si>
    <t>Pile- Casting</t>
  </si>
  <si>
    <t>Pile-Capping</t>
  </si>
  <si>
    <t>ICR Civil Works</t>
  </si>
  <si>
    <t>HT Panel Marking &amp; Excavation</t>
  </si>
  <si>
    <t xml:space="preserve"> PCC</t>
  </si>
  <si>
    <t xml:space="preserve"> Footing Casting</t>
  </si>
  <si>
    <t xml:space="preserve"> Pedestal Casting</t>
  </si>
  <si>
    <t xml:space="preserve"> Beam Slab Casting</t>
  </si>
  <si>
    <t>ICR Marking &amp; Excavation</t>
  </si>
  <si>
    <t>ICR PCC</t>
  </si>
  <si>
    <t>ICR Footing Casting</t>
  </si>
  <si>
    <t>ICR Column Casting</t>
  </si>
  <si>
    <t>ICR Beam Slab Casting</t>
  </si>
  <si>
    <t>PEB Structure Installation</t>
  </si>
  <si>
    <t>Transformer Marking &amp; Excavation</t>
  </si>
  <si>
    <t>Transformer PCC</t>
  </si>
  <si>
    <t>Transformer  Footing Casting</t>
  </si>
  <si>
    <t>Transformer Pedestal Casting</t>
  </si>
  <si>
    <t>Transformer Support Foundation</t>
  </si>
  <si>
    <t>Transformer Grade Slab</t>
  </si>
  <si>
    <t>Transformer Fencing</t>
  </si>
  <si>
    <t>MCR Civil Works</t>
  </si>
  <si>
    <t>MCR Excavation</t>
  </si>
  <si>
    <t>MCR Footing PCC</t>
  </si>
  <si>
    <t>MCR Footing</t>
  </si>
  <si>
    <t>MCR Column upto Plinth Beam</t>
  </si>
  <si>
    <t>Plinth Beam</t>
  </si>
  <si>
    <t>Cable Trench</t>
  </si>
  <si>
    <t>Column 1st Lift</t>
  </si>
  <si>
    <t>Column 2nd Lift</t>
  </si>
  <si>
    <t>Lintel Beams</t>
  </si>
  <si>
    <t>Roof Beam</t>
  </si>
  <si>
    <t>Slab</t>
  </si>
  <si>
    <t>Brick Works</t>
  </si>
  <si>
    <t>Internal Plastering</t>
  </si>
  <si>
    <t>Outer Plastering</t>
  </si>
  <si>
    <t>Internal Paint  Works</t>
  </si>
  <si>
    <t>Outer Painting Works</t>
  </si>
  <si>
    <t>MCR Miscillaneous Works</t>
  </si>
  <si>
    <t>MCR Finishing Works</t>
  </si>
  <si>
    <t>Allied Civil Works</t>
  </si>
  <si>
    <t>Asphalt Road-Marking &amp; Excavation</t>
  </si>
  <si>
    <t>Mtrs</t>
  </si>
  <si>
    <t>Asphalt Road-GSB Filling</t>
  </si>
  <si>
    <t>Asphalt Road-WBM Layer-1</t>
  </si>
  <si>
    <t>Asphalt Road-WBM Layer-2</t>
  </si>
  <si>
    <t>Ashpalt Laying</t>
  </si>
  <si>
    <t>Road-Marking &amp; Excavation</t>
  </si>
  <si>
    <t>Road-GSB Filling</t>
  </si>
  <si>
    <t>Road-WBM Layer-1</t>
  </si>
  <si>
    <t>Road-WBM Layer-2</t>
  </si>
  <si>
    <t>Periphary Road-Marking and Grading</t>
  </si>
  <si>
    <t>Periphary Road-Compaction</t>
  </si>
  <si>
    <t>Precast Boundary-Marking &amp; Drilling</t>
  </si>
  <si>
    <t>Precast Boundary-Pole Casting</t>
  </si>
  <si>
    <t>Precast Boundary- Panel Fixing</t>
  </si>
  <si>
    <t>Precast Cast Boundary -Arm Fixing &amp; Barbed Wire Laying</t>
  </si>
  <si>
    <t>Chain Link Fencing- Marking &amp; Drilling</t>
  </si>
  <si>
    <t>Chain Link Fencing-Pole Casting</t>
  </si>
  <si>
    <t xml:space="preserve">Chain Link Fincing </t>
  </si>
  <si>
    <t>Chain Link Fencing-Barbed Wire Ficing</t>
  </si>
  <si>
    <t>Drain Excavation</t>
  </si>
  <si>
    <t>Drain Works</t>
  </si>
  <si>
    <t>Drain Finishing</t>
  </si>
  <si>
    <t>DC System Works</t>
  </si>
  <si>
    <t>Km</t>
  </si>
  <si>
    <t>Solar cable laying (6 Sq.mm)</t>
  </si>
  <si>
    <t>Earth pit installation</t>
  </si>
  <si>
    <t>ICR Electrical Works</t>
  </si>
  <si>
    <t>ICOG/RMU Panel Erection</t>
  </si>
  <si>
    <t>Inverter Duty Trafo. Erection</t>
  </si>
  <si>
    <t>Aux Trafo Erection</t>
  </si>
  <si>
    <t>UPS &amp; Battery Bank Erection</t>
  </si>
  <si>
    <t>UPS +LDB'S Erection</t>
  </si>
  <si>
    <t xml:space="preserve">Tray Works </t>
  </si>
  <si>
    <t>AC Cable-Inv to Trafo.</t>
  </si>
  <si>
    <t>Control &amp; Aux Cable Laying</t>
  </si>
  <si>
    <t>Grid Earthing</t>
  </si>
  <si>
    <t>MCR Electrical Works</t>
  </si>
  <si>
    <t>HT Panel installation</t>
  </si>
  <si>
    <t>Aux. trf installation</t>
  </si>
  <si>
    <t>DB's installation</t>
  </si>
  <si>
    <t>UPS, Battery charger, battery bank installaiton</t>
  </si>
  <si>
    <t>FAS installation</t>
  </si>
  <si>
    <t>HT cable laying from MCR to Power Trafo</t>
  </si>
  <si>
    <t>HT cable laying from HT panel to Aux. trf</t>
  </si>
  <si>
    <t>Aux t/f to LT</t>
  </si>
  <si>
    <t>SCADA installation</t>
  </si>
  <si>
    <t>Grid earthing</t>
  </si>
  <si>
    <t>Equipment earthing</t>
  </si>
  <si>
    <t>AC System</t>
  </si>
  <si>
    <t>HT Trench Marking &amp; Excavation</t>
  </si>
  <si>
    <t>km</t>
  </si>
  <si>
    <t>HT Cable Laying</t>
  </si>
  <si>
    <t>HT Trench Backfilling &amp; Rote Marking</t>
  </si>
  <si>
    <t>Array Area Terminations</t>
  </si>
  <si>
    <t>Solar Cable Termination Table Side</t>
  </si>
  <si>
    <t>Solar Cable Termination SCB Side</t>
  </si>
  <si>
    <t>DC Power Cable Termination SCB Side</t>
  </si>
  <si>
    <t>ICR Areay Terminations</t>
  </si>
  <si>
    <t>DC Power Cable Termination Inverter Side</t>
  </si>
  <si>
    <t>AC cable Termination Inv Side</t>
  </si>
  <si>
    <t>AC cable Termination Trafo Side</t>
  </si>
  <si>
    <t>HT Cable Termination Trafo Side</t>
  </si>
  <si>
    <t xml:space="preserve">HT Cable Termination ICOG/RMU </t>
  </si>
  <si>
    <t>Control and comm. cable termination</t>
  </si>
  <si>
    <t>LT Cables termination</t>
  </si>
  <si>
    <t>MCR Area Termination</t>
  </si>
  <si>
    <t>HT Cable termiantion- MCR Panel</t>
  </si>
  <si>
    <t>MCR to Power Trafo HT cable termination</t>
  </si>
  <si>
    <t>Aux. t/f LT side cable termiantion</t>
  </si>
  <si>
    <t>Scada Works</t>
  </si>
  <si>
    <t>FO Cable Laying</t>
  </si>
  <si>
    <t>FO Cable Splicing</t>
  </si>
  <si>
    <t>Testing and Commissioning</t>
  </si>
  <si>
    <t>Pre-commissioning of inverters</t>
  </si>
  <si>
    <t>HT panel @ blocks</t>
  </si>
  <si>
    <t>Transformers @ blocks</t>
  </si>
  <si>
    <t xml:space="preserve">Invertor, Aux T/F , ACCB, UPS </t>
  </si>
  <si>
    <t>T/F to ICOG cables IR &amp; Hi-pot test</t>
  </si>
  <si>
    <t>ICOG to 3VCB cables IR &amp; Hi-pot test</t>
  </si>
  <si>
    <t>3VCB to MCR cables IR &amp; Hi-pot test</t>
  </si>
  <si>
    <t>ERT</t>
  </si>
  <si>
    <t>FAS functionality check</t>
  </si>
  <si>
    <t>CCTV commissioning</t>
  </si>
  <si>
    <t>WMS commissioning</t>
  </si>
  <si>
    <t xml:space="preserve"> External Works</t>
  </si>
  <si>
    <t xml:space="preserve"> Street Light Poles</t>
  </si>
  <si>
    <t xml:space="preserve"> Light Fixtures</t>
  </si>
  <si>
    <t xml:space="preserve"> External LDB </t>
  </si>
  <si>
    <t xml:space="preserve"> LT Cables </t>
  </si>
  <si>
    <t xml:space="preserve"> LT Termination</t>
  </si>
  <si>
    <t>External earthing work completion</t>
  </si>
  <si>
    <t xml:space="preserve"> Allied Works</t>
  </si>
  <si>
    <t>FDS</t>
  </si>
  <si>
    <t xml:space="preserve"> Commissioning &amp; Handing Over</t>
  </si>
  <si>
    <t>Pre-Commissioining (DC &amp; AC)</t>
  </si>
  <si>
    <t>CEIG Approval</t>
  </si>
  <si>
    <t>Synchronization Approval</t>
  </si>
  <si>
    <t>Commissioning</t>
  </si>
  <si>
    <t>PR Acceptance</t>
  </si>
  <si>
    <t>FAT &amp; HO</t>
  </si>
  <si>
    <t>Actual as on date</t>
  </si>
  <si>
    <t>Actual  as on Date (%)</t>
  </si>
  <si>
    <t>Lot.</t>
  </si>
  <si>
    <t xml:space="preserve"> Excavation For DC/Earthing Trenches Module Mounting Structures </t>
  </si>
  <si>
    <t xml:space="preserve">Module Mounting Structures  </t>
  </si>
  <si>
    <t>DC Cable Laying</t>
  </si>
  <si>
    <t>SCB - Mounting Structure</t>
  </si>
  <si>
    <t>Array yard Earthing</t>
  </si>
  <si>
    <t>SCB  Installation</t>
  </si>
  <si>
    <t xml:space="preserve">PV Modules </t>
  </si>
  <si>
    <t>PVM Cables (Interconnection after module installation)</t>
  </si>
  <si>
    <t>Inverter Erection</t>
  </si>
  <si>
    <t>Scada panel's Erection</t>
  </si>
  <si>
    <t>Module Cleaning System( after Module installation</t>
  </si>
  <si>
    <t>Weather Monitoring System</t>
  </si>
  <si>
    <t>Resources Description</t>
  </si>
  <si>
    <t>JCB</t>
  </si>
  <si>
    <t>Tractor</t>
  </si>
  <si>
    <t>Farana</t>
  </si>
  <si>
    <t>Hire Vehicle</t>
  </si>
  <si>
    <t>Boundary wall works</t>
  </si>
  <si>
    <t>Manual Loading Transit mixer</t>
  </si>
  <si>
    <t xml:space="preserve">Tractor mounted auger </t>
  </si>
  <si>
    <t>Tractor with trolly</t>
  </si>
  <si>
    <t>Water tanker</t>
  </si>
  <si>
    <t>Pickup</t>
  </si>
  <si>
    <t xml:space="preserve">Bush cleaning </t>
  </si>
  <si>
    <t>Dumper</t>
  </si>
  <si>
    <t>Internal Road works</t>
  </si>
  <si>
    <t>JCB / Grader</t>
  </si>
  <si>
    <t>Tractor Trolley</t>
  </si>
  <si>
    <t>Roller</t>
  </si>
  <si>
    <t>Approach Road works</t>
  </si>
  <si>
    <t>DG</t>
  </si>
  <si>
    <t xml:space="preserve"> Piling</t>
  </si>
  <si>
    <t>DTH</t>
  </si>
  <si>
    <t>Tractor Augur</t>
  </si>
  <si>
    <t xml:space="preserve">DG </t>
  </si>
  <si>
    <t xml:space="preserve">ICR Building </t>
  </si>
  <si>
    <t>Total Station</t>
  </si>
  <si>
    <t>MCR CIVIL</t>
  </si>
  <si>
    <t>Camber</t>
  </si>
  <si>
    <t>FAS Installation</t>
  </si>
  <si>
    <t>WORK HINDERANCE REGISTER</t>
  </si>
  <si>
    <t>S. No</t>
  </si>
  <si>
    <t>Effected Date</t>
  </si>
  <si>
    <t>Effect Impact</t>
  </si>
  <si>
    <t>Remarks</t>
  </si>
  <si>
    <t>Progress affected in terms of days</t>
  </si>
  <si>
    <t>Total Days</t>
  </si>
  <si>
    <t>Project Finish Date</t>
  </si>
  <si>
    <t>Start</t>
  </si>
  <si>
    <t>Planned Start</t>
  </si>
  <si>
    <t>Planned Finish</t>
  </si>
  <si>
    <t>Actual/Expected  Start</t>
  </si>
  <si>
    <t>Actual/Expected Finish</t>
  </si>
  <si>
    <t>Boundry Coordinate capturing</t>
  </si>
  <si>
    <t>Soil Investigation</t>
  </si>
  <si>
    <t>ERT Test</t>
  </si>
  <si>
    <t>Test Pile Casting</t>
  </si>
  <si>
    <t>Pull Out Test</t>
  </si>
  <si>
    <t>Nos.</t>
  </si>
  <si>
    <t>#</t>
  </si>
  <si>
    <t>Planned</t>
  </si>
  <si>
    <t>Actual/ Expected</t>
  </si>
  <si>
    <t>Status</t>
  </si>
  <si>
    <t>Contract Agreement Signing</t>
  </si>
  <si>
    <t>Kick Off meeting_SECI HO</t>
  </si>
  <si>
    <t>PBG Submission</t>
  </si>
  <si>
    <t>ABG Submission</t>
  </si>
  <si>
    <t>Boundary Coordinates Capturing</t>
  </si>
  <si>
    <t>Labor License related documents (Form 2, Form 5)</t>
  </si>
  <si>
    <t>Labor License</t>
  </si>
  <si>
    <t>Customer GST commercial registration &amp; Address (Billing &amp; Delivery) Details</t>
  </si>
  <si>
    <t>Topography Survey</t>
  </si>
  <si>
    <t>Soil Test (5m)</t>
  </si>
  <si>
    <t>Soil Test (10m)</t>
  </si>
  <si>
    <t>Pull out test</t>
  </si>
  <si>
    <t>Delivery of office cabins/ Toilets/ Security cabins</t>
  </si>
  <si>
    <t>Construction Power arrangement</t>
  </si>
  <si>
    <t>Internet availability</t>
  </si>
  <si>
    <t>Placement of security personnel</t>
  </si>
  <si>
    <t>Security personal deployed at Site</t>
  </si>
  <si>
    <t>Set up of Quality Lab</t>
  </si>
  <si>
    <t>Set up of safety induction room</t>
  </si>
  <si>
    <t>Set up of material storage</t>
  </si>
  <si>
    <t>Contract Signing &amp; Key Preliminary Activities</t>
  </si>
  <si>
    <t>Site Establishment</t>
  </si>
  <si>
    <t>Make/ OEM</t>
  </si>
  <si>
    <t>Module Mounting Structure</t>
  </si>
  <si>
    <t>Inverter Duty Transformer</t>
  </si>
  <si>
    <t>NIFPS</t>
  </si>
  <si>
    <t>ICOG/RMU PANEL</t>
  </si>
  <si>
    <t>Main HT Switchgear Panel</t>
  </si>
  <si>
    <t xml:space="preserve">Auxiliary LT Panel </t>
  </si>
  <si>
    <t>Auxiliary Transformer</t>
  </si>
  <si>
    <t xml:space="preserve">Central Inverter(PCU)     </t>
  </si>
  <si>
    <t>Fimer</t>
  </si>
  <si>
    <t xml:space="preserve">String Combiner Box (SCB)     </t>
  </si>
  <si>
    <t xml:space="preserve">DC string cable     </t>
  </si>
  <si>
    <t xml:space="preserve">DC power cable     </t>
  </si>
  <si>
    <t xml:space="preserve">LT AC power cable     </t>
  </si>
  <si>
    <t xml:space="preserve">HT AC power cable     </t>
  </si>
  <si>
    <t xml:space="preserve">LT power and control cables     </t>
  </si>
  <si>
    <t xml:space="preserve">Communication cables     </t>
  </si>
  <si>
    <t>SCADA system</t>
  </si>
  <si>
    <t>UPS and Battery System</t>
  </si>
  <si>
    <t>SVG</t>
  </si>
  <si>
    <t>Harmonic Filter and its Acessories</t>
  </si>
  <si>
    <t>Other BOQ (Lighting, Gland, Lungs, HT termination KIT etc.)</t>
  </si>
  <si>
    <t>T&amp;R</t>
  </si>
  <si>
    <t>Target</t>
  </si>
  <si>
    <t>Engineering-Key Equipment</t>
  </si>
  <si>
    <t>Master Document List</t>
  </si>
  <si>
    <t>Submitted</t>
  </si>
  <si>
    <t xml:space="preserve">Overall Plant Layout </t>
  </si>
  <si>
    <t xml:space="preserve">MMS Structure foundation </t>
  </si>
  <si>
    <t>MMS Design and GA diagram</t>
  </si>
  <si>
    <t xml:space="preserve"> 04 Apr, 25</t>
  </si>
  <si>
    <t>Lighting Fixtures with calculations</t>
  </si>
  <si>
    <t>ICR Equipment Layout</t>
  </si>
  <si>
    <t>MCR Equipment Layout</t>
  </si>
  <si>
    <t>ICR Equipment Foundation Civil Drawing</t>
  </si>
  <si>
    <t>MCR Equipment Foundation Civil Drawing</t>
  </si>
  <si>
    <t>AC sizing calculation</t>
  </si>
  <si>
    <t>DC sizing calculation</t>
  </si>
  <si>
    <t>Earthing calculation</t>
  </si>
  <si>
    <t>DC Cable schedule, laying and sectional drawings</t>
  </si>
  <si>
    <t>AC Cable schedule, laying and sectional drawings</t>
  </si>
  <si>
    <t xml:space="preserve">Control and Communication Cable schedule, </t>
  </si>
  <si>
    <t>AC SLD</t>
  </si>
  <si>
    <t>DC SLD</t>
  </si>
  <si>
    <t>AUX SLD</t>
  </si>
  <si>
    <t>Fencing layout &amp; Drawing</t>
  </si>
  <si>
    <t>Road Calculations, Cross sections &amp; Layout drawing</t>
  </si>
  <si>
    <t>Ordering</t>
  </si>
  <si>
    <t>Engineering-General Drawing</t>
  </si>
  <si>
    <t xml:space="preserve">Finish </t>
  </si>
  <si>
    <t>Manufacturing, FAT and Delivery at site- Key Equipment</t>
  </si>
  <si>
    <t>Fencing</t>
  </si>
  <si>
    <t>Week</t>
  </si>
  <si>
    <t>Month</t>
  </si>
  <si>
    <t>Calc - UPS Sizing Calculation</t>
  </si>
  <si>
    <t>Calc - Auxiliary Transformer Sizing Calculation</t>
  </si>
  <si>
    <t xml:space="preserve">Area development </t>
  </si>
  <si>
    <t>Approved</t>
  </si>
  <si>
    <t>Pennar</t>
  </si>
  <si>
    <t>Till 30th Mar</t>
  </si>
  <si>
    <t>PR Construction</t>
  </si>
  <si>
    <t>Week Cycle</t>
  </si>
  <si>
    <t>Month Cycle</t>
  </si>
  <si>
    <t>Actual/ Expected Finish Date</t>
  </si>
  <si>
    <t>Bush removal</t>
  </si>
  <si>
    <t>Land grading</t>
  </si>
  <si>
    <t>Week- Actual</t>
  </si>
  <si>
    <t>Month-Actual</t>
  </si>
  <si>
    <t>Till Last Month</t>
  </si>
  <si>
    <t>No. of JCBs</t>
  </si>
  <si>
    <t>Bush Cutting</t>
  </si>
  <si>
    <t>Land Grading</t>
  </si>
  <si>
    <t>Per Day Producticity</t>
  </si>
  <si>
    <t>Manpower</t>
  </si>
  <si>
    <t>Remaining days</t>
  </si>
  <si>
    <t>Bushing</t>
  </si>
  <si>
    <t>Per day requirement</t>
  </si>
  <si>
    <t>R0 Submitted, Under SECI Review since 25th Apr.</t>
  </si>
  <si>
    <r>
      <t xml:space="preserve">Approved under CAT 2, dwg submitted for CAT 1 approval, </t>
    </r>
    <r>
      <rPr>
        <b/>
        <sz val="12"/>
        <color rgb="FF000000"/>
        <rFont val="Aptos Narrow"/>
        <family val="2"/>
      </rPr>
      <t>Revised to be submitted as per discussion</t>
    </r>
  </si>
  <si>
    <t>Drawing Submitted</t>
  </si>
  <si>
    <t>R0 submitted, under SECI Revew</t>
  </si>
  <si>
    <t xml:space="preserve">Drawing submitted </t>
  </si>
  <si>
    <t>R1 submitted for review</t>
  </si>
  <si>
    <t>Trisquare</t>
  </si>
  <si>
    <t>R0 submitted for review</t>
  </si>
  <si>
    <r>
      <rPr>
        <b/>
        <sz val="12"/>
        <color rgb="FF00B050"/>
        <rFont val="Aptos Narrow"/>
        <family val="2"/>
      </rPr>
      <t>Drawing approved</t>
    </r>
    <r>
      <rPr>
        <sz val="12"/>
        <color rgb="FF000000"/>
        <rFont val="Aptos Narrow"/>
        <family val="2"/>
      </rPr>
      <t>, Layout Submitted, under SECI Review</t>
    </r>
  </si>
  <si>
    <t>Actual/ Expected  Start</t>
  </si>
  <si>
    <t>Actual/
Expected Finish</t>
  </si>
  <si>
    <t>Chain Link Fencing-Barbed Wire Fixing</t>
  </si>
  <si>
    <t>FFS installation</t>
  </si>
  <si>
    <t>FFS functionality check</t>
  </si>
  <si>
    <t>Table</t>
  </si>
  <si>
    <t>No. of Days</t>
  </si>
  <si>
    <t>CEA Approval</t>
  </si>
  <si>
    <t>Transformers &amp; Aux T/F @ blocks</t>
  </si>
  <si>
    <t>ICOG to VCB cables IR &amp; Hi-pot test</t>
  </si>
  <si>
    <t>VCB to MCR cables IR &amp; Hi-pot test</t>
  </si>
  <si>
    <t>Chain Link Fincing- Mesh Fixing</t>
  </si>
  <si>
    <t>Solar cable laying (6 Sq.mm/ 4 Sqmm)</t>
  </si>
  <si>
    <t xml:space="preserve"> Excavation For DC/Earthing Trenches</t>
  </si>
  <si>
    <t>R2 to be submitted</t>
  </si>
  <si>
    <t>Submitted, under SECI Review</t>
  </si>
  <si>
    <t>Submitted under SECI review</t>
  </si>
  <si>
    <t>R1 to be submitted</t>
  </si>
  <si>
    <t xml:space="preserve">MDL SUMMARY - 300MW SECI PV </t>
  </si>
  <si>
    <t>Sl.No.</t>
  </si>
  <si>
    <t>Discipline</t>
  </si>
  <si>
    <t>Document Title</t>
  </si>
  <si>
    <t>Document
Number</t>
  </si>
  <si>
    <t>Approval
Catogery</t>
  </si>
  <si>
    <t>Planned  Submission
Date (EPCC)</t>
  </si>
  <si>
    <t>Other drawing linked</t>
  </si>
  <si>
    <t>Tentative approval date- linked docs.</t>
  </si>
  <si>
    <t>Revision</t>
  </si>
  <si>
    <t>Submission Date</t>
  </si>
  <si>
    <t>Response date</t>
  </si>
  <si>
    <t>CLIENT Comments / Approval(CAT-I,CAT-II CAT-III &amp; CAT-IV)</t>
  </si>
  <si>
    <t>No.of Days Reviwed by SECI</t>
  </si>
  <si>
    <t>No.of Days Reviwed by ARIPL</t>
  </si>
  <si>
    <t>Approved date</t>
  </si>
  <si>
    <t>Submission/Review By</t>
  </si>
  <si>
    <t>Approved Category</t>
  </si>
  <si>
    <t>Days taken for review/re-submission</t>
  </si>
  <si>
    <t>General</t>
  </si>
  <si>
    <t>Survey &amp; Studies</t>
  </si>
  <si>
    <t>SoW &amp; Method Statement for Topography and Contour Survey</t>
  </si>
  <si>
    <t>SECI-RG300-PL-CIV-001</t>
  </si>
  <si>
    <t>Approval</t>
  </si>
  <si>
    <t>R0</t>
  </si>
  <si>
    <t>CAT - III</t>
  </si>
  <si>
    <t>R1</t>
  </si>
  <si>
    <t>Submitted - Under Review</t>
  </si>
  <si>
    <t>R2</t>
  </si>
  <si>
    <t>R3</t>
  </si>
  <si>
    <t xml:space="preserve">Re-Submission </t>
  </si>
  <si>
    <t xml:space="preserve">Topography and Contour Report </t>
  </si>
  <si>
    <t>SECI-RG300-PL-CIV-002</t>
  </si>
  <si>
    <t>Information</t>
  </si>
  <si>
    <t>CAT -IV R</t>
  </si>
  <si>
    <t>Yet to be submitted</t>
  </si>
  <si>
    <t>CAT -IV</t>
  </si>
  <si>
    <t>SoW &amp; Method Statement for Geotechnical Investigation</t>
  </si>
  <si>
    <t>SECI-RG300-PL-CIV-003</t>
  </si>
  <si>
    <t>CAT - I</t>
  </si>
  <si>
    <t>Geotechnical Investigation Report
(Soil Test, CBR, Chemical Analysis &amp; Thermal Resistivity)</t>
  </si>
  <si>
    <t>SECI-RG300-PL-CIV-004</t>
  </si>
  <si>
    <t>SoW &amp; Method Statement for Hydrology Investigation</t>
  </si>
  <si>
    <t>SECI-RG300-PL-CIV-005</t>
  </si>
  <si>
    <t>Hydrology Investigation Report</t>
  </si>
  <si>
    <t>SECI-RG300-PL-CIV-006</t>
  </si>
  <si>
    <t>SoW &amp; Method Statement for Soil resistivity test (ERT)</t>
  </si>
  <si>
    <t>SECI-RG300-PL-CIV-007</t>
  </si>
  <si>
    <t>CAT - II</t>
  </si>
  <si>
    <t>SECI</t>
  </si>
  <si>
    <t>Soil resistivity test report (ERT)</t>
  </si>
  <si>
    <t>SECI-RG300-PL-CIV-008</t>
  </si>
  <si>
    <t>Water Test Report</t>
  </si>
  <si>
    <t>SECI-RG300-PL-CIV-009</t>
  </si>
  <si>
    <t xml:space="preserve">Concrete Mix Design Report </t>
  </si>
  <si>
    <t>SECI-RG300-PL-CIV-010</t>
  </si>
  <si>
    <t>ARIPL</t>
  </si>
  <si>
    <t>Pile Pull out and Lateral Test Layout &amp; Procedure</t>
  </si>
  <si>
    <t>SECI-RG300-PL-CIV-011</t>
  </si>
  <si>
    <t>Pile Pull out and Lateral Test Report</t>
  </si>
  <si>
    <t>SECI-RG300-PL-CIV-012</t>
  </si>
  <si>
    <t>SoP for Site Cleaning &amp; Grading</t>
  </si>
  <si>
    <t>SECI-RG300-PL-CIV-013</t>
  </si>
  <si>
    <t>Design Basis Study Report for Civil &amp; Structural</t>
  </si>
  <si>
    <t>SECI-RG300-PL-CIV-014</t>
  </si>
  <si>
    <t>Civil &amp; Structural (MMS)</t>
  </si>
  <si>
    <t>MMS - Structural Design Calculations &amp; Staad report (2PX26)</t>
  </si>
  <si>
    <t>SECI-RG300-PL-CIV-101</t>
  </si>
  <si>
    <t>SECI-RG300-PL-CIV-102</t>
  </si>
  <si>
    <t>MMS - Pile Foundation Design Calculation</t>
  </si>
  <si>
    <t>SECI-RG300-PL-CIV-103</t>
  </si>
  <si>
    <t>MMS - Structure GA drawings(2PX26)</t>
  </si>
  <si>
    <t>SECI-RG300-PL-CIV-104</t>
  </si>
  <si>
    <t>MMS - Structure GA drawings(2PX14 &amp; 2PX28)</t>
  </si>
  <si>
    <t>SECI-RG300-PL-CIV-104A</t>
  </si>
  <si>
    <t>MMS - Structure GA drawings(2PX13)</t>
  </si>
  <si>
    <t>SECI-RG300-PL-CIV-105</t>
  </si>
  <si>
    <t>MMS - Structural Fabrication drawings(2PX28)</t>
  </si>
  <si>
    <t>SECI-RG300-PL-CIV-106</t>
  </si>
  <si>
    <t xml:space="preserve">CAT -IV </t>
  </si>
  <si>
    <t>MMS - Structural Fabrication drawings(2PX14) &amp; (2PX28)</t>
  </si>
  <si>
    <t>SECI-RG300-PL-CIV-107</t>
  </si>
  <si>
    <t>MMS - Pile marking co-ordinates Layout</t>
  </si>
  <si>
    <t>SECI-RG300-PL-CIV-108</t>
  </si>
  <si>
    <t>Civil &amp; Structural (MCR+AUX)</t>
  </si>
  <si>
    <t>MCR - Architectural Drawings for Main Control Room (Plan, Section &amp; Elevations and Finishing)</t>
  </si>
  <si>
    <t>SECI-RG300-PL-CIV-201</t>
  </si>
  <si>
    <t>MCR - Structural Calculations &amp; Design Report for Building</t>
  </si>
  <si>
    <t>SECI-RG300-PL-CIV-202</t>
  </si>
  <si>
    <t>MCR Architecture dwg.</t>
  </si>
  <si>
    <t>MCR - Structural drawing of 
foundation, plinth beam &amp; column</t>
  </si>
  <si>
    <t>SECI-RG300-PL-CIV-203</t>
  </si>
  <si>
    <t>MCR - Trench &amp; Grade Slab Layout Drawings</t>
  </si>
  <si>
    <t>SECI-RG300-PL-CIV-204</t>
  </si>
  <si>
    <t>MCR - Structural drawing of
Staircase, Roof Beams, Roof Slab &amp; Lintel details</t>
  </si>
  <si>
    <t>SECI-RG300-PL-CIV-205</t>
  </si>
  <si>
    <t>MCR - Plumbing Drawings</t>
  </si>
  <si>
    <t>SECI-RG300-PL-CIV-206</t>
  </si>
  <si>
    <t>MCR - Septic Tank Drawings</t>
  </si>
  <si>
    <t>SECI-RG300-PL-CIV-207</t>
  </si>
  <si>
    <t>MCR - Aux Transformer Foundation Design Report</t>
  </si>
  <si>
    <t>SECI-RG300-PL-CIV-208</t>
  </si>
  <si>
    <t>MCR - Aux Transformer Foundation Drawings</t>
  </si>
  <si>
    <t>SECI-RG300-PL-CIV-209</t>
  </si>
  <si>
    <t>Civil &amp; Structural (Inverter Station)</t>
  </si>
  <si>
    <t>Design document for Inverter Station</t>
  </si>
  <si>
    <t>SECI-RG300-PL-CIV-301</t>
  </si>
  <si>
    <t>Inverter Platform - Architectural &amp; Structural details                     ICOG)</t>
  </si>
  <si>
    <t>SECI-RG300-PL-CIV-302</t>
  </si>
  <si>
    <t>Inverter Platform - Architectural &amp; Structural details                     (RMU)</t>
  </si>
  <si>
    <t>SECI-RG300-PL-CIV-303</t>
  </si>
  <si>
    <t xml:space="preserve">Inverter Duty Transformer Foundation design calculations </t>
  </si>
  <si>
    <t>SECI-RG300-PL-CIV-304</t>
  </si>
  <si>
    <t xml:space="preserve">IDT Foundation GA and detail drawing </t>
  </si>
  <si>
    <t>SECI-RG300-PL-CIV-305</t>
  </si>
  <si>
    <t>IDT - Burnt Oil Pit Design calculations &amp; drawings.</t>
  </si>
  <si>
    <t>SECI-RG300-PL-CIV-306</t>
  </si>
  <si>
    <t>ICR - NIFPS design calculations and detail drawing</t>
  </si>
  <si>
    <t>SECI-RG300-PL-CIV-307</t>
  </si>
  <si>
    <t>ICR - Inverter to IDT Cable Support Strcuture GA Drawing</t>
  </si>
  <si>
    <t>SECI-RG300-PL-CIV-308</t>
  </si>
  <si>
    <t>ICR - Yard Fencing &amp; Gate Drawing</t>
  </si>
  <si>
    <t>SECI-RG300-PL-CIV-309</t>
  </si>
  <si>
    <t>Civil &amp; Structural (Infrastructure)</t>
  </si>
  <si>
    <t>Layout - SCB  Coordinates Layout</t>
  </si>
  <si>
    <t>SECI-RG300-PL-CIV-401</t>
  </si>
  <si>
    <t>Layout - ICR Coordinates Layout</t>
  </si>
  <si>
    <t>SECI-RG300-PL-CIV-402</t>
  </si>
  <si>
    <t>Layout - Boundary Fence Marking Layout</t>
  </si>
  <si>
    <t>SECI-RG300-PL-CIV-403</t>
  </si>
  <si>
    <t>Boundary Chain Link Fence Drawing</t>
  </si>
  <si>
    <t>SECI-RG300-PL-CIV-404</t>
  </si>
  <si>
    <t>Plant Main Gate drawing</t>
  </si>
  <si>
    <t>SECI-RG300-PL-CIV-405</t>
  </si>
  <si>
    <t>SECI-RG300-PL-CIV-406</t>
  </si>
  <si>
    <t>Watch Tower Design Calculations</t>
  </si>
  <si>
    <t>SECI-RG300-PL-CIV-407</t>
  </si>
  <si>
    <t>Watch Tower Structural Drawing</t>
  </si>
  <si>
    <t>SECI-RG300-PL-CIV-408</t>
  </si>
  <si>
    <t>Security Office - Design calculations</t>
  </si>
  <si>
    <t>SECI-RG300-PL-CIV-409</t>
  </si>
  <si>
    <t>Security Office - Architectural &amp; Structural drawings</t>
  </si>
  <si>
    <t>SECI-RG300-PL-CIV-410</t>
  </si>
  <si>
    <t>Security Cabin - GA &amp; Foundation drawing</t>
  </si>
  <si>
    <t>SECI-RG300-PL-CIV-411</t>
  </si>
  <si>
    <t>Store Room - Design calculations</t>
  </si>
  <si>
    <t>SECI-RG300-PL-CIV-412</t>
  </si>
  <si>
    <t>Store Room - Structural &amp; Foundation Drawings</t>
  </si>
  <si>
    <t>SECI-RG300-PL-CIV-413</t>
  </si>
  <si>
    <t>MCS - Underground water storage design calculation &amp; Drawing</t>
  </si>
  <si>
    <t>SECI-RG300-PL-CIV-414</t>
  </si>
  <si>
    <t>MCS - Tank, Piping Network Layout &amp; Pump Sizing Calculations</t>
  </si>
  <si>
    <t>SECI-RG300-PL-CIV-415</t>
  </si>
  <si>
    <t>Storm water Drainage - Design Calculations</t>
  </si>
  <si>
    <t>SECI-RG300-PL-CIV-416</t>
  </si>
  <si>
    <t>Storm water Drainage - Drawing &amp; cross sections</t>
  </si>
  <si>
    <t>SECI-RG300-PL-CIV-417</t>
  </si>
  <si>
    <t>Bore well - Water Yield report &amp; locations layout</t>
  </si>
  <si>
    <t>SECI-RG300-PL-CIV-418</t>
  </si>
  <si>
    <t>Bore well - Water test report</t>
  </si>
  <si>
    <t>SECI-RG300-PL-CIV-419</t>
  </si>
  <si>
    <t>Street Lighting Pole GA &amp; Foundation Details</t>
  </si>
  <si>
    <t>SECI-RG300-PL-CIV-420</t>
  </si>
  <si>
    <t>Street Lighting Pole Design Calculations</t>
  </si>
  <si>
    <t>SECI-RG300-PL-CIV-421</t>
  </si>
  <si>
    <t>Lightning Arrestor GA &amp; Foundation Drawing</t>
  </si>
  <si>
    <t>SECI-RG300-PL-CIV-422</t>
  </si>
  <si>
    <t>Lightning Arrestor Design Calculations</t>
  </si>
  <si>
    <t>SECI-RG300-PL-CIV-423</t>
  </si>
  <si>
    <t>Weather Monitoring System GA &amp; Foundation Drawing</t>
  </si>
  <si>
    <t>SECI-RG300-PL-CIV-424</t>
  </si>
  <si>
    <t>SCB - Support Structure GA Drawing</t>
  </si>
  <si>
    <t>SECI-RG300-PL-CIV-425</t>
  </si>
  <si>
    <t>SCB - Support Structure Design Calculation</t>
  </si>
  <si>
    <t>SECI-RG300-PL-CIV-426</t>
  </si>
  <si>
    <t>Wet Cleaning System - GTP, Drawings, philosophy, calculation</t>
  </si>
  <si>
    <t>SECI-RG300-PL-CIV-427</t>
  </si>
  <si>
    <t>SVG - Design calculations</t>
  </si>
  <si>
    <t>SECI-RG300-PL-CIV-428</t>
  </si>
  <si>
    <t>SVG - Structural Drawings</t>
  </si>
  <si>
    <t>SECI-RG300-PL-CIV-429</t>
  </si>
  <si>
    <t xml:space="preserve">Electrical </t>
  </si>
  <si>
    <t>Electrical  (SLD &amp; Layouts)</t>
  </si>
  <si>
    <t>AC SINGLE LINE DIAGRAM</t>
  </si>
  <si>
    <t>SECI-RG300-PL-ELE-001</t>
  </si>
  <si>
    <t xml:space="preserve">DC SINGLE LINE DIAGRAM
</t>
  </si>
  <si>
    <t>SECI-RG300-PL-ELE-002</t>
  </si>
  <si>
    <t>AUXILIARY SINGLE LINE DIAGRAM</t>
  </si>
  <si>
    <t>SECI-RG300-PL-ELE-003</t>
  </si>
  <si>
    <t>Layouts - Overall Array Layout</t>
  </si>
  <si>
    <t>SECI-RG300-PL-ELE-004</t>
  </si>
  <si>
    <t>Layouts -DC Cable routing layout &amp; sections</t>
  </si>
  <si>
    <t>SECI-RG300-PL-ELE-005</t>
  </si>
  <si>
    <t>Overall layout</t>
  </si>
  <si>
    <t>Layouts -AC Cable routing  layout &amp; sections</t>
  </si>
  <si>
    <t>SECI-RG300-PL-ELE-006</t>
  </si>
  <si>
    <t xml:space="preserve">Layouts - AC Earthing Layout </t>
  </si>
  <si>
    <t>SECI-RG300-PL-ELE-007</t>
  </si>
  <si>
    <t>Layouts -DC Earthing Layout</t>
  </si>
  <si>
    <t>SECI-RG300-PL-ELE-008</t>
  </si>
  <si>
    <t xml:space="preserve">Layouts - ICR Equipment Layout </t>
  </si>
  <si>
    <t>SECI-RG300-PL-ELE-009</t>
  </si>
  <si>
    <t>Layouts - Plant Lightning Protection System Layout</t>
  </si>
  <si>
    <t>SECI-RG300-PL-ELE-010</t>
  </si>
  <si>
    <t>Layouts - Earthing &amp; Lightning Protection Layout for ICR</t>
  </si>
  <si>
    <t>SECI-RG300-PL-ELE-011</t>
  </si>
  <si>
    <t>ICR Equipment layout/ 
AC Earthing calculation</t>
  </si>
  <si>
    <t>Layouts - Plant Illuminatoin layout</t>
  </si>
  <si>
    <t>SECI-RG300-PL-ELE-012</t>
  </si>
  <si>
    <t>ICR Equipment layout</t>
  </si>
  <si>
    <t>Layouts - Fire Fighting Layout for ICR &amp; MCR</t>
  </si>
  <si>
    <t>SECI-RG300-PL-ELE-013</t>
  </si>
  <si>
    <t>Layouts - Equipment Layout for MCR</t>
  </si>
  <si>
    <t>SECI-RG300-PL-ELE-014</t>
  </si>
  <si>
    <t>Layouts - Cable Trench Layout for MCR</t>
  </si>
  <si>
    <t>SECI-RG300-PL-ELE-015</t>
  </si>
  <si>
    <t>SCADA - Weather Monitoring System (WMS) Mounting GA &amp; Layout</t>
  </si>
  <si>
    <t>SECI-RG300-PL-ELE-016</t>
  </si>
  <si>
    <t>GA GTP- SCADA</t>
  </si>
  <si>
    <t>SCADA - Communication Cable Routing Layout</t>
  </si>
  <si>
    <t>SECI-RG300-PL-ELE-017</t>
  </si>
  <si>
    <t>CCTV - Overall Plant CCTV Layout</t>
  </si>
  <si>
    <t>SECI-RG300-PL-ELE-018</t>
  </si>
  <si>
    <t>SCADA - System Architecture Schematics</t>
  </si>
  <si>
    <t>SECI-RG300-PL-ELE-019</t>
  </si>
  <si>
    <t>SVG - General Arragement Layout</t>
  </si>
  <si>
    <t>SECI-RG300-PL-ELE-020</t>
  </si>
  <si>
    <t>SVG Cable routing and trench details</t>
  </si>
  <si>
    <t>SECI-RG300-PL-ELE-021</t>
  </si>
  <si>
    <t>Harmonic filter GA layout</t>
  </si>
  <si>
    <t>SECI-RG300-PL-ELE-022</t>
  </si>
  <si>
    <t>Harmonic Cable routing and trench details</t>
  </si>
  <si>
    <t>SECI-RG300-PL-ELE-023</t>
  </si>
  <si>
    <t>Earthing Layout for SVG and Harmonic filter</t>
  </si>
  <si>
    <t>SECI-RG300-PL-ELE-024</t>
  </si>
  <si>
    <t>Illumination Layout for SVG and harmonic Filter</t>
  </si>
  <si>
    <t>SECI-RG300-PL-ELE-025</t>
  </si>
  <si>
    <t>Electrical  
(Calculations)</t>
  </si>
  <si>
    <t>Report - Energy Yield Assessment Report (PV Syst Report)</t>
  </si>
  <si>
    <t>SECI-RG300-PL-ELE-101</t>
  </si>
  <si>
    <t>Report - Shadow Analysis Report</t>
  </si>
  <si>
    <t>SECI-RG300-PL-ELE-102</t>
  </si>
  <si>
    <t>Grid Study Report in PSSE &amp; PSCAD software</t>
  </si>
  <si>
    <t>SECI-RG300-PL-ELE-103</t>
  </si>
  <si>
    <t xml:space="preserve">Calc - DC Cable Sizing Calculations </t>
  </si>
  <si>
    <t>SECI-RG300-PL-ELE-104</t>
  </si>
  <si>
    <t xml:space="preserve">Calc - AC Cable Sizing Calculations </t>
  </si>
  <si>
    <t>SECI-RG300-PL-ELE-105</t>
  </si>
  <si>
    <t xml:space="preserve">Calc - DC Cable schedule and losses calculation </t>
  </si>
  <si>
    <t>SECI-RG300-PL-ELE-106</t>
  </si>
  <si>
    <t xml:space="preserve">Calc - AC Cable schedule and losses calculation </t>
  </si>
  <si>
    <t>SECI-RG300-PL-ELE-107</t>
  </si>
  <si>
    <t>Calc - Auxilary Cable Sizing &amp; Schedules</t>
  </si>
  <si>
    <t>SECI-RG300-PL-ELE-108</t>
  </si>
  <si>
    <t>LT power &amp; Control Cable Schedules and Termination details</t>
  </si>
  <si>
    <t>SECI-RG300-PL-ELE-109</t>
  </si>
  <si>
    <t>Calc - DC Earthing Calculation</t>
  </si>
  <si>
    <t>SECI-RG300-PL-ELE-110</t>
  </si>
  <si>
    <t>Calc - AC Earthing Calculation</t>
  </si>
  <si>
    <t>SECI-RG300-PL-ELE-111</t>
  </si>
  <si>
    <t>Calc - Auxilary Transformer Sizing Calculation</t>
  </si>
  <si>
    <t>SECI-RG300-PL-ELE-112</t>
  </si>
  <si>
    <t>SECI-RG300-PL-ELE-113</t>
  </si>
  <si>
    <t>SCADA - IO List for SCADA System</t>
  </si>
  <si>
    <t>SECI-RG300-PL-ELE-114</t>
  </si>
  <si>
    <t>SCADA - Communication Cable Schedules &amp; Termination</t>
  </si>
  <si>
    <t>SECI-RG300-PL-ELE-115</t>
  </si>
  <si>
    <t>Vendor Documents</t>
  </si>
  <si>
    <t>Electrical 
GTP and Type Test  reports</t>
  </si>
  <si>
    <t>Inverter Duty Transformer-GTP, GA &amp; Type test reports</t>
  </si>
  <si>
    <t>SECI-RG300-PL-ELE-201</t>
  </si>
  <si>
    <t>Inverter Duty Transformer-GTP, GA &amp; Type test reports  (T&amp;R)</t>
  </si>
  <si>
    <t>SECI-RG300-PL-ELE-201A</t>
  </si>
  <si>
    <t>NIFPS-GTP, GA &amp; Type test reports</t>
  </si>
  <si>
    <t>SECI-RG300-PL-ELE-202</t>
  </si>
  <si>
    <t>ICOG/RMU PANEL-GTP, GA &amp; Type test reports</t>
  </si>
  <si>
    <t>SECI-RG300-PL-ELE-203</t>
  </si>
  <si>
    <t>Main HT Swtichgear Panel-GTP, GA &amp; Type test reports</t>
  </si>
  <si>
    <t>SECI-RG300-PL-ELE-204</t>
  </si>
  <si>
    <t>Auxiliary LT Panel -GTP, GA &amp; Type test reports</t>
  </si>
  <si>
    <t>SECI-RG300-PL-ELE-205</t>
  </si>
  <si>
    <t>Auxiliary Transformer-GTP, GA &amp; Type test reports</t>
  </si>
  <si>
    <t>SECI-RG300-PL-ELE-206</t>
  </si>
  <si>
    <t>ESE Lightning Arrestor -GTP, GA &amp; Type test reports</t>
  </si>
  <si>
    <t>SECI-RG300-PL-ELE-207</t>
  </si>
  <si>
    <t>Lighting Fixtures with calculations-GTP, GA &amp; Type test reports</t>
  </si>
  <si>
    <t>SECI-RG300-PL-ELE-208</t>
  </si>
  <si>
    <t xml:space="preserve">String Combiner Box (SCB) -GTP, GA &amp; Type test reports    </t>
  </si>
  <si>
    <t>SECI-RG300-PL-ELE-209</t>
  </si>
  <si>
    <t xml:space="preserve">DC string cable -GTP, GA &amp; Type test reports    </t>
  </si>
  <si>
    <t>SECI-RG300-PL-ELE-210</t>
  </si>
  <si>
    <t xml:space="preserve">DC power cable -GTP, GA &amp; Type test reports    </t>
  </si>
  <si>
    <t>SECI-RG300-PL-ELE-211</t>
  </si>
  <si>
    <t xml:space="preserve">LT AC power cable -GTP, GA &amp; Type test reports    </t>
  </si>
  <si>
    <t>SECI-RG300-PL-ELE-212</t>
  </si>
  <si>
    <t xml:space="preserve">HT AC power cable -GTP, GA &amp; Type test reports    </t>
  </si>
  <si>
    <t>SECI-RG300-PL-ELE-213</t>
  </si>
  <si>
    <t xml:space="preserve">MC4 connectors -GTP, GA &amp; Type test reports    </t>
  </si>
  <si>
    <t>SECI-RG300-PL-ELE-214</t>
  </si>
  <si>
    <t xml:space="preserve">LT power and control cables -GTP, GA &amp; Type test reports    </t>
  </si>
  <si>
    <t>SECI-RG300-PL-ELE-215</t>
  </si>
  <si>
    <t xml:space="preserve">Communication cables -GTP, GA &amp; Type test reports    </t>
  </si>
  <si>
    <t>SECI-RG300-PL-ELE-216</t>
  </si>
  <si>
    <t xml:space="preserve">Earthing Strip &amp; acessories  -GTP, GA &amp; Type test reports    </t>
  </si>
  <si>
    <t>SECI-RG300-PL-ELE-217</t>
  </si>
  <si>
    <t xml:space="preserve">Earth Pit -GTP, GA &amp; Type test reports    </t>
  </si>
  <si>
    <t>SECI-RG300-PL-ELE-218</t>
  </si>
  <si>
    <t xml:space="preserve">MV Cable Termination Kit &amp; Jointing Kit  -GTP, GA &amp; Type test reports    </t>
  </si>
  <si>
    <t>SECI-RG300-PL-ELE-219</t>
  </si>
  <si>
    <t xml:space="preserve">Battery &amp; Battery Charger-GTP, GA &amp; Type test reports </t>
  </si>
  <si>
    <t>SECI-RG300-PL-ELE-220</t>
  </si>
  <si>
    <t xml:space="preserve">HDPE Conduit (DWC)-GTP, GA &amp; Type test reports </t>
  </si>
  <si>
    <t>SECI-RG300-PL-ELE-221</t>
  </si>
  <si>
    <t xml:space="preserve">UPS-GTP, GA &amp; Type test reports </t>
  </si>
  <si>
    <t>SECI-RG300-PL-ELE-222</t>
  </si>
  <si>
    <t>Cable Trays &amp; Accessories - Drawings</t>
  </si>
  <si>
    <t>SECI-RG300-PL-ELE-223</t>
  </si>
  <si>
    <t>Lugs, Trefoils and Glands - Drawings, Details, Catalogue</t>
  </si>
  <si>
    <t>SECI-RG300-PL-ELE-224</t>
  </si>
  <si>
    <t>Safety Items (Rubber Mat, Hand Gloves, First Aid Box, Safety chart, Fire fighting equipment, Danger Board ETC) - Datasheet, GA Drawing, TTR of Insulating Mats</t>
  </si>
  <si>
    <t>SECI-RG300-PL-ELE-226</t>
  </si>
  <si>
    <t>SCADA Panel&amp;PPC Schematics,GA and datasheets</t>
  </si>
  <si>
    <t>SECI-RG300-PL-ELE-228</t>
  </si>
  <si>
    <t>Weather Station - GTP &amp; Drawings</t>
  </si>
  <si>
    <t>SECI-RG300-PL-ELE-229</t>
  </si>
  <si>
    <t>CCTV - GTP &amp; Drawings</t>
  </si>
  <si>
    <t>SECI-RG300-PL-ELE-230</t>
  </si>
  <si>
    <t>Fire Alarm System &amp; Equipments - GTP &amp; Drawings</t>
  </si>
  <si>
    <t>SECI-RG300-PL-ELE-231</t>
  </si>
  <si>
    <t>SCADA SCREENS AND REPORT FORMAT</t>
  </si>
  <si>
    <t>SECI-RG300-PL-ELE-232</t>
  </si>
  <si>
    <t xml:space="preserve">SVG- -GTP, GA &amp; Type test reports    </t>
  </si>
  <si>
    <t>SECI-RG300-PL-ELE-233</t>
  </si>
  <si>
    <t>Harmonic Filter and its Acessires</t>
  </si>
  <si>
    <t>SECI-RG300-PL-ELE-234</t>
  </si>
  <si>
    <t xml:space="preserve">Central Inverter(PCU) -GTP, GA &amp; Type test reports    </t>
  </si>
  <si>
    <t>SECI-RG300-PL-ELE-235</t>
  </si>
  <si>
    <t>MQP</t>
  </si>
  <si>
    <t>Inverter Duty Transformer-MQP</t>
  </si>
  <si>
    <t>SECI-RG300-PL-MQP-001</t>
  </si>
  <si>
    <t>NIFPS-MQP</t>
  </si>
  <si>
    <t>SECI-RG300-PL-MQP-002</t>
  </si>
  <si>
    <t>ICOG/RMU PANEL-MQP</t>
  </si>
  <si>
    <t>SECI-RG300-PL-MQP-003</t>
  </si>
  <si>
    <t>Main HT Swtichgear Panel-MQP</t>
  </si>
  <si>
    <t>SECI-RG300-PL-MQP-004</t>
  </si>
  <si>
    <t>Auxiliary Panel -MQP</t>
  </si>
  <si>
    <t>SECI-RG300-PL-MQP-005</t>
  </si>
  <si>
    <t>ESE Lightning Arrestor -MQP</t>
  </si>
  <si>
    <t>SECI-RG300-PL-MQP-006</t>
  </si>
  <si>
    <t>Lighting Fixtures --MQP</t>
  </si>
  <si>
    <t>SECI-RG300-PL-MQP-007</t>
  </si>
  <si>
    <t xml:space="preserve">String Combiner Box (SCB) -MQP    </t>
  </si>
  <si>
    <t>SECI-RG300-PL-MQP-008</t>
  </si>
  <si>
    <t xml:space="preserve">DC string cable -MQP    </t>
  </si>
  <si>
    <t>SECI-RG300-PL-MQP-009</t>
  </si>
  <si>
    <t xml:space="preserve">DC power cable -MQP    </t>
  </si>
  <si>
    <t>SECI-RG300-PL-MQP-010</t>
  </si>
  <si>
    <t xml:space="preserve">LT AC power cable -MQP    </t>
  </si>
  <si>
    <t>SECI-RG300-PL-MQP-011</t>
  </si>
  <si>
    <t xml:space="preserve">HT AC power cable -MQP    </t>
  </si>
  <si>
    <t>SECI-RG300-PL-MQP-012</t>
  </si>
  <si>
    <t xml:space="preserve">LT power and control cables -MQP    </t>
  </si>
  <si>
    <t>SECI-RG300-PL-MQP-013</t>
  </si>
  <si>
    <t xml:space="preserve">Earthing Strip  -MQP    </t>
  </si>
  <si>
    <t>SECI-RG300-PL-MQP-014</t>
  </si>
  <si>
    <t xml:space="preserve">Earth Pit -MQP    </t>
  </si>
  <si>
    <t>SECI-RG300-PL-MQP-015</t>
  </si>
  <si>
    <t xml:space="preserve">MV Cable Termination Kit &amp; Jointing Kit  -MQP    </t>
  </si>
  <si>
    <t>SECI-RG300-PL-MQP-016</t>
  </si>
  <si>
    <t xml:space="preserve">Battery &amp; Battery Charger-MQP </t>
  </si>
  <si>
    <t>SECI-RG300-PL-MQP-017</t>
  </si>
  <si>
    <t xml:space="preserve">UPS-MQP </t>
  </si>
  <si>
    <t>SECI-RG300-PL-MQP-018</t>
  </si>
  <si>
    <t>Cable Trays &amp; Accessories - MQP</t>
  </si>
  <si>
    <t>SECI-RG300-PL-MQP-019</t>
  </si>
  <si>
    <t xml:space="preserve">Communication Cable-MQP </t>
  </si>
  <si>
    <t>SECI-RG300-PL-MQP-020</t>
  </si>
  <si>
    <t>SCADA Panel&amp;PPC MQP</t>
  </si>
  <si>
    <t>SECI-RG300-PL-MQP-021</t>
  </si>
  <si>
    <t>Weather Station - MQP</t>
  </si>
  <si>
    <t>SECI-RG300-PL-MQP-022</t>
  </si>
  <si>
    <t>CCTV - MQP</t>
  </si>
  <si>
    <t>SECI-RG300-PL-MQP-023</t>
  </si>
  <si>
    <t>Fire Alarm System &amp; Equipments - MQP</t>
  </si>
  <si>
    <t>SECI-RG300-PL-MQP-024</t>
  </si>
  <si>
    <t xml:space="preserve">SVG- -MQP    </t>
  </si>
  <si>
    <t>SECI-RG300-PL-MQP-025</t>
  </si>
  <si>
    <t xml:space="preserve">Central Inverter(PCU) -MQP    </t>
  </si>
  <si>
    <t>SECI-RG300-PL-MQP-026</t>
  </si>
  <si>
    <t>Harmonic Filter - MQP</t>
  </si>
  <si>
    <t>SECI-RG300-PL-MQP-027</t>
  </si>
  <si>
    <t>Auxiliary Transformer - MQP</t>
  </si>
  <si>
    <t>SECI-RG300-PL-MQP-028</t>
  </si>
  <si>
    <t>Module Mounting Structure - MQP</t>
  </si>
  <si>
    <t>Submitted/Expected Submission</t>
  </si>
  <si>
    <t>MMS - Structural Design Calculations &amp; Staad report (2PX14 &amp; 2PX28)</t>
  </si>
  <si>
    <t>Work in Progress</t>
  </si>
  <si>
    <t>Pile Testing</t>
  </si>
  <si>
    <t>R4</t>
  </si>
  <si>
    <t>Adaptive</t>
  </si>
  <si>
    <t>DC SINGLE LINE DIAGRAM</t>
  </si>
  <si>
    <t>Data Date</t>
  </si>
  <si>
    <t>Store Yard Fencing Work</t>
  </si>
  <si>
    <t>Trinity Touch</t>
  </si>
  <si>
    <t>Periphery Boundary Fencing</t>
  </si>
  <si>
    <t>Civil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</si>
</sst>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dd\ mmm\,\ yy"/>
    <numFmt numFmtId="165" formatCode="_(* #,##0.00_);_(* \(#,##0.00\);_(* &quot;-&quot;??_);_(@_)"/>
    <numFmt numFmtId="166" formatCode="_ * #,##0_ ;_ * \-#,##0_ ;_ * &quot;-&quot;??_ ;_ @_ "/>
    <numFmt numFmtId="167" formatCode="[$-409]d/mmm/yyyy;@"/>
    <numFmt numFmtId="168" formatCode="_(* #,##0_);_(* \(#,##0\);_(* &quot;-&quot;??_);_(@_)"/>
    <numFmt numFmtId="169" formatCode="dd\ mmm"/>
    <numFmt numFmtId="170" formatCode="_(* #,##0.0_);_(* \(#,##0.0\);_(* &quot;-&quot;??_);_(@_)"/>
    <numFmt numFmtId="171" formatCode="[$-409]d\-mmm\-yy;@"/>
  </numFmts>
  <fonts count="53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Aptos Narrow"/>
      <family val="2"/>
      <scheme val="minor"/>
    </font>
    <font>
      <sz val="11"/>
      <name val="Book Antiqua"/>
      <family val="1"/>
    </font>
    <font>
      <b/>
      <sz val="11"/>
      <name val="Book Antiqua"/>
      <family val="1"/>
    </font>
    <font>
      <b/>
      <sz val="12"/>
      <color theme="1"/>
      <name val="Aptos Narrow"/>
      <family val="2"/>
      <scheme val="minor"/>
    </font>
    <font>
      <sz val="9"/>
      <name val="Calibri"/>
      <family val="2"/>
    </font>
    <font>
      <b/>
      <sz val="9"/>
      <color theme="0"/>
      <name val="Calibri"/>
      <family val="2"/>
    </font>
    <font>
      <b/>
      <sz val="9"/>
      <color theme="0"/>
      <name val="Aptos Narrow"/>
      <family val="2"/>
      <scheme val="minor"/>
    </font>
    <font>
      <b/>
      <sz val="9"/>
      <color theme="1"/>
      <name val="Calibri"/>
      <family val="2"/>
    </font>
    <font>
      <b/>
      <sz val="20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1"/>
      <color rgb="FF00206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4"/>
      <name val="Aptos Display"/>
      <family val="2"/>
      <scheme val="major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sz val="12"/>
      <name val="Arial"/>
      <family val="2"/>
    </font>
    <font>
      <b/>
      <sz val="12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rgb="FF00B050"/>
      <name val="Aptos Narrow"/>
      <family val="2"/>
    </font>
    <font>
      <b/>
      <sz val="12"/>
      <color rgb="FF000000"/>
      <name val="Aptos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2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2060"/>
      <name val="Times New Roman"/>
      <family val="1"/>
    </font>
    <font>
      <sz val="11"/>
      <color rgb="FF002060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indexed="18"/>
      <name val="Times New Roman"/>
      <family val="1"/>
    </font>
    <font>
      <sz val="11"/>
      <color theme="0"/>
      <name val="Times New Roman"/>
      <family val="1"/>
    </font>
    <font>
      <b/>
      <sz val="14"/>
      <color theme="1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5117038483843"/>
        <bgColor indexed="64"/>
      </patternFill>
    </fill>
  </fills>
  <borders count="4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2" fillId="0" borderId="0"/>
  </cellStyleXfs>
  <cellXfs count="5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16" fontId="2" fillId="0" borderId="1" xfId="0" applyNumberFormat="1" applyFont="1" applyBorder="1" applyAlignment="1">
      <alignment horizontal="center"/>
    </xf>
    <xf numFmtId="0" fontId="8" fillId="5" borderId="4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10" fontId="7" fillId="0" borderId="0" xfId="0" applyNumberFormat="1" applyFont="1" applyAlignment="1">
      <alignment horizontal="center" vertical="center"/>
    </xf>
    <xf numFmtId="9" fontId="2" fillId="0" borderId="1" xfId="1" applyFont="1" applyBorder="1"/>
    <xf numFmtId="9" fontId="0" fillId="0" borderId="1" xfId="1" applyFont="1" applyBorder="1"/>
    <xf numFmtId="0" fontId="6" fillId="0" borderId="0" xfId="0" applyFont="1"/>
    <xf numFmtId="9" fontId="10" fillId="0" borderId="0" xfId="0" applyNumberFormat="1" applyFont="1" applyAlignment="1">
      <alignment horizontal="center"/>
    </xf>
    <xf numFmtId="0" fontId="11" fillId="0" borderId="0" xfId="2" applyAlignment="1">
      <alignment horizontal="center" vertical="center"/>
    </xf>
    <xf numFmtId="0" fontId="11" fillId="0" borderId="0" xfId="2" applyAlignment="1">
      <alignment vertical="center"/>
    </xf>
    <xf numFmtId="0" fontId="12" fillId="6" borderId="13" xfId="2" applyFont="1" applyFill="1" applyBorder="1" applyAlignment="1" applyProtection="1">
      <alignment vertical="center" wrapText="1"/>
      <protection locked="0"/>
    </xf>
    <xf numFmtId="0" fontId="12" fillId="6" borderId="17" xfId="2" applyFont="1" applyFill="1" applyBorder="1" applyAlignment="1" applyProtection="1">
      <alignment vertical="center" wrapText="1"/>
      <protection locked="0"/>
    </xf>
    <xf numFmtId="166" fontId="11" fillId="0" borderId="0" xfId="2" applyNumberFormat="1" applyAlignment="1">
      <alignment horizontal="center" vertical="center"/>
    </xf>
    <xf numFmtId="166" fontId="11" fillId="0" borderId="0" xfId="2" applyNumberFormat="1" applyAlignment="1">
      <alignment vertical="center"/>
    </xf>
    <xf numFmtId="0" fontId="11" fillId="0" borderId="5" xfId="2" applyBorder="1" applyAlignment="1">
      <alignment horizontal="center" vertical="center"/>
    </xf>
    <xf numFmtId="0" fontId="11" fillId="0" borderId="0" xfId="2" applyProtection="1">
      <protection locked="0"/>
    </xf>
    <xf numFmtId="0" fontId="13" fillId="5" borderId="5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5" borderId="8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" fontId="13" fillId="5" borderId="5" xfId="2" applyNumberFormat="1" applyFont="1" applyFill="1" applyBorder="1" applyAlignment="1">
      <alignment horizontal="center" vertical="center"/>
    </xf>
    <xf numFmtId="1" fontId="13" fillId="0" borderId="5" xfId="3" applyNumberFormat="1" applyFont="1" applyFill="1" applyBorder="1" applyAlignment="1" applyProtection="1">
      <alignment horizontal="center" vertical="center"/>
      <protection locked="0"/>
    </xf>
    <xf numFmtId="1" fontId="11" fillId="0" borderId="0" xfId="2" applyNumberFormat="1" applyProtection="1">
      <protection locked="0"/>
    </xf>
    <xf numFmtId="166" fontId="16" fillId="0" borderId="5" xfId="3" applyNumberFormat="1" applyFont="1" applyBorder="1" applyAlignment="1" applyProtection="1">
      <alignment horizontal="center" vertical="center" wrapText="1"/>
    </xf>
    <xf numFmtId="0" fontId="7" fillId="5" borderId="5" xfId="2" applyFont="1" applyFill="1" applyBorder="1" applyAlignment="1">
      <alignment horizontal="center" vertical="center" wrapText="1"/>
    </xf>
    <xf numFmtId="1" fontId="13" fillId="0" borderId="22" xfId="3" applyNumberFormat="1" applyFont="1" applyFill="1" applyBorder="1" applyAlignment="1" applyProtection="1">
      <alignment horizontal="center" vertical="center"/>
      <protection locked="0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13" fillId="5" borderId="5" xfId="2" applyFont="1" applyFill="1" applyBorder="1" applyAlignment="1">
      <alignment horizontal="center" vertical="center" wrapText="1"/>
    </xf>
    <xf numFmtId="0" fontId="11" fillId="0" borderId="5" xfId="2" applyBorder="1" applyAlignment="1" applyProtection="1">
      <alignment horizontal="center" vertical="center"/>
      <protection locked="0"/>
    </xf>
    <xf numFmtId="1" fontId="13" fillId="0" borderId="8" xfId="3" applyNumberFormat="1" applyFont="1" applyFill="1" applyBorder="1" applyAlignment="1" applyProtection="1">
      <alignment horizontal="center" vertical="center"/>
      <protection locked="0"/>
    </xf>
    <xf numFmtId="1" fontId="13" fillId="0" borderId="24" xfId="3" applyNumberFormat="1" applyFont="1" applyFill="1" applyBorder="1" applyAlignment="1" applyProtection="1">
      <alignment horizontal="center" vertical="center"/>
      <protection locked="0"/>
    </xf>
    <xf numFmtId="0" fontId="11" fillId="0" borderId="0" xfId="2" applyAlignment="1" applyProtection="1">
      <alignment horizontal="center"/>
      <protection locked="0"/>
    </xf>
    <xf numFmtId="0" fontId="11" fillId="0" borderId="0" xfId="2" applyAlignment="1" applyProtection="1">
      <alignment horizontal="center" vertical="center"/>
      <protection locked="0"/>
    </xf>
    <xf numFmtId="1" fontId="13" fillId="5" borderId="5" xfId="3" applyNumberFormat="1" applyFont="1" applyFill="1" applyBorder="1" applyAlignment="1" applyProtection="1">
      <alignment horizontal="center" vertical="center"/>
      <protection locked="0"/>
    </xf>
    <xf numFmtId="0" fontId="17" fillId="8" borderId="9" xfId="2" applyFont="1" applyFill="1" applyBorder="1" applyAlignment="1" applyProtection="1">
      <alignment vertical="center" wrapText="1"/>
      <protection locked="0"/>
    </xf>
    <xf numFmtId="0" fontId="11" fillId="0" borderId="0" xfId="2" applyAlignment="1">
      <alignment horizontal="center" vertical="center" textRotation="90" wrapText="1"/>
    </xf>
    <xf numFmtId="0" fontId="11" fillId="7" borderId="0" xfId="2" applyFill="1" applyAlignment="1">
      <alignment horizontal="center" vertical="center"/>
    </xf>
    <xf numFmtId="15" fontId="18" fillId="9" borderId="8" xfId="2" applyNumberFormat="1" applyFont="1" applyFill="1" applyBorder="1" applyAlignment="1">
      <alignment horizontal="center" vertical="center" wrapText="1"/>
    </xf>
    <xf numFmtId="165" fontId="0" fillId="0" borderId="0" xfId="3" applyFont="1" applyAlignment="1">
      <alignment horizontal="center" vertical="center"/>
    </xf>
    <xf numFmtId="15" fontId="11" fillId="0" borderId="0" xfId="2" applyNumberFormat="1" applyAlignment="1">
      <alignment horizontal="center" vertical="center"/>
    </xf>
    <xf numFmtId="0" fontId="11" fillId="0" borderId="0" xfId="2"/>
    <xf numFmtId="0" fontId="11" fillId="0" borderId="0" xfId="2" applyAlignment="1">
      <alignment horizontal="center" vertical="center" wrapText="1"/>
    </xf>
    <xf numFmtId="15" fontId="18" fillId="10" borderId="1" xfId="2" applyNumberFormat="1" applyFont="1" applyFill="1" applyBorder="1" applyAlignment="1">
      <alignment horizontal="center" vertical="center"/>
    </xf>
    <xf numFmtId="15" fontId="18" fillId="10" borderId="1" xfId="2" applyNumberFormat="1" applyFont="1" applyFill="1" applyBorder="1" applyAlignment="1">
      <alignment horizontal="center" vertical="center" textRotation="90"/>
    </xf>
    <xf numFmtId="0" fontId="11" fillId="0" borderId="1" xfId="2" applyBorder="1" applyAlignment="1">
      <alignment horizontal="center" vertical="center"/>
    </xf>
    <xf numFmtId="15" fontId="11" fillId="5" borderId="1" xfId="2" applyNumberFormat="1" applyFill="1" applyBorder="1" applyAlignment="1">
      <alignment horizontal="center" vertical="center"/>
    </xf>
    <xf numFmtId="0" fontId="11" fillId="5" borderId="1" xfId="2" applyFill="1" applyBorder="1" applyAlignment="1">
      <alignment horizontal="center" vertical="center"/>
    </xf>
    <xf numFmtId="2" fontId="11" fillId="5" borderId="1" xfId="2" applyNumberFormat="1" applyFill="1" applyBorder="1" applyAlignment="1">
      <alignment horizontal="center" vertical="center"/>
    </xf>
    <xf numFmtId="9" fontId="0" fillId="5" borderId="1" xfId="5" applyFont="1" applyFill="1" applyBorder="1" applyAlignment="1">
      <alignment horizontal="center" vertical="center"/>
    </xf>
    <xf numFmtId="165" fontId="0" fillId="5" borderId="1" xfId="3" applyFont="1" applyFill="1" applyBorder="1" applyAlignment="1">
      <alignment horizontal="center" vertical="center"/>
    </xf>
    <xf numFmtId="165" fontId="0" fillId="5" borderId="1" xfId="3" applyFont="1" applyFill="1" applyBorder="1"/>
    <xf numFmtId="0" fontId="11" fillId="5" borderId="1" xfId="2" applyFill="1" applyBorder="1"/>
    <xf numFmtId="0" fontId="11" fillId="0" borderId="1" xfId="2" applyBorder="1" applyAlignment="1">
      <alignment vertical="center" wrapText="1"/>
    </xf>
    <xf numFmtId="0" fontId="19" fillId="0" borderId="1" xfId="2" applyFont="1" applyBorder="1" applyAlignment="1">
      <alignment vertical="center" wrapText="1"/>
    </xf>
    <xf numFmtId="168" fontId="0" fillId="0" borderId="1" xfId="3" applyNumberFormat="1" applyFont="1" applyBorder="1" applyAlignment="1">
      <alignment horizontal="center" vertical="center"/>
    </xf>
    <xf numFmtId="0" fontId="22" fillId="6" borderId="13" xfId="2" applyFont="1" applyFill="1" applyBorder="1" applyAlignment="1" applyProtection="1">
      <alignment vertical="center" wrapText="1"/>
      <protection locked="0"/>
    </xf>
    <xf numFmtId="0" fontId="23" fillId="8" borderId="9" xfId="2" applyFont="1" applyFill="1" applyBorder="1" applyAlignment="1" applyProtection="1">
      <alignment vertical="center" wrapText="1"/>
      <protection locked="0"/>
    </xf>
    <xf numFmtId="0" fontId="22" fillId="6" borderId="17" xfId="2" applyFont="1" applyFill="1" applyBorder="1" applyAlignment="1" applyProtection="1">
      <alignment vertical="center" wrapText="1"/>
      <protection locked="0"/>
    </xf>
    <xf numFmtId="0" fontId="16" fillId="0" borderId="1" xfId="2" applyFont="1" applyBorder="1" applyAlignment="1">
      <alignment horizontal="center" vertical="center" wrapText="1"/>
    </xf>
    <xf numFmtId="0" fontId="16" fillId="12" borderId="1" xfId="2" applyFont="1" applyFill="1" applyBorder="1" applyAlignment="1">
      <alignment vertical="center" wrapText="1"/>
    </xf>
    <xf numFmtId="166" fontId="7" fillId="0" borderId="1" xfId="3" applyNumberFormat="1" applyFont="1" applyFill="1" applyBorder="1" applyAlignment="1" applyProtection="1">
      <alignment horizontal="center" vertical="center"/>
    </xf>
    <xf numFmtId="166" fontId="16" fillId="0" borderId="1" xfId="3" applyNumberFormat="1" applyFont="1" applyBorder="1" applyAlignment="1" applyProtection="1">
      <alignment horizontal="center" vertical="center" wrapText="1"/>
    </xf>
    <xf numFmtId="166" fontId="13" fillId="5" borderId="1" xfId="3" applyNumberFormat="1" applyFont="1" applyFill="1" applyBorder="1" applyAlignment="1" applyProtection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12" borderId="1" xfId="2" applyFont="1" applyFill="1" applyBorder="1" applyAlignment="1">
      <alignment vertical="center"/>
    </xf>
    <xf numFmtId="1" fontId="13" fillId="5" borderId="1" xfId="3" applyNumberFormat="1" applyFont="1" applyFill="1" applyBorder="1" applyAlignment="1" applyProtection="1">
      <alignment horizontal="center" vertical="center"/>
      <protection locked="0"/>
    </xf>
    <xf numFmtId="0" fontId="11" fillId="0" borderId="1" xfId="2" applyBorder="1" applyAlignment="1">
      <alignment horizontal="center"/>
    </xf>
    <xf numFmtId="0" fontId="13" fillId="12" borderId="1" xfId="2" applyFont="1" applyFill="1" applyBorder="1" applyAlignment="1" applyProtection="1">
      <alignment horizontal="left" vertical="center"/>
      <protection hidden="1"/>
    </xf>
    <xf numFmtId="0" fontId="13" fillId="0" borderId="1" xfId="2" applyFont="1" applyBorder="1" applyAlignment="1" applyProtection="1">
      <alignment horizontal="left" vertical="center"/>
      <protection hidden="1"/>
    </xf>
    <xf numFmtId="0" fontId="11" fillId="0" borderId="1" xfId="2" applyBorder="1" applyAlignment="1" applyProtection="1">
      <alignment horizontal="center" vertical="center"/>
      <protection locked="0"/>
    </xf>
    <xf numFmtId="1" fontId="11" fillId="0" borderId="1" xfId="2" applyNumberFormat="1" applyBorder="1" applyProtection="1">
      <protection locked="0"/>
    </xf>
    <xf numFmtId="167" fontId="15" fillId="13" borderId="5" xfId="2" applyNumberFormat="1" applyFont="1" applyFill="1" applyBorder="1" applyAlignment="1">
      <alignment horizontal="center" vertical="center" wrapText="1"/>
    </xf>
    <xf numFmtId="0" fontId="15" fillId="13" borderId="5" xfId="2" applyFont="1" applyFill="1" applyBorder="1" applyAlignment="1">
      <alignment horizontal="center" vertical="center"/>
    </xf>
    <xf numFmtId="15" fontId="13" fillId="13" borderId="5" xfId="2" applyNumberFormat="1" applyFont="1" applyFill="1" applyBorder="1" applyAlignment="1">
      <alignment horizontal="center" vertical="center"/>
    </xf>
    <xf numFmtId="166" fontId="7" fillId="13" borderId="5" xfId="3" applyNumberFormat="1" applyFont="1" applyFill="1" applyBorder="1" applyAlignment="1" applyProtection="1">
      <alignment horizontal="center" vertical="center"/>
    </xf>
    <xf numFmtId="166" fontId="15" fillId="13" borderId="5" xfId="2" applyNumberFormat="1" applyFont="1" applyFill="1" applyBorder="1" applyAlignment="1">
      <alignment horizontal="center" vertical="center"/>
    </xf>
    <xf numFmtId="166" fontId="13" fillId="13" borderId="5" xfId="3" applyNumberFormat="1" applyFont="1" applyFill="1" applyBorder="1" applyAlignment="1" applyProtection="1">
      <alignment horizontal="center" vertical="center"/>
    </xf>
    <xf numFmtId="167" fontId="15" fillId="13" borderId="1" xfId="2" applyNumberFormat="1" applyFont="1" applyFill="1" applyBorder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/>
    </xf>
    <xf numFmtId="15" fontId="13" fillId="13" borderId="1" xfId="2" applyNumberFormat="1" applyFont="1" applyFill="1" applyBorder="1" applyAlignment="1">
      <alignment horizontal="center" vertical="center"/>
    </xf>
    <xf numFmtId="166" fontId="7" fillId="13" borderId="1" xfId="3" applyNumberFormat="1" applyFont="1" applyFill="1" applyBorder="1" applyAlignment="1" applyProtection="1">
      <alignment horizontal="center" vertical="center"/>
    </xf>
    <xf numFmtId="166" fontId="15" fillId="13" borderId="1" xfId="2" applyNumberFormat="1" applyFont="1" applyFill="1" applyBorder="1" applyAlignment="1">
      <alignment horizontal="center" vertical="center"/>
    </xf>
    <xf numFmtId="166" fontId="13" fillId="13" borderId="1" xfId="3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/>
    </xf>
    <xf numFmtId="0" fontId="27" fillId="0" borderId="0" xfId="2" applyFont="1" applyAlignment="1">
      <alignment wrapText="1"/>
    </xf>
    <xf numFmtId="0" fontId="27" fillId="0" borderId="0" xfId="2" applyFont="1" applyAlignment="1">
      <alignment horizontal="center" vertical="center" wrapText="1"/>
    </xf>
    <xf numFmtId="0" fontId="31" fillId="13" borderId="1" xfId="2" applyFont="1" applyFill="1" applyBorder="1" applyAlignment="1">
      <alignment horizontal="center" vertical="center" wrapText="1"/>
    </xf>
    <xf numFmtId="0" fontId="27" fillId="0" borderId="1" xfId="2" applyFont="1" applyBorder="1" applyAlignment="1">
      <alignment horizontal="center" vertical="center" wrapText="1"/>
    </xf>
    <xf numFmtId="15" fontId="29" fillId="0" borderId="1" xfId="2" applyNumberFormat="1" applyFont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/>
    </xf>
    <xf numFmtId="0" fontId="29" fillId="0" borderId="1" xfId="2" applyFont="1" applyBorder="1" applyAlignment="1">
      <alignment horizontal="left" vertical="center" wrapText="1"/>
    </xf>
    <xf numFmtId="0" fontId="29" fillId="0" borderId="1" xfId="2" applyFont="1" applyBorder="1" applyAlignment="1">
      <alignment vertical="center" wrapText="1"/>
    </xf>
    <xf numFmtId="0" fontId="27" fillId="0" borderId="1" xfId="2" applyFont="1" applyBorder="1" applyAlignment="1">
      <alignment wrapText="1"/>
    </xf>
    <xf numFmtId="0" fontId="30" fillId="4" borderId="1" xfId="2" applyFont="1" applyFill="1" applyBorder="1" applyAlignment="1">
      <alignment horizontal="center" wrapText="1"/>
    </xf>
    <xf numFmtId="0" fontId="30" fillId="4" borderId="1" xfId="2" applyFont="1" applyFill="1" applyBorder="1" applyAlignment="1">
      <alignment horizontal="center" vertical="center" wrapText="1"/>
    </xf>
    <xf numFmtId="0" fontId="28" fillId="0" borderId="0" xfId="2" applyFont="1" applyAlignment="1">
      <alignment horizontal="left" vertical="center" wrapText="1"/>
    </xf>
    <xf numFmtId="0" fontId="29" fillId="0" borderId="0" xfId="2" applyFont="1" applyAlignment="1">
      <alignment horizontal="right" vertical="center" wrapText="1"/>
    </xf>
    <xf numFmtId="10" fontId="2" fillId="0" borderId="1" xfId="1" applyNumberFormat="1" applyFont="1" applyBorder="1"/>
    <xf numFmtId="0" fontId="8" fillId="5" borderId="0" xfId="0" applyFont="1" applyFill="1" applyAlignment="1">
      <alignment horizontal="center" vertical="center"/>
    </xf>
    <xf numFmtId="164" fontId="8" fillId="5" borderId="30" xfId="0" applyNumberFormat="1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right" vertical="center"/>
    </xf>
    <xf numFmtId="0" fontId="8" fillId="5" borderId="34" xfId="0" applyFont="1" applyFill="1" applyBorder="1" applyAlignment="1">
      <alignment horizontal="right" vertical="center"/>
    </xf>
    <xf numFmtId="0" fontId="8" fillId="5" borderId="37" xfId="0" applyFont="1" applyFill="1" applyBorder="1" applyAlignment="1">
      <alignment horizontal="righ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8" fillId="5" borderId="40" xfId="0" applyFont="1" applyFill="1" applyBorder="1" applyAlignment="1">
      <alignment horizontal="left" vertical="center"/>
    </xf>
    <xf numFmtId="15" fontId="18" fillId="9" borderId="0" xfId="2" applyNumberFormat="1" applyFont="1" applyFill="1" applyAlignment="1">
      <alignment horizontal="center" vertical="center" wrapText="1"/>
    </xf>
    <xf numFmtId="0" fontId="33" fillId="15" borderId="41" xfId="0" applyFont="1" applyFill="1" applyBorder="1" applyAlignment="1">
      <alignment horizontal="center" wrapText="1" readingOrder="1"/>
    </xf>
    <xf numFmtId="0" fontId="11" fillId="0" borderId="0" xfId="0" applyFont="1"/>
    <xf numFmtId="0" fontId="34" fillId="16" borderId="41" xfId="0" applyFont="1" applyFill="1" applyBorder="1" applyAlignment="1">
      <alignment horizontal="center" wrapText="1" readingOrder="1"/>
    </xf>
    <xf numFmtId="0" fontId="34" fillId="16" borderId="41" xfId="0" applyFont="1" applyFill="1" applyBorder="1" applyAlignment="1">
      <alignment horizontal="left" wrapText="1" readingOrder="1"/>
    </xf>
    <xf numFmtId="15" fontId="34" fillId="16" borderId="41" xfId="0" applyNumberFormat="1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vertical="center" wrapText="1"/>
    </xf>
    <xf numFmtId="0" fontId="34" fillId="16" borderId="41" xfId="0" applyFont="1" applyFill="1" applyBorder="1" applyAlignment="1">
      <alignment horizontal="center" vertical="center" wrapText="1" readingOrder="1"/>
    </xf>
    <xf numFmtId="0" fontId="34" fillId="16" borderId="41" xfId="0" applyFont="1" applyFill="1" applyBorder="1" applyAlignment="1">
      <alignment horizontal="left" vertical="center" wrapText="1" readingOrder="1"/>
    </xf>
    <xf numFmtId="15" fontId="34" fillId="16" borderId="41" xfId="0" applyNumberFormat="1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vertical="center"/>
    </xf>
    <xf numFmtId="0" fontId="33" fillId="15" borderId="41" xfId="0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wrapText="1" readingOrder="1"/>
    </xf>
    <xf numFmtId="15" fontId="34" fillId="17" borderId="41" xfId="0" applyNumberFormat="1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wrapText="1"/>
    </xf>
    <xf numFmtId="0" fontId="34" fillId="17" borderId="41" xfId="0" applyFont="1" applyFill="1" applyBorder="1" applyAlignment="1">
      <alignment horizontal="center" vertical="center" wrapText="1" readingOrder="1"/>
    </xf>
    <xf numFmtId="15" fontId="34" fillId="17" borderId="41" xfId="0" applyNumberFormat="1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vertical="center" wrapText="1" readingOrder="1"/>
    </xf>
    <xf numFmtId="0" fontId="11" fillId="0" borderId="41" xfId="0" applyFont="1" applyBorder="1"/>
    <xf numFmtId="0" fontId="35" fillId="17" borderId="41" xfId="0" applyFont="1" applyFill="1" applyBorder="1" applyAlignment="1">
      <alignment horizontal="left" vertical="center" wrapText="1"/>
    </xf>
    <xf numFmtId="169" fontId="9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34" fillId="18" borderId="41" xfId="0" applyFont="1" applyFill="1" applyBorder="1" applyAlignment="1">
      <alignment horizontal="center" vertical="center" wrapText="1" readingOrder="1"/>
    </xf>
    <xf numFmtId="0" fontId="34" fillId="18" borderId="41" xfId="0" applyFont="1" applyFill="1" applyBorder="1" applyAlignment="1">
      <alignment horizontal="left" vertical="center" wrapText="1" readingOrder="1"/>
    </xf>
    <xf numFmtId="15" fontId="34" fillId="18" borderId="41" xfId="0" applyNumberFormat="1" applyFont="1" applyFill="1" applyBorder="1" applyAlignment="1">
      <alignment horizontal="center" vertical="center" wrapText="1" readingOrder="1"/>
    </xf>
    <xf numFmtId="0" fontId="11" fillId="11" borderId="1" xfId="2" applyFill="1" applyBorder="1" applyAlignment="1">
      <alignment horizontal="center" vertical="center" textRotation="90" wrapText="1"/>
    </xf>
    <xf numFmtId="0" fontId="0" fillId="0" borderId="32" xfId="0" applyBorder="1" applyAlignment="1">
      <alignment vertical="center"/>
    </xf>
    <xf numFmtId="165" fontId="0" fillId="5" borderId="1" xfId="3" applyFont="1" applyFill="1" applyBorder="1" applyAlignment="1">
      <alignment vertical="center"/>
    </xf>
    <xf numFmtId="0" fontId="11" fillId="5" borderId="1" xfId="2" applyFill="1" applyBorder="1" applyAlignment="1">
      <alignment vertical="center"/>
    </xf>
    <xf numFmtId="14" fontId="0" fillId="0" borderId="0" xfId="3" applyNumberFormat="1" applyFont="1" applyAlignment="1">
      <alignment horizontal="center" vertical="center"/>
    </xf>
    <xf numFmtId="0" fontId="34" fillId="17" borderId="41" xfId="0" applyFont="1" applyFill="1" applyBorder="1" applyAlignment="1">
      <alignment vertical="center" wrapText="1" readingOrder="1"/>
    </xf>
    <xf numFmtId="168" fontId="0" fillId="5" borderId="1" xfId="3" applyNumberFormat="1" applyFont="1" applyFill="1" applyBorder="1" applyAlignment="1">
      <alignment vertical="center"/>
    </xf>
    <xf numFmtId="170" fontId="0" fillId="5" borderId="1" xfId="3" applyNumberFormat="1" applyFont="1" applyFill="1" applyBorder="1" applyAlignment="1">
      <alignment horizontal="center" vertical="center"/>
    </xf>
    <xf numFmtId="170" fontId="0" fillId="5" borderId="1" xfId="3" applyNumberFormat="1" applyFont="1" applyFill="1" applyBorder="1"/>
    <xf numFmtId="166" fontId="0" fillId="5" borderId="1" xfId="6" applyNumberFormat="1" applyFont="1" applyFill="1" applyBorder="1"/>
    <xf numFmtId="168" fontId="0" fillId="5" borderId="1" xfId="3" applyNumberFormat="1" applyFont="1" applyFill="1" applyBorder="1"/>
    <xf numFmtId="168" fontId="0" fillId="5" borderId="1" xfId="3" applyNumberFormat="1" applyFont="1" applyFill="1" applyBorder="1" applyAlignment="1">
      <alignment horizontal="center" vertical="center"/>
    </xf>
    <xf numFmtId="0" fontId="21" fillId="18" borderId="0" xfId="2" applyFont="1" applyFill="1"/>
    <xf numFmtId="16" fontId="2" fillId="0" borderId="0" xfId="0" applyNumberFormat="1" applyFont="1"/>
    <xf numFmtId="15" fontId="13" fillId="13" borderId="1" xfId="2" applyNumberFormat="1" applyFont="1" applyFill="1" applyBorder="1" applyAlignment="1">
      <alignment horizontal="center" vertical="center" textRotation="90"/>
    </xf>
    <xf numFmtId="0" fontId="8" fillId="5" borderId="1" xfId="0" applyFont="1" applyFill="1" applyBorder="1" applyAlignment="1">
      <alignment horizontal="center" vertical="center"/>
    </xf>
    <xf numFmtId="164" fontId="8" fillId="5" borderId="33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/>
    <xf numFmtId="10" fontId="27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2" applyBorder="1" applyAlignment="1">
      <alignment vertical="center"/>
    </xf>
    <xf numFmtId="0" fontId="11" fillId="0" borderId="1" xfId="2" applyBorder="1"/>
    <xf numFmtId="0" fontId="21" fillId="5" borderId="0" xfId="2" applyFont="1" applyFill="1"/>
    <xf numFmtId="0" fontId="38" fillId="0" borderId="1" xfId="0" applyFont="1" applyBorder="1" applyAlignment="1">
      <alignment vertical="center"/>
    </xf>
    <xf numFmtId="16" fontId="37" fillId="0" borderId="1" xfId="0" applyNumberFormat="1" applyFont="1" applyBorder="1" applyAlignment="1">
      <alignment horizontal="center" vertical="center"/>
    </xf>
    <xf numFmtId="166" fontId="37" fillId="0" borderId="1" xfId="6" applyNumberFormat="1" applyFont="1" applyBorder="1" applyAlignment="1">
      <alignment horizontal="center" vertical="center"/>
    </xf>
    <xf numFmtId="166" fontId="9" fillId="0" borderId="1" xfId="6" applyNumberFormat="1" applyFont="1" applyBorder="1" applyAlignment="1">
      <alignment horizontal="center" vertical="center"/>
    </xf>
    <xf numFmtId="166" fontId="9" fillId="19" borderId="1" xfId="6" applyNumberFormat="1" applyFont="1" applyFill="1" applyBorder="1" applyAlignment="1">
      <alignment horizontal="center" vertical="center"/>
    </xf>
    <xf numFmtId="166" fontId="9" fillId="0" borderId="1" xfId="6" applyNumberFormat="1" applyFont="1" applyBorder="1" applyAlignment="1">
      <alignment vertical="center"/>
    </xf>
    <xf numFmtId="166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38" fillId="20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2" fontId="9" fillId="0" borderId="1" xfId="0" applyNumberFormat="1" applyFont="1" applyBorder="1" applyAlignment="1">
      <alignment vertical="center"/>
    </xf>
    <xf numFmtId="0" fontId="38" fillId="0" borderId="0" xfId="0" applyFont="1" applyAlignment="1">
      <alignment vertical="center"/>
    </xf>
    <xf numFmtId="0" fontId="34" fillId="18" borderId="41" xfId="0" applyFont="1" applyFill="1" applyBorder="1" applyAlignment="1">
      <alignment vertical="center" wrapText="1" readingOrder="1"/>
    </xf>
    <xf numFmtId="15" fontId="11" fillId="0" borderId="41" xfId="0" applyNumberFormat="1" applyFont="1" applyBorder="1" applyAlignment="1">
      <alignment horizontal="center"/>
    </xf>
    <xf numFmtId="15" fontId="11" fillId="0" borderId="41" xfId="0" applyNumberFormat="1" applyFont="1" applyBorder="1" applyAlignment="1">
      <alignment horizontal="center" vertical="center"/>
    </xf>
    <xf numFmtId="0" fontId="11" fillId="0" borderId="41" xfId="0" applyFont="1" applyBorder="1" applyAlignment="1">
      <alignment vertical="center"/>
    </xf>
    <xf numFmtId="1" fontId="0" fillId="0" borderId="0" xfId="0" applyNumberFormat="1"/>
    <xf numFmtId="15" fontId="11" fillId="17" borderId="41" xfId="0" applyNumberFormat="1" applyFont="1" applyFill="1" applyBorder="1" applyAlignment="1">
      <alignment horizontal="center"/>
    </xf>
    <xf numFmtId="0" fontId="21" fillId="17" borderId="41" xfId="0" applyFont="1" applyFill="1" applyBorder="1"/>
    <xf numFmtId="0" fontId="35" fillId="16" borderId="41" xfId="0" applyFont="1" applyFill="1" applyBorder="1" applyAlignment="1">
      <alignment vertical="center" wrapText="1"/>
    </xf>
    <xf numFmtId="0" fontId="11" fillId="0" borderId="0" xfId="0" applyFont="1" applyAlignment="1">
      <alignment horizontal="center"/>
    </xf>
    <xf numFmtId="0" fontId="34" fillId="5" borderId="41" xfId="0" applyFont="1" applyFill="1" applyBorder="1" applyAlignment="1">
      <alignment horizontal="center" vertical="center" wrapText="1" readingOrder="1"/>
    </xf>
    <xf numFmtId="0" fontId="34" fillId="5" borderId="41" xfId="0" applyFont="1" applyFill="1" applyBorder="1" applyAlignment="1">
      <alignment horizontal="left" vertical="center" wrapText="1" readingOrder="1"/>
    </xf>
    <xf numFmtId="15" fontId="34" fillId="5" borderId="41" xfId="0" applyNumberFormat="1" applyFont="1" applyFill="1" applyBorder="1" applyAlignment="1">
      <alignment horizontal="center" vertical="center" wrapText="1" readingOrder="1"/>
    </xf>
    <xf numFmtId="16" fontId="11" fillId="0" borderId="0" xfId="0" applyNumberFormat="1" applyFont="1"/>
    <xf numFmtId="164" fontId="19" fillId="0" borderId="1" xfId="2" applyNumberFormat="1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164" fontId="5" fillId="5" borderId="1" xfId="2" applyNumberFormat="1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8" fontId="5" fillId="0" borderId="1" xfId="3" applyNumberFormat="1" applyFont="1" applyBorder="1" applyAlignment="1">
      <alignment horizontal="center" vertical="center"/>
    </xf>
    <xf numFmtId="15" fontId="5" fillId="5" borderId="1" xfId="2" applyNumberFormat="1" applyFont="1" applyFill="1" applyBorder="1" applyAlignment="1">
      <alignment horizontal="center" vertical="center"/>
    </xf>
    <xf numFmtId="2" fontId="5" fillId="5" borderId="1" xfId="2" applyNumberFormat="1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168" fontId="5" fillId="5" borderId="1" xfId="3" applyNumberFormat="1" applyFont="1" applyFill="1" applyBorder="1" applyAlignment="1">
      <alignment horizontal="center" vertical="center"/>
    </xf>
    <xf numFmtId="9" fontId="5" fillId="5" borderId="1" xfId="5" applyFont="1" applyFill="1" applyBorder="1" applyAlignment="1">
      <alignment horizontal="center" vertical="center"/>
    </xf>
    <xf numFmtId="164" fontId="5" fillId="0" borderId="1" xfId="2" applyNumberFormat="1" applyFont="1" applyBorder="1" applyAlignment="1">
      <alignment horizontal="center" vertical="center" wrapText="1"/>
    </xf>
    <xf numFmtId="165" fontId="5" fillId="5" borderId="1" xfId="3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0" fillId="0" borderId="1" xfId="2" applyFont="1" applyBorder="1" applyAlignment="1">
      <alignment horizontal="center" vertical="center"/>
    </xf>
    <xf numFmtId="0" fontId="41" fillId="16" borderId="41" xfId="0" applyFont="1" applyFill="1" applyBorder="1" applyAlignment="1">
      <alignment vertical="center" wrapText="1"/>
    </xf>
    <xf numFmtId="0" fontId="43" fillId="21" borderId="1" xfId="0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4" fillId="0" borderId="1" xfId="0" applyFont="1" applyBorder="1"/>
    <xf numFmtId="0" fontId="44" fillId="0" borderId="1" xfId="0" applyFont="1" applyBorder="1" applyAlignment="1">
      <alignment horizontal="center" vertical="center"/>
    </xf>
    <xf numFmtId="14" fontId="44" fillId="0" borderId="1" xfId="0" applyNumberFormat="1" applyFont="1" applyBorder="1" applyAlignment="1">
      <alignment horizontal="center" vertical="center"/>
    </xf>
    <xf numFmtId="14" fontId="45" fillId="0" borderId="1" xfId="0" applyNumberFormat="1" applyFont="1" applyBorder="1" applyAlignment="1">
      <alignment horizontal="center" vertical="center"/>
    </xf>
    <xf numFmtId="0" fontId="44" fillId="0" borderId="0" xfId="0" applyFont="1"/>
    <xf numFmtId="0" fontId="46" fillId="22" borderId="1" xfId="0" applyFont="1" applyFill="1" applyBorder="1" applyAlignment="1">
      <alignment horizontal="center" vertical="center"/>
    </xf>
    <xf numFmtId="0" fontId="46" fillId="22" borderId="1" xfId="0" applyFont="1" applyFill="1" applyBorder="1" applyAlignment="1">
      <alignment horizontal="center" vertical="center" wrapText="1"/>
    </xf>
    <xf numFmtId="0" fontId="47" fillId="23" borderId="1" xfId="0" applyFont="1" applyFill="1" applyBorder="1" applyAlignment="1">
      <alignment horizontal="center" vertical="center"/>
    </xf>
    <xf numFmtId="0" fontId="47" fillId="23" borderId="1" xfId="0" applyFont="1" applyFill="1" applyBorder="1" applyAlignment="1">
      <alignment horizontal="center" vertical="center" wrapText="1"/>
    </xf>
    <xf numFmtId="0" fontId="47" fillId="23" borderId="1" xfId="7" applyFont="1" applyFill="1" applyBorder="1" applyAlignment="1">
      <alignment horizontal="left" vertical="center" wrapText="1"/>
    </xf>
    <xf numFmtId="0" fontId="44" fillId="23" borderId="1" xfId="0" applyFont="1" applyFill="1" applyBorder="1" applyAlignment="1">
      <alignment horizontal="center" vertical="center"/>
    </xf>
    <xf numFmtId="164" fontId="44" fillId="23" borderId="1" xfId="0" applyNumberFormat="1" applyFont="1" applyFill="1" applyBorder="1" applyAlignment="1">
      <alignment horizontal="center" vertical="center"/>
    </xf>
    <xf numFmtId="171" fontId="44" fillId="23" borderId="1" xfId="0" applyNumberFormat="1" applyFont="1" applyFill="1" applyBorder="1" applyAlignment="1">
      <alignment horizontal="center" vertical="center"/>
    </xf>
    <xf numFmtId="0" fontId="44" fillId="23" borderId="1" xfId="0" applyFont="1" applyFill="1" applyBorder="1" applyAlignment="1">
      <alignment horizontal="center"/>
    </xf>
    <xf numFmtId="0" fontId="44" fillId="0" borderId="5" xfId="0" applyFont="1" applyBorder="1" applyAlignment="1">
      <alignment horizontal="center" vertical="center"/>
    </xf>
    <xf numFmtId="0" fontId="44" fillId="0" borderId="5" xfId="0" applyFont="1" applyBorder="1"/>
    <xf numFmtId="15" fontId="44" fillId="23" borderId="1" xfId="0" applyNumberFormat="1" applyFont="1" applyFill="1" applyBorder="1" applyAlignment="1">
      <alignment horizontal="center" vertical="center"/>
    </xf>
    <xf numFmtId="0" fontId="47" fillId="5" borderId="1" xfId="0" applyFont="1" applyFill="1" applyBorder="1" applyAlignment="1">
      <alignment horizontal="center" vertical="center"/>
    </xf>
    <xf numFmtId="0" fontId="47" fillId="5" borderId="1" xfId="0" applyFont="1" applyFill="1" applyBorder="1" applyAlignment="1">
      <alignment horizontal="center" vertical="center" wrapText="1"/>
    </xf>
    <xf numFmtId="0" fontId="47" fillId="5" borderId="1" xfId="7" applyFont="1" applyFill="1" applyBorder="1" applyAlignment="1">
      <alignment horizontal="left" vertical="center" wrapText="1"/>
    </xf>
    <xf numFmtId="164" fontId="44" fillId="5" borderId="1" xfId="0" applyNumberFormat="1" applyFont="1" applyFill="1" applyBorder="1" applyAlignment="1">
      <alignment horizontal="center" vertical="center"/>
    </xf>
    <xf numFmtId="171" fontId="44" fillId="5" borderId="1" xfId="0" applyNumberFormat="1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center"/>
    </xf>
    <xf numFmtId="0" fontId="47" fillId="24" borderId="1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 wrapText="1"/>
    </xf>
    <xf numFmtId="0" fontId="47" fillId="21" borderId="1" xfId="7" applyFont="1" applyFill="1" applyBorder="1" applyAlignment="1">
      <alignment horizontal="left" vertical="center" wrapText="1"/>
    </xf>
    <xf numFmtId="0" fontId="44" fillId="0" borderId="1" xfId="0" applyFont="1" applyBorder="1" applyAlignment="1">
      <alignment horizontal="center"/>
    </xf>
    <xf numFmtId="164" fontId="44" fillId="0" borderId="1" xfId="0" applyNumberFormat="1" applyFont="1" applyBorder="1" applyAlignment="1">
      <alignment horizontal="center" vertical="center"/>
    </xf>
    <xf numFmtId="171" fontId="44" fillId="0" borderId="1" xfId="0" applyNumberFormat="1" applyFont="1" applyBorder="1" applyAlignment="1">
      <alignment horizontal="center" vertical="center"/>
    </xf>
    <xf numFmtId="0" fontId="48" fillId="5" borderId="1" xfId="0" applyFont="1" applyFill="1" applyBorder="1" applyAlignment="1">
      <alignment horizontal="center" vertical="center"/>
    </xf>
    <xf numFmtId="164" fontId="48" fillId="5" borderId="1" xfId="0" applyNumberFormat="1" applyFont="1" applyFill="1" applyBorder="1" applyAlignment="1">
      <alignment horizontal="center" vertical="center"/>
    </xf>
    <xf numFmtId="171" fontId="48" fillId="5" borderId="1" xfId="0" applyNumberFormat="1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 vertical="center"/>
    </xf>
    <xf numFmtId="0" fontId="48" fillId="0" borderId="0" xfId="0" applyFont="1"/>
    <xf numFmtId="171" fontId="44" fillId="23" borderId="2" xfId="0" applyNumberFormat="1" applyFont="1" applyFill="1" applyBorder="1" applyAlignment="1">
      <alignment horizontal="center" vertical="center"/>
    </xf>
    <xf numFmtId="171" fontId="44" fillId="23" borderId="42" xfId="0" applyNumberFormat="1" applyFont="1" applyFill="1" applyBorder="1" applyAlignment="1">
      <alignment horizontal="center" vertical="center"/>
    </xf>
    <xf numFmtId="171" fontId="44" fillId="23" borderId="7" xfId="0" applyNumberFormat="1" applyFont="1" applyFill="1" applyBorder="1" applyAlignment="1">
      <alignment horizontal="center" vertical="center"/>
    </xf>
    <xf numFmtId="0" fontId="44" fillId="24" borderId="1" xfId="0" applyFont="1" applyFill="1" applyBorder="1" applyAlignment="1">
      <alignment horizontal="center" vertical="center"/>
    </xf>
    <xf numFmtId="0" fontId="44" fillId="21" borderId="1" xfId="0" applyFont="1" applyFill="1" applyBorder="1" applyAlignment="1">
      <alignment horizontal="center" vertical="center"/>
    </xf>
    <xf numFmtId="0" fontId="44" fillId="21" borderId="1" xfId="0" applyFont="1" applyFill="1" applyBorder="1" applyAlignment="1">
      <alignment horizontal="center" vertical="center" wrapText="1"/>
    </xf>
    <xf numFmtId="0" fontId="44" fillId="21" borderId="1" xfId="7" applyFont="1" applyFill="1" applyBorder="1" applyAlignment="1">
      <alignment horizontal="left" vertical="center" wrapText="1"/>
    </xf>
    <xf numFmtId="171" fontId="49" fillId="5" borderId="1" xfId="0" applyNumberFormat="1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/>
    </xf>
    <xf numFmtId="0" fontId="49" fillId="0" borderId="0" xfId="0" applyFont="1"/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1" xfId="7" applyFont="1" applyBorder="1" applyAlignment="1">
      <alignment horizontal="left" vertical="center" wrapText="1"/>
    </xf>
    <xf numFmtId="0" fontId="47" fillId="24" borderId="1" xfId="7" applyFont="1" applyFill="1" applyBorder="1" applyAlignment="1">
      <alignment horizontal="left" vertical="center" wrapText="1"/>
    </xf>
    <xf numFmtId="0" fontId="50" fillId="24" borderId="1" xfId="7" applyFont="1" applyFill="1" applyBorder="1" applyAlignment="1">
      <alignment horizontal="left" vertical="center" wrapText="1"/>
    </xf>
    <xf numFmtId="164" fontId="44" fillId="0" borderId="0" xfId="0" applyNumberFormat="1" applyFont="1"/>
    <xf numFmtId="164" fontId="44" fillId="0" borderId="2" xfId="0" applyNumberFormat="1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164" fontId="44" fillId="0" borderId="2" xfId="0" applyNumberFormat="1" applyFont="1" applyBorder="1" applyAlignment="1">
      <alignment vertical="center"/>
    </xf>
    <xf numFmtId="0" fontId="47" fillId="24" borderId="1" xfId="0" applyFont="1" applyFill="1" applyBorder="1" applyAlignment="1">
      <alignment vertical="center"/>
    </xf>
    <xf numFmtId="0" fontId="47" fillId="24" borderId="1" xfId="0" applyFont="1" applyFill="1" applyBorder="1" applyAlignment="1">
      <alignment horizontal="center" vertical="center" wrapText="1"/>
    </xf>
    <xf numFmtId="164" fontId="44" fillId="5" borderId="2" xfId="0" applyNumberFormat="1" applyFont="1" applyFill="1" applyBorder="1" applyAlignment="1">
      <alignment vertical="center"/>
    </xf>
    <xf numFmtId="0" fontId="44" fillId="0" borderId="2" xfId="0" applyFont="1" applyBorder="1" applyAlignment="1">
      <alignment horizontal="center"/>
    </xf>
    <xf numFmtId="164" fontId="44" fillId="5" borderId="42" xfId="0" applyNumberFormat="1" applyFont="1" applyFill="1" applyBorder="1" applyAlignment="1">
      <alignment vertical="center"/>
    </xf>
    <xf numFmtId="171" fontId="51" fillId="0" borderId="1" xfId="0" applyNumberFormat="1" applyFont="1" applyBorder="1" applyAlignment="1">
      <alignment horizontal="center" vertical="center"/>
    </xf>
    <xf numFmtId="0" fontId="47" fillId="25" borderId="1" xfId="0" applyFont="1" applyFill="1" applyBorder="1" applyAlignment="1">
      <alignment vertical="center"/>
    </xf>
    <xf numFmtId="0" fontId="47" fillId="25" borderId="1" xfId="0" applyFont="1" applyFill="1" applyBorder="1" applyAlignment="1">
      <alignment horizontal="center" vertical="center"/>
    </xf>
    <xf numFmtId="0" fontId="47" fillId="25" borderId="1" xfId="0" applyFont="1" applyFill="1" applyBorder="1" applyAlignment="1">
      <alignment horizontal="center" vertical="center" wrapText="1"/>
    </xf>
    <xf numFmtId="0" fontId="47" fillId="25" borderId="1" xfId="7" applyFont="1" applyFill="1" applyBorder="1" applyAlignment="1">
      <alignment horizontal="left" vertical="center" wrapText="1"/>
    </xf>
    <xf numFmtId="171" fontId="44" fillId="0" borderId="1" xfId="0" applyNumberFormat="1" applyFont="1" applyBorder="1" applyAlignment="1">
      <alignment horizontal="center" vertical="center" wrapText="1"/>
    </xf>
    <xf numFmtId="171" fontId="44" fillId="0" borderId="2" xfId="0" applyNumberFormat="1" applyFont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 wrapText="1"/>
    </xf>
    <xf numFmtId="0" fontId="49" fillId="25" borderId="1" xfId="0" applyFont="1" applyFill="1" applyBorder="1" applyAlignment="1">
      <alignment vertical="center"/>
    </xf>
    <xf numFmtId="0" fontId="49" fillId="25" borderId="1" xfId="0" applyFont="1" applyFill="1" applyBorder="1" applyAlignment="1">
      <alignment horizontal="center" vertical="center"/>
    </xf>
    <xf numFmtId="0" fontId="49" fillId="23" borderId="1" xfId="0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 wrapText="1"/>
    </xf>
    <xf numFmtId="0" fontId="44" fillId="0" borderId="0" xfId="0" applyFont="1" applyAlignment="1">
      <alignment wrapText="1"/>
    </xf>
    <xf numFmtId="0" fontId="47" fillId="25" borderId="5" xfId="0" applyFont="1" applyFill="1" applyBorder="1" applyAlignment="1">
      <alignment horizontal="center" vertical="center"/>
    </xf>
    <xf numFmtId="0" fontId="47" fillId="25" borderId="2" xfId="7" applyFont="1" applyFill="1" applyBorder="1" applyAlignment="1">
      <alignment horizontal="left" vertical="center" wrapText="1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164" fontId="44" fillId="0" borderId="5" xfId="0" applyNumberFormat="1" applyFont="1" applyBorder="1" applyAlignment="1">
      <alignment horizontal="center" vertical="center"/>
    </xf>
    <xf numFmtId="15" fontId="44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47" fillId="23" borderId="7" xfId="0" applyFont="1" applyFill="1" applyBorder="1" applyAlignment="1">
      <alignment horizontal="center" vertical="center"/>
    </xf>
    <xf numFmtId="0" fontId="44" fillId="23" borderId="7" xfId="0" applyFont="1" applyFill="1" applyBorder="1" applyAlignment="1">
      <alignment horizontal="center" vertical="center"/>
    </xf>
    <xf numFmtId="0" fontId="44" fillId="23" borderId="0" xfId="0" applyFont="1" applyFill="1"/>
    <xf numFmtId="0" fontId="47" fillId="25" borderId="5" xfId="0" applyFont="1" applyFill="1" applyBorder="1" applyAlignment="1">
      <alignment vertical="center"/>
    </xf>
    <xf numFmtId="0" fontId="44" fillId="5" borderId="0" xfId="0" applyFont="1" applyFill="1"/>
    <xf numFmtId="0" fontId="46" fillId="21" borderId="1" xfId="7" applyFont="1" applyFill="1" applyBorder="1" applyAlignment="1">
      <alignment horizontal="left" vertical="center" wrapText="1"/>
    </xf>
    <xf numFmtId="0" fontId="46" fillId="24" borderId="1" xfId="7" applyFont="1" applyFill="1" applyBorder="1" applyAlignment="1">
      <alignment horizontal="left" vertical="center" wrapText="1"/>
    </xf>
    <xf numFmtId="2" fontId="44" fillId="0" borderId="1" xfId="0" applyNumberFormat="1" applyFont="1" applyBorder="1" applyAlignment="1">
      <alignment horizontal="center" vertical="center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41" fillId="18" borderId="41" xfId="0" applyFont="1" applyFill="1" applyBorder="1" applyAlignment="1">
      <alignment horizontal="left" vertical="center" wrapText="1"/>
    </xf>
    <xf numFmtId="0" fontId="52" fillId="18" borderId="1" xfId="0" applyFont="1" applyFill="1" applyBorder="1" applyAlignment="1">
      <alignment horizontal="center" vertical="center"/>
    </xf>
    <xf numFmtId="164" fontId="52" fillId="18" borderId="1" xfId="0" applyNumberFormat="1" applyFont="1" applyFill="1" applyBorder="1" applyAlignment="1">
      <alignment horizontal="center" vertical="center"/>
    </xf>
    <xf numFmtId="0" fontId="8" fillId="5" borderId="43" xfId="0" applyFont="1" applyFill="1" applyBorder="1" applyAlignment="1">
      <alignment horizontal="left" vertical="center"/>
    </xf>
    <xf numFmtId="164" fontId="8" fillId="5" borderId="2" xfId="0" applyNumberFormat="1" applyFont="1" applyFill="1" applyBorder="1" applyAlignment="1">
      <alignment horizontal="center" vertical="center"/>
    </xf>
    <xf numFmtId="164" fontId="8" fillId="5" borderId="35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14" fontId="0" fillId="0" borderId="1" xfId="0" applyNumberFormat="1" applyBorder="1"/>
    <xf numFmtId="10" fontId="7" fillId="0" borderId="1" xfId="0" applyNumberFormat="1" applyFont="1" applyBorder="1" applyAlignment="1">
      <alignment horizontal="center" vertical="center"/>
    </xf>
    <xf numFmtId="15" fontId="34" fillId="17" borderId="41" xfId="0" applyNumberFormat="1" applyFont="1" applyFill="1" applyBorder="1" applyAlignment="1">
      <alignment vertical="center" wrapText="1" readingOrder="1"/>
    </xf>
    <xf numFmtId="15" fontId="34" fillId="16" borderId="41" xfId="0" applyNumberFormat="1" applyFont="1" applyFill="1" applyBorder="1" applyAlignment="1">
      <alignment vertical="center" wrapText="1" readingOrder="1"/>
    </xf>
    <xf numFmtId="0" fontId="34" fillId="17" borderId="41" xfId="0" applyFont="1" applyFill="1" applyBorder="1" applyAlignment="1">
      <alignment horizontal="left" vertical="top" wrapText="1" readingOrder="1"/>
    </xf>
    <xf numFmtId="0" fontId="34" fillId="0" borderId="41" xfId="0" applyFont="1" applyBorder="1" applyAlignment="1">
      <alignment horizontal="left" wrapText="1" readingOrder="1"/>
    </xf>
    <xf numFmtId="15" fontId="34" fillId="0" borderId="41" xfId="0" applyNumberFormat="1" applyFont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wrapText="1"/>
    </xf>
    <xf numFmtId="0" fontId="34" fillId="0" borderId="41" xfId="0" applyFont="1" applyBorder="1" applyAlignment="1">
      <alignment horizontal="center" wrapText="1" readingOrder="1"/>
    </xf>
    <xf numFmtId="0" fontId="35" fillId="17" borderId="41" xfId="0" applyFont="1" applyFill="1" applyBorder="1" applyAlignment="1">
      <alignment horizontal="center" wrapText="1"/>
    </xf>
    <xf numFmtId="15" fontId="18" fillId="9" borderId="8" xfId="2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1" fillId="0" borderId="1" xfId="2" applyBorder="1" applyAlignment="1">
      <alignment horizontal="left" vertical="center" wrapText="1"/>
    </xf>
    <xf numFmtId="0" fontId="19" fillId="0" borderId="1" xfId="2" applyFont="1" applyBorder="1" applyAlignment="1">
      <alignment horizontal="left" vertical="center" wrapText="1"/>
    </xf>
    <xf numFmtId="0" fontId="11" fillId="0" borderId="0" xfId="2" applyAlignment="1">
      <alignment horizontal="left" vertical="center" wrapText="1"/>
    </xf>
    <xf numFmtId="15" fontId="11" fillId="0" borderId="0" xfId="0" applyNumberFormat="1" applyFont="1"/>
    <xf numFmtId="0" fontId="34" fillId="0" borderId="41" xfId="0" applyFont="1" applyBorder="1" applyAlignment="1">
      <alignment horizontal="left" vertical="center" wrapText="1" readingOrder="1"/>
    </xf>
    <xf numFmtId="15" fontId="34" fillId="0" borderId="41" xfId="0" applyNumberFormat="1" applyFont="1" applyBorder="1" applyAlignment="1">
      <alignment vertical="center" wrapText="1" readingOrder="1"/>
    </xf>
    <xf numFmtId="0" fontId="11" fillId="0" borderId="3" xfId="2" applyBorder="1" applyAlignment="1">
      <alignment horizontal="center" vertical="center"/>
    </xf>
    <xf numFmtId="164" fontId="5" fillId="0" borderId="44" xfId="2" applyNumberFormat="1" applyFont="1" applyBorder="1" applyAlignment="1">
      <alignment horizontal="center" vertical="center" wrapText="1"/>
    </xf>
    <xf numFmtId="0" fontId="11" fillId="0" borderId="2" xfId="2" applyBorder="1" applyAlignment="1">
      <alignment horizontal="left" vertical="center" wrapText="1"/>
    </xf>
    <xf numFmtId="0" fontId="11" fillId="0" borderId="7" xfId="2" applyBorder="1" applyAlignment="1">
      <alignment horizontal="left" vertical="center" wrapText="1"/>
    </xf>
    <xf numFmtId="0" fontId="11" fillId="0" borderId="5" xfId="2" applyBorder="1" applyAlignment="1">
      <alignment horizontal="left" vertical="center" wrapText="1"/>
    </xf>
    <xf numFmtId="0" fontId="34" fillId="0" borderId="41" xfId="0" applyFont="1" applyBorder="1" applyAlignment="1">
      <alignment horizontal="center" vertical="center" wrapText="1" readingOrder="1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left" vertical="center"/>
    </xf>
    <xf numFmtId="0" fontId="8" fillId="5" borderId="29" xfId="0" applyFont="1" applyFill="1" applyBorder="1" applyAlignment="1">
      <alignment horizontal="left" vertical="center"/>
    </xf>
    <xf numFmtId="0" fontId="8" fillId="5" borderId="39" xfId="0" applyFont="1" applyFill="1" applyBorder="1" applyAlignment="1">
      <alignment horizontal="left"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31" xfId="0" applyFont="1" applyFill="1" applyBorder="1" applyAlignment="1">
      <alignment horizontal="center" vertical="center"/>
    </xf>
    <xf numFmtId="0" fontId="26" fillId="14" borderId="24" xfId="0" applyFont="1" applyFill="1" applyBorder="1" applyAlignment="1">
      <alignment horizontal="center" vertical="center"/>
    </xf>
    <xf numFmtId="0" fontId="3" fillId="4" borderId="10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1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2" xfId="3" applyNumberFormat="1" applyFont="1" applyFill="1" applyBorder="1" applyAlignment="1" applyProtection="1">
      <alignment horizontal="center" vertical="center" wrapText="1"/>
      <protection locked="0"/>
    </xf>
    <xf numFmtId="0" fontId="4" fillId="7" borderId="14" xfId="2" applyFont="1" applyFill="1" applyBorder="1" applyAlignment="1">
      <alignment horizontal="left" vertical="center"/>
    </xf>
    <xf numFmtId="0" fontId="4" fillId="7" borderId="15" xfId="2" applyFont="1" applyFill="1" applyBorder="1" applyAlignment="1">
      <alignment horizontal="left" vertical="center"/>
    </xf>
    <xf numFmtId="0" fontId="4" fillId="7" borderId="16" xfId="2" applyFont="1" applyFill="1" applyBorder="1" applyAlignment="1">
      <alignment horizontal="left" vertical="center"/>
    </xf>
    <xf numFmtId="167" fontId="14" fillId="6" borderId="18" xfId="2" applyNumberFormat="1" applyFont="1" applyFill="1" applyBorder="1" applyAlignment="1" applyProtection="1">
      <alignment horizontal="left" vertical="center"/>
      <protection locked="0"/>
    </xf>
    <xf numFmtId="167" fontId="14" fillId="6" borderId="19" xfId="2" applyNumberFormat="1" applyFont="1" applyFill="1" applyBorder="1" applyAlignment="1" applyProtection="1">
      <alignment horizontal="left" vertical="center"/>
      <protection locked="0"/>
    </xf>
    <xf numFmtId="167" fontId="14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5" xfId="2" applyFont="1" applyFill="1" applyBorder="1" applyAlignment="1">
      <alignment horizontal="center" vertical="center" wrapText="1"/>
    </xf>
    <xf numFmtId="0" fontId="15" fillId="13" borderId="8" xfId="2" applyFont="1" applyFill="1" applyBorder="1" applyAlignment="1">
      <alignment horizontal="center" vertical="center" wrapText="1"/>
    </xf>
    <xf numFmtId="0" fontId="15" fillId="13" borderId="21" xfId="2" applyFont="1" applyFill="1" applyBorder="1" applyAlignment="1">
      <alignment horizontal="center" vertical="center" wrapText="1"/>
    </xf>
    <xf numFmtId="0" fontId="7" fillId="5" borderId="8" xfId="2" applyFont="1" applyFill="1" applyBorder="1" applyAlignment="1">
      <alignment horizontal="center" vertical="center"/>
    </xf>
    <xf numFmtId="0" fontId="7" fillId="5" borderId="21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24" fillId="4" borderId="10" xfId="3" applyNumberFormat="1" applyFont="1" applyFill="1" applyBorder="1" applyAlignment="1" applyProtection="1">
      <alignment vertical="center" wrapText="1"/>
      <protection locked="0"/>
    </xf>
    <xf numFmtId="0" fontId="24" fillId="4" borderId="11" xfId="3" applyNumberFormat="1" applyFont="1" applyFill="1" applyBorder="1" applyAlignment="1" applyProtection="1">
      <alignment vertical="center" wrapText="1"/>
      <protection locked="0"/>
    </xf>
    <xf numFmtId="0" fontId="24" fillId="4" borderId="12" xfId="3" applyNumberFormat="1" applyFont="1" applyFill="1" applyBorder="1" applyAlignment="1" applyProtection="1">
      <alignment vertical="center" wrapText="1"/>
      <protection locked="0"/>
    </xf>
    <xf numFmtId="0" fontId="8" fillId="7" borderId="14" xfId="2" applyFont="1" applyFill="1" applyBorder="1" applyAlignment="1">
      <alignment horizontal="left" vertical="center"/>
    </xf>
    <xf numFmtId="0" fontId="8" fillId="7" borderId="15" xfId="2" applyFont="1" applyFill="1" applyBorder="1" applyAlignment="1">
      <alignment horizontal="left" vertical="center"/>
    </xf>
    <xf numFmtId="0" fontId="8" fillId="7" borderId="16" xfId="2" applyFont="1" applyFill="1" applyBorder="1" applyAlignment="1">
      <alignment horizontal="left" vertical="center"/>
    </xf>
    <xf numFmtId="167" fontId="25" fillId="6" borderId="18" xfId="2" applyNumberFormat="1" applyFont="1" applyFill="1" applyBorder="1" applyAlignment="1" applyProtection="1">
      <alignment horizontal="left" vertical="center"/>
      <protection locked="0"/>
    </xf>
    <xf numFmtId="167" fontId="25" fillId="6" borderId="19" xfId="2" applyNumberFormat="1" applyFont="1" applyFill="1" applyBorder="1" applyAlignment="1" applyProtection="1">
      <alignment horizontal="left" vertical="center"/>
      <protection locked="0"/>
    </xf>
    <xf numFmtId="167" fontId="25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1" xfId="2" applyFont="1" applyFill="1" applyBorder="1" applyAlignment="1">
      <alignment horizontal="center" vertical="center" wrapText="1"/>
    </xf>
    <xf numFmtId="0" fontId="21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/>
      <protection hidden="1"/>
    </xf>
    <xf numFmtId="0" fontId="7" fillId="5" borderId="1" xfId="2" applyFont="1" applyFill="1" applyBorder="1" applyAlignment="1">
      <alignment horizontal="center" vertical="center"/>
    </xf>
    <xf numFmtId="0" fontId="7" fillId="0" borderId="1" xfId="2" applyFont="1" applyBorder="1" applyAlignment="1" applyProtection="1">
      <alignment horizontal="center" vertical="center" wrapText="1"/>
      <protection hidden="1"/>
    </xf>
    <xf numFmtId="0" fontId="21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164" fontId="44" fillId="23" borderId="1" xfId="0" applyNumberFormat="1" applyFont="1" applyFill="1" applyBorder="1" applyAlignment="1">
      <alignment horizontal="center" vertical="center"/>
    </xf>
    <xf numFmtId="0" fontId="44" fillId="23" borderId="1" xfId="0" applyFont="1" applyFill="1" applyBorder="1" applyAlignment="1">
      <alignment horizontal="center" vertical="center"/>
    </xf>
    <xf numFmtId="0" fontId="43" fillId="21" borderId="1" xfId="0" applyFont="1" applyFill="1" applyBorder="1" applyAlignment="1">
      <alignment horizontal="center" vertical="center"/>
    </xf>
    <xf numFmtId="0" fontId="47" fillId="23" borderId="1" xfId="0" applyFont="1" applyFill="1" applyBorder="1" applyAlignment="1">
      <alignment horizontal="center" vertical="center"/>
    </xf>
    <xf numFmtId="0" fontId="47" fillId="23" borderId="1" xfId="0" applyFont="1" applyFill="1" applyBorder="1" applyAlignment="1">
      <alignment horizontal="center" vertical="center" wrapText="1"/>
    </xf>
    <xf numFmtId="0" fontId="47" fillId="23" borderId="1" xfId="7" applyFont="1" applyFill="1" applyBorder="1" applyAlignment="1">
      <alignment horizontal="left" vertical="center" wrapText="1"/>
    </xf>
    <xf numFmtId="0" fontId="47" fillId="23" borderId="2" xfId="0" applyFont="1" applyFill="1" applyBorder="1" applyAlignment="1">
      <alignment horizontal="center" vertical="center"/>
    </xf>
    <xf numFmtId="0" fontId="47" fillId="23" borderId="7" xfId="0" applyFont="1" applyFill="1" applyBorder="1" applyAlignment="1">
      <alignment horizontal="center" vertical="center"/>
    </xf>
    <xf numFmtId="0" fontId="47" fillId="23" borderId="2" xfId="0" applyFont="1" applyFill="1" applyBorder="1" applyAlignment="1">
      <alignment horizontal="center" vertical="center" wrapText="1"/>
    </xf>
    <xf numFmtId="0" fontId="47" fillId="23" borderId="7" xfId="0" applyFont="1" applyFill="1" applyBorder="1" applyAlignment="1">
      <alignment horizontal="center" vertical="center" wrapText="1"/>
    </xf>
    <xf numFmtId="0" fontId="47" fillId="23" borderId="2" xfId="7" applyFont="1" applyFill="1" applyBorder="1" applyAlignment="1">
      <alignment horizontal="center" vertical="center" wrapText="1"/>
    </xf>
    <xf numFmtId="0" fontId="47" fillId="23" borderId="7" xfId="7" applyFont="1" applyFill="1" applyBorder="1" applyAlignment="1">
      <alignment horizontal="center" vertical="center" wrapText="1"/>
    </xf>
    <xf numFmtId="0" fontId="44" fillId="23" borderId="2" xfId="0" applyFont="1" applyFill="1" applyBorder="1" applyAlignment="1">
      <alignment horizontal="center" vertical="center"/>
    </xf>
    <xf numFmtId="0" fontId="44" fillId="23" borderId="7" xfId="0" applyFont="1" applyFill="1" applyBorder="1" applyAlignment="1">
      <alignment horizontal="center" vertical="center"/>
    </xf>
    <xf numFmtId="164" fontId="44" fillId="23" borderId="2" xfId="0" applyNumberFormat="1" applyFont="1" applyFill="1" applyBorder="1" applyAlignment="1">
      <alignment horizontal="center" vertical="center"/>
    </xf>
    <xf numFmtId="164" fontId="44" fillId="23" borderId="7" xfId="0" applyNumberFormat="1" applyFont="1" applyFill="1" applyBorder="1" applyAlignment="1">
      <alignment horizontal="center" vertical="center"/>
    </xf>
    <xf numFmtId="15" fontId="44" fillId="23" borderId="2" xfId="0" applyNumberFormat="1" applyFont="1" applyFill="1" applyBorder="1" applyAlignment="1">
      <alignment horizontal="center" vertical="center"/>
    </xf>
    <xf numFmtId="15" fontId="44" fillId="23" borderId="7" xfId="0" applyNumberFormat="1" applyFont="1" applyFill="1" applyBorder="1" applyAlignment="1">
      <alignment horizontal="center" vertical="center"/>
    </xf>
    <xf numFmtId="15" fontId="44" fillId="23" borderId="1" xfId="0" applyNumberFormat="1" applyFont="1" applyFill="1" applyBorder="1" applyAlignment="1">
      <alignment horizontal="center" vertical="center"/>
    </xf>
    <xf numFmtId="0" fontId="47" fillId="24" borderId="1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 wrapText="1"/>
    </xf>
    <xf numFmtId="0" fontId="47" fillId="21" borderId="1" xfId="7" applyFont="1" applyFill="1" applyBorder="1" applyAlignment="1">
      <alignment horizontal="left" vertical="center" wrapText="1"/>
    </xf>
    <xf numFmtId="0" fontId="44" fillId="0" borderId="1" xfId="0" applyFont="1" applyBorder="1" applyAlignment="1">
      <alignment horizontal="center" vertical="center"/>
    </xf>
    <xf numFmtId="164" fontId="44" fillId="0" borderId="1" xfId="0" applyNumberFormat="1" applyFont="1" applyBorder="1" applyAlignment="1">
      <alignment horizontal="center" vertical="center"/>
    </xf>
    <xf numFmtId="0" fontId="47" fillId="23" borderId="2" xfId="7" applyFont="1" applyFill="1" applyBorder="1" applyAlignment="1">
      <alignment vertical="center" wrapText="1"/>
    </xf>
    <xf numFmtId="0" fontId="47" fillId="23" borderId="42" xfId="0" applyFont="1" applyFill="1" applyBorder="1" applyAlignment="1">
      <alignment horizontal="center" vertical="center"/>
    </xf>
    <xf numFmtId="0" fontId="47" fillId="23" borderId="42" xfId="0" applyFont="1" applyFill="1" applyBorder="1" applyAlignment="1">
      <alignment horizontal="center" vertical="center" wrapText="1"/>
    </xf>
    <xf numFmtId="0" fontId="47" fillId="23" borderId="42" xfId="7" applyFont="1" applyFill="1" applyBorder="1" applyAlignment="1">
      <alignment horizontal="center" vertical="center" wrapText="1"/>
    </xf>
    <xf numFmtId="0" fontId="44" fillId="23" borderId="42" xfId="0" applyFont="1" applyFill="1" applyBorder="1" applyAlignment="1">
      <alignment horizontal="center" vertical="center"/>
    </xf>
    <xf numFmtId="16" fontId="44" fillId="23" borderId="2" xfId="0" applyNumberFormat="1" applyFont="1" applyFill="1" applyBorder="1" applyAlignment="1">
      <alignment horizontal="center" vertical="center"/>
    </xf>
    <xf numFmtId="16" fontId="44" fillId="23" borderId="42" xfId="0" applyNumberFormat="1" applyFont="1" applyFill="1" applyBorder="1" applyAlignment="1">
      <alignment horizontal="center" vertical="center"/>
    </xf>
    <xf numFmtId="16" fontId="44" fillId="23" borderId="7" xfId="0" applyNumberFormat="1" applyFont="1" applyFill="1" applyBorder="1" applyAlignment="1">
      <alignment horizontal="center" vertical="center"/>
    </xf>
    <xf numFmtId="164" fontId="44" fillId="23" borderId="42" xfId="0" applyNumberFormat="1" applyFont="1" applyFill="1" applyBorder="1" applyAlignment="1">
      <alignment horizontal="center" vertical="center"/>
    </xf>
    <xf numFmtId="0" fontId="47" fillId="23" borderId="42" xfId="7" applyFont="1" applyFill="1" applyBorder="1" applyAlignment="1">
      <alignment vertical="center" wrapText="1"/>
    </xf>
    <xf numFmtId="0" fontId="47" fillId="23" borderId="7" xfId="7" applyFont="1" applyFill="1" applyBorder="1" applyAlignment="1">
      <alignment vertical="center" wrapText="1"/>
    </xf>
    <xf numFmtId="15" fontId="44" fillId="23" borderId="42" xfId="0" applyNumberFormat="1" applyFont="1" applyFill="1" applyBorder="1" applyAlignment="1">
      <alignment horizontal="center" vertical="center"/>
    </xf>
    <xf numFmtId="164" fontId="44" fillId="0" borderId="2" xfId="0" applyNumberFormat="1" applyFont="1" applyBorder="1" applyAlignment="1">
      <alignment horizontal="center" vertical="center"/>
    </xf>
    <xf numFmtId="164" fontId="44" fillId="0" borderId="42" xfId="0" applyNumberFormat="1" applyFont="1" applyBorder="1" applyAlignment="1">
      <alignment horizontal="center" vertical="center"/>
    </xf>
    <xf numFmtId="164" fontId="44" fillId="0" borderId="7" xfId="0" applyNumberFormat="1" applyFont="1" applyBorder="1" applyAlignment="1">
      <alignment horizontal="center" vertical="center"/>
    </xf>
    <xf numFmtId="16" fontId="44" fillId="23" borderId="1" xfId="0" applyNumberFormat="1" applyFont="1" applyFill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4" fillId="0" borderId="42" xfId="0" applyFont="1" applyBorder="1" applyAlignment="1">
      <alignment horizontal="center" vertical="center"/>
    </xf>
    <xf numFmtId="0" fontId="44" fillId="0" borderId="7" xfId="0" applyFont="1" applyBorder="1" applyAlignment="1">
      <alignment horizontal="center" vertical="center"/>
    </xf>
    <xf numFmtId="0" fontId="47" fillId="24" borderId="2" xfId="0" applyFont="1" applyFill="1" applyBorder="1" applyAlignment="1">
      <alignment horizontal="center" vertical="center"/>
    </xf>
    <xf numFmtId="0" fontId="47" fillId="24" borderId="42" xfId="0" applyFont="1" applyFill="1" applyBorder="1" applyAlignment="1">
      <alignment horizontal="center" vertical="center"/>
    </xf>
    <xf numFmtId="0" fontId="47" fillId="24" borderId="7" xfId="0" applyFont="1" applyFill="1" applyBorder="1" applyAlignment="1">
      <alignment horizontal="center" vertical="center"/>
    </xf>
    <xf numFmtId="0" fontId="47" fillId="24" borderId="1" xfId="7" applyFont="1" applyFill="1" applyBorder="1" applyAlignment="1">
      <alignment vertical="center" wrapText="1"/>
    </xf>
    <xf numFmtId="0" fontId="47" fillId="24" borderId="2" xfId="0" applyFont="1" applyFill="1" applyBorder="1" applyAlignment="1">
      <alignment horizontal="center" vertical="center" wrapText="1"/>
    </xf>
    <xf numFmtId="0" fontId="47" fillId="24" borderId="7" xfId="0" applyFont="1" applyFill="1" applyBorder="1" applyAlignment="1">
      <alignment horizontal="center" vertical="center" wrapText="1"/>
    </xf>
    <xf numFmtId="0" fontId="47" fillId="24" borderId="2" xfId="7" applyFont="1" applyFill="1" applyBorder="1" applyAlignment="1">
      <alignment horizontal="center" vertical="center" wrapText="1"/>
    </xf>
    <xf numFmtId="0" fontId="47" fillId="24" borderId="7" xfId="7" applyFont="1" applyFill="1" applyBorder="1" applyAlignment="1">
      <alignment vertical="center" wrapText="1"/>
    </xf>
    <xf numFmtId="0" fontId="44" fillId="5" borderId="2" xfId="0" applyFont="1" applyFill="1" applyBorder="1" applyAlignment="1">
      <alignment horizontal="center" vertical="center"/>
    </xf>
    <xf numFmtId="0" fontId="44" fillId="5" borderId="7" xfId="0" applyFont="1" applyFill="1" applyBorder="1" applyAlignment="1">
      <alignment horizontal="center" vertical="center"/>
    </xf>
    <xf numFmtId="164" fontId="44" fillId="5" borderId="2" xfId="0" applyNumberFormat="1" applyFont="1" applyFill="1" applyBorder="1" applyAlignment="1">
      <alignment horizontal="center" vertical="center"/>
    </xf>
    <xf numFmtId="164" fontId="44" fillId="5" borderId="7" xfId="0" applyNumberFormat="1" applyFont="1" applyFill="1" applyBorder="1" applyAlignment="1">
      <alignment horizontal="center" vertical="center"/>
    </xf>
    <xf numFmtId="171" fontId="44" fillId="5" borderId="2" xfId="0" applyNumberFormat="1" applyFont="1" applyFill="1" applyBorder="1" applyAlignment="1">
      <alignment horizontal="center" vertical="center"/>
    </xf>
    <xf numFmtId="171" fontId="44" fillId="5" borderId="7" xfId="0" applyNumberFormat="1" applyFont="1" applyFill="1" applyBorder="1" applyAlignment="1">
      <alignment horizontal="center" vertical="center"/>
    </xf>
    <xf numFmtId="0" fontId="44" fillId="0" borderId="2" xfId="0" applyFont="1" applyBorder="1" applyAlignment="1">
      <alignment horizontal="center"/>
    </xf>
    <xf numFmtId="0" fontId="44" fillId="0" borderId="7" xfId="0" applyFont="1" applyBorder="1" applyAlignment="1">
      <alignment horizontal="center"/>
    </xf>
    <xf numFmtId="0" fontId="47" fillId="25" borderId="1" xfId="0" applyFont="1" applyFill="1" applyBorder="1" applyAlignment="1">
      <alignment horizontal="center" vertical="center"/>
    </xf>
    <xf numFmtId="0" fontId="47" fillId="25" borderId="1" xfId="0" applyFont="1" applyFill="1" applyBorder="1" applyAlignment="1">
      <alignment horizontal="center" vertical="center" wrapText="1"/>
    </xf>
    <xf numFmtId="0" fontId="47" fillId="25" borderId="2" xfId="7" applyFont="1" applyFill="1" applyBorder="1" applyAlignment="1">
      <alignment horizontal="left" vertical="center" wrapText="1"/>
    </xf>
    <xf numFmtId="0" fontId="47" fillId="25" borderId="7" xfId="7" applyFont="1" applyFill="1" applyBorder="1" applyAlignment="1">
      <alignment horizontal="left" vertical="center" wrapText="1"/>
    </xf>
    <xf numFmtId="0" fontId="47" fillId="25" borderId="1" xfId="7" applyFont="1" applyFill="1" applyBorder="1" applyAlignment="1">
      <alignment horizontal="left" vertical="center" wrapText="1"/>
    </xf>
    <xf numFmtId="171" fontId="45" fillId="0" borderId="2" xfId="0" applyNumberFormat="1" applyFont="1" applyBorder="1" applyAlignment="1">
      <alignment horizontal="center" vertical="center"/>
    </xf>
    <xf numFmtId="171" fontId="45" fillId="0" borderId="42" xfId="0" applyNumberFormat="1" applyFont="1" applyBorder="1" applyAlignment="1">
      <alignment horizontal="center" vertical="center"/>
    </xf>
    <xf numFmtId="171" fontId="45" fillId="0" borderId="7" xfId="0" applyNumberFormat="1" applyFont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/>
    </xf>
    <xf numFmtId="0" fontId="47" fillId="25" borderId="42" xfId="0" applyFont="1" applyFill="1" applyBorder="1" applyAlignment="1">
      <alignment horizontal="center" vertical="center"/>
    </xf>
    <xf numFmtId="0" fontId="47" fillId="25" borderId="7" xfId="0" applyFont="1" applyFill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 wrapText="1"/>
    </xf>
    <xf numFmtId="0" fontId="47" fillId="25" borderId="42" xfId="0" applyFont="1" applyFill="1" applyBorder="1" applyAlignment="1">
      <alignment horizontal="center" vertical="center" wrapText="1"/>
    </xf>
    <xf numFmtId="0" fontId="47" fillId="25" borderId="7" xfId="0" applyFont="1" applyFill="1" applyBorder="1" applyAlignment="1">
      <alignment horizontal="center" vertical="center" wrapText="1"/>
    </xf>
    <xf numFmtId="0" fontId="47" fillId="25" borderId="2" xfId="7" applyFont="1" applyFill="1" applyBorder="1" applyAlignment="1">
      <alignment vertical="center" wrapText="1"/>
    </xf>
    <xf numFmtId="0" fontId="47" fillId="25" borderId="42" xfId="7" applyFont="1" applyFill="1" applyBorder="1" applyAlignment="1">
      <alignment vertical="center" wrapText="1"/>
    </xf>
    <xf numFmtId="0" fontId="47" fillId="25" borderId="7" xfId="7" applyFont="1" applyFill="1" applyBorder="1" applyAlignment="1">
      <alignment vertical="center" wrapText="1"/>
    </xf>
    <xf numFmtId="171" fontId="44" fillId="23" borderId="2" xfId="0" applyNumberFormat="1" applyFont="1" applyFill="1" applyBorder="1" applyAlignment="1">
      <alignment horizontal="center" vertical="center"/>
    </xf>
    <xf numFmtId="171" fontId="44" fillId="23" borderId="42" xfId="0" applyNumberFormat="1" applyFont="1" applyFill="1" applyBorder="1" applyAlignment="1">
      <alignment horizontal="center" vertical="center"/>
    </xf>
    <xf numFmtId="171" fontId="44" fillId="23" borderId="7" xfId="0" applyNumberFormat="1" applyFont="1" applyFill="1" applyBorder="1" applyAlignment="1">
      <alignment horizontal="center" vertical="center"/>
    </xf>
    <xf numFmtId="0" fontId="44" fillId="23" borderId="2" xfId="0" applyFont="1" applyFill="1" applyBorder="1" applyAlignment="1">
      <alignment horizontal="center" vertical="center" wrapText="1"/>
    </xf>
    <xf numFmtId="0" fontId="44" fillId="23" borderId="42" xfId="0" applyFont="1" applyFill="1" applyBorder="1" applyAlignment="1">
      <alignment horizontal="center" vertical="center" wrapText="1"/>
    </xf>
    <xf numFmtId="0" fontId="44" fillId="23" borderId="7" xfId="0" applyFont="1" applyFill="1" applyBorder="1" applyAlignment="1">
      <alignment horizontal="center" vertical="center" wrapText="1"/>
    </xf>
    <xf numFmtId="0" fontId="44" fillId="23" borderId="2" xfId="7" applyFont="1" applyFill="1" applyBorder="1" applyAlignment="1">
      <alignment horizontal="center" vertical="center" wrapText="1"/>
    </xf>
    <xf numFmtId="0" fontId="44" fillId="23" borderId="42" xfId="7" applyFont="1" applyFill="1" applyBorder="1" applyAlignment="1">
      <alignment horizontal="center" vertical="center" wrapText="1"/>
    </xf>
    <xf numFmtId="0" fontId="44" fillId="23" borderId="7" xfId="7" applyFont="1" applyFill="1" applyBorder="1" applyAlignment="1">
      <alignment vertical="center" wrapText="1"/>
    </xf>
    <xf numFmtId="0" fontId="47" fillId="25" borderId="2" xfId="7" applyFont="1" applyFill="1" applyBorder="1" applyAlignment="1">
      <alignment horizontal="center" vertical="center" wrapText="1"/>
    </xf>
    <xf numFmtId="0" fontId="47" fillId="25" borderId="7" xfId="7" applyFont="1" applyFill="1" applyBorder="1" applyAlignment="1">
      <alignment horizontal="center" vertical="center" wrapText="1"/>
    </xf>
    <xf numFmtId="16" fontId="44" fillId="0" borderId="2" xfId="0" applyNumberFormat="1" applyFont="1" applyBorder="1" applyAlignment="1">
      <alignment horizontal="center" vertical="center"/>
    </xf>
    <xf numFmtId="16" fontId="44" fillId="0" borderId="7" xfId="0" applyNumberFormat="1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/>
    </xf>
    <xf numFmtId="0" fontId="47" fillId="25" borderId="5" xfId="0" applyFont="1" applyFill="1" applyBorder="1" applyAlignment="1">
      <alignment horizontal="center" vertical="center" wrapText="1"/>
    </xf>
    <xf numFmtId="0" fontId="47" fillId="25" borderId="5" xfId="7" applyFont="1" applyFill="1" applyBorder="1" applyAlignment="1">
      <alignment horizontal="center" vertical="center" wrapText="1"/>
    </xf>
    <xf numFmtId="171" fontId="44" fillId="0" borderId="5" xfId="0" applyNumberFormat="1" applyFont="1" applyBorder="1" applyAlignment="1">
      <alignment horizontal="center" vertical="center"/>
    </xf>
    <xf numFmtId="171" fontId="44" fillId="0" borderId="8" xfId="0" applyNumberFormat="1" applyFont="1" applyBorder="1" applyAlignment="1">
      <alignment horizontal="center" vertical="center"/>
    </xf>
    <xf numFmtId="171" fontId="44" fillId="0" borderId="21" xfId="0" applyNumberFormat="1" applyFont="1" applyBorder="1" applyAlignment="1">
      <alignment horizontal="center" vertical="center"/>
    </xf>
    <xf numFmtId="171" fontId="44" fillId="0" borderId="2" xfId="0" applyNumberFormat="1" applyFont="1" applyBorder="1" applyAlignment="1">
      <alignment horizontal="center" vertical="center"/>
    </xf>
    <xf numFmtId="171" fontId="44" fillId="0" borderId="7" xfId="0" applyNumberFormat="1" applyFont="1" applyBorder="1" applyAlignment="1">
      <alignment horizontal="center" vertical="center"/>
    </xf>
    <xf numFmtId="165" fontId="18" fillId="10" borderId="1" xfId="3" applyFont="1" applyFill="1" applyBorder="1" applyAlignment="1">
      <alignment horizontal="center" vertical="center"/>
    </xf>
    <xf numFmtId="165" fontId="18" fillId="10" borderId="1" xfId="3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 wrapText="1"/>
    </xf>
    <xf numFmtId="0" fontId="11" fillId="11" borderId="1" xfId="2" applyFill="1" applyBorder="1" applyAlignment="1">
      <alignment horizontal="center" vertical="center" textRotation="90" wrapText="1"/>
    </xf>
    <xf numFmtId="15" fontId="18" fillId="10" borderId="1" xfId="2" applyNumberFormat="1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left" vertical="center" wrapText="1"/>
    </xf>
    <xf numFmtId="0" fontId="11" fillId="0" borderId="6" xfId="2" applyBorder="1" applyAlignment="1">
      <alignment horizontal="center" vertical="center" textRotation="90" wrapText="1"/>
    </xf>
    <xf numFmtId="0" fontId="11" fillId="0" borderId="0" xfId="2" applyAlignment="1">
      <alignment horizontal="center" vertical="center" textRotation="90" wrapText="1"/>
    </xf>
    <xf numFmtId="15" fontId="18" fillId="10" borderId="2" xfId="2" applyNumberFormat="1" applyFont="1" applyFill="1" applyBorder="1" applyAlignment="1">
      <alignment horizontal="center" vertical="center" wrapText="1"/>
    </xf>
    <xf numFmtId="15" fontId="18" fillId="10" borderId="7" xfId="2" applyNumberFormat="1" applyFont="1" applyFill="1" applyBorder="1" applyAlignment="1">
      <alignment horizontal="center" vertical="center" wrapText="1"/>
    </xf>
    <xf numFmtId="0" fontId="18" fillId="10" borderId="2" xfId="2" applyFont="1" applyFill="1" applyBorder="1" applyAlignment="1">
      <alignment horizontal="center" vertical="center" wrapText="1"/>
    </xf>
    <xf numFmtId="0" fontId="18" fillId="10" borderId="7" xfId="2" applyFont="1" applyFill="1" applyBorder="1" applyAlignment="1">
      <alignment horizontal="center" vertical="center" wrapText="1"/>
    </xf>
    <xf numFmtId="0" fontId="11" fillId="11" borderId="2" xfId="2" applyFill="1" applyBorder="1" applyAlignment="1">
      <alignment horizontal="center" vertical="center" textRotation="90" wrapText="1"/>
    </xf>
    <xf numFmtId="0" fontId="11" fillId="11" borderId="42" xfId="2" applyFill="1" applyBorder="1" applyAlignment="1">
      <alignment horizontal="center" vertical="center" textRotation="90" wrapText="1"/>
    </xf>
    <xf numFmtId="165" fontId="36" fillId="18" borderId="1" xfId="3" applyFont="1" applyFill="1" applyBorder="1" applyAlignment="1">
      <alignment horizontal="center" vertical="center" textRotation="90" wrapText="1"/>
    </xf>
    <xf numFmtId="0" fontId="20" fillId="11" borderId="1" xfId="2" applyFont="1" applyFill="1" applyBorder="1" applyAlignment="1">
      <alignment horizontal="center" vertical="center" textRotation="90" wrapText="1"/>
    </xf>
    <xf numFmtId="164" fontId="44" fillId="0" borderId="5" xfId="0" applyNumberFormat="1" applyFont="1" applyBorder="1" applyAlignment="1">
      <alignment horizontal="center" vertical="center"/>
    </xf>
    <xf numFmtId="164" fontId="44" fillId="0" borderId="8" xfId="0" applyNumberFormat="1" applyFont="1" applyBorder="1" applyAlignment="1">
      <alignment horizontal="center" vertical="center"/>
    </xf>
    <xf numFmtId="164" fontId="44" fillId="0" borderId="21" xfId="0" applyNumberFormat="1" applyFont="1" applyBorder="1" applyAlignment="1">
      <alignment horizontal="center" vertical="center"/>
    </xf>
    <xf numFmtId="0" fontId="47" fillId="25" borderId="5" xfId="0" applyFont="1" applyFill="1" applyBorder="1" applyAlignment="1">
      <alignment horizontal="center" vertical="center"/>
    </xf>
    <xf numFmtId="0" fontId="49" fillId="23" borderId="2" xfId="0" applyFont="1" applyFill="1" applyBorder="1" applyAlignment="1">
      <alignment horizontal="center" vertical="center"/>
    </xf>
    <xf numFmtId="0" fontId="49" fillId="23" borderId="7" xfId="0" applyFont="1" applyFill="1" applyBorder="1" applyAlignment="1">
      <alignment horizontal="center" vertical="center"/>
    </xf>
    <xf numFmtId="0" fontId="44" fillId="23" borderId="7" xfId="7" applyFont="1" applyFill="1" applyBorder="1" applyAlignment="1">
      <alignment horizontal="center" vertical="center" wrapText="1"/>
    </xf>
    <xf numFmtId="15" fontId="49" fillId="23" borderId="2" xfId="0" applyNumberFormat="1" applyFont="1" applyFill="1" applyBorder="1" applyAlignment="1">
      <alignment horizontal="center" vertical="center"/>
    </xf>
    <xf numFmtId="15" fontId="49" fillId="23" borderId="7" xfId="0" applyNumberFormat="1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/>
    </xf>
    <xf numFmtId="0" fontId="47" fillId="24" borderId="7" xfId="7" applyFont="1" applyFill="1" applyBorder="1" applyAlignment="1">
      <alignment horizontal="center" vertical="center" wrapText="1"/>
    </xf>
    <xf numFmtId="0" fontId="32" fillId="13" borderId="25" xfId="2" applyFont="1" applyFill="1" applyBorder="1" applyAlignment="1">
      <alignment horizontal="center" wrapText="1"/>
    </xf>
    <xf numFmtId="0" fontId="32" fillId="13" borderId="26" xfId="2" applyFont="1" applyFill="1" applyBorder="1" applyAlignment="1">
      <alignment horizontal="center" wrapText="1"/>
    </xf>
    <xf numFmtId="0" fontId="32" fillId="13" borderId="27" xfId="2" applyFont="1" applyFill="1" applyBorder="1" applyAlignment="1">
      <alignment horizontal="center" wrapText="1"/>
    </xf>
    <xf numFmtId="15" fontId="18" fillId="10" borderId="2" xfId="2" applyNumberFormat="1" applyFont="1" applyFill="1" applyBorder="1" applyAlignment="1">
      <alignment horizontal="center" vertical="center"/>
    </xf>
    <xf numFmtId="15" fontId="18" fillId="10" borderId="7" xfId="2" applyNumberFormat="1" applyFont="1" applyFill="1" applyBorder="1" applyAlignment="1">
      <alignment horizontal="center" vertical="center"/>
    </xf>
  </cellXfs>
  <cellStyles count="8">
    <cellStyle name="Comma" xfId="6" builtinId="3"/>
    <cellStyle name="Comma 2" xfId="3" xr:uid="{3B91527F-841E-49F1-B06F-38D9D15040C2}"/>
    <cellStyle name="Comma 4" xfId="4" xr:uid="{EFE82AD1-22B6-438D-9F5D-504F305E8A16}"/>
    <cellStyle name="Normal" xfId="0" builtinId="0"/>
    <cellStyle name="Normal 2" xfId="2" xr:uid="{1CB70F42-0349-4B59-8BA2-0C91556C0B8C}"/>
    <cellStyle name="Normal_Sheet1" xfId="7" xr:uid="{8C654F3B-364F-4CE5-9991-D6C170986631}"/>
    <cellStyle name="Percent" xfId="1" builtinId="5"/>
    <cellStyle name="Percent 2" xfId="5" xr:uid="{0B05728D-7759-4E0D-B24E-4CA4AC200D00}"/>
  </cellStyles>
  <dxfs count="0"/>
  <tableStyles count="0" defaultTableStyle="TableStyleMedium2" defaultPivotStyle="PivotStyleLight16"/>
  <colors>
    <mruColors>
      <color rgb="FF00FFFF"/>
      <color rgb="FF00CC99"/>
      <color rgb="FF33CCCC"/>
      <color rgb="FF6699FF"/>
      <color rgb="FF3366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13368</xdr:colOff>
      <xdr:row>0</xdr:row>
      <xdr:rowOff>2</xdr:rowOff>
    </xdr:from>
    <xdr:to>
      <xdr:col>0</xdr:col>
      <xdr:colOff>830510</xdr:colOff>
      <xdr:row>1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E7DC0-CAB3-0E50-82ED-826E213827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45" b="6626"/>
        <a:stretch/>
      </xdr:blipFill>
      <xdr:spPr>
        <a:xfrm>
          <a:off x="13368" y="2"/>
          <a:ext cx="817142" cy="467894"/>
        </a:xfrm>
        <a:prstGeom prst="rect">
          <a:avLst/>
        </a:prstGeom>
      </xdr:spPr>
    </xdr:pic>
    <xdr:clientData/>
  </xdr:twoCellAnchor>
  <xdr:twoCellAnchor editAs="oneCell">
    <xdr:from>
      <xdr:col>10</xdr:col>
      <xdr:colOff>714317</xdr:colOff>
      <xdr:row>0</xdr:row>
      <xdr:rowOff>0</xdr:rowOff>
    </xdr:from>
    <xdr:to>
      <xdr:col>12</xdr:col>
      <xdr:colOff>1478</xdr:colOff>
      <xdr:row>1</xdr:row>
      <xdr:rowOff>8467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57E8D2-8C34-E011-CE19-5B90B539E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6" t="17670" r="10430" b="23261"/>
        <a:stretch/>
      </xdr:blipFill>
      <xdr:spPr>
        <a:xfrm>
          <a:off x="10975917" y="0"/>
          <a:ext cx="1137657" cy="482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262</xdr:row>
      <xdr:rowOff>0</xdr:rowOff>
    </xdr:from>
    <xdr:ext cx="56939" cy="255034"/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B727682A-D8FD-4341-8EFF-DD7872A7770B}"/>
            </a:ext>
          </a:extLst>
        </xdr:cNvPr>
        <xdr:cNvSpPr txBox="1">
          <a:spLocks noChangeArrowheads="1"/>
        </xdr:cNvSpPr>
      </xdr:nvSpPr>
      <xdr:spPr>
        <a:xfrm>
          <a:off x="2654300" y="65951100"/>
          <a:ext cx="56939" cy="255034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 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249</xdr:row>
      <xdr:rowOff>0</xdr:rowOff>
    </xdr:from>
    <xdr:ext cx="56939" cy="255034"/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35367E1D-03AB-4DB7-8BA5-5A41204E790E}"/>
            </a:ext>
          </a:extLst>
        </xdr:cNvPr>
        <xdr:cNvSpPr txBox="1">
          <a:spLocks noChangeArrowheads="1"/>
        </xdr:cNvSpPr>
      </xdr:nvSpPr>
      <xdr:spPr>
        <a:xfrm>
          <a:off x="2654300" y="63506350"/>
          <a:ext cx="56939" cy="255034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 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EED\SECI%20Ramagiri\Format\Daily%20Progress%20Report_7-02-25.xlsx" TargetMode="External"/><Relationship Id="rId1" Type="http://schemas.openxmlformats.org/officeDocument/2006/relationships/externalLinkPath" Target="/personal/smd1_amararaja_com/Documents/300MW%20SECI%20Ramgiri%20Project/Report/DPR/09.04.2025/Daily%20Progress%20Report_7-02-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mararaja-my.sharepoint.com/personal/smd1_amararaja_com/Documents/300MW%20SECI%20Ramgiri%20Project/Engineering/MDL/Ordering%20&amp;%20Vendor%20Doc%20submission.xlsx" TargetMode="External"/><Relationship Id="rId1" Type="http://schemas.openxmlformats.org/officeDocument/2006/relationships/externalLinkPath" Target="/personal/smd1_amararaja_com/Documents/300MW%20SECI%20Ramgiri%20Project/Client%20meeting/Ordering%20&amp;%20Vendor%20Doc%20submis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Overview"/>
      <sheetName val="Procurement"/>
      <sheetName val="Manpower"/>
      <sheetName val="supply vendor Tracker Sheet"/>
      <sheetName val="service vendor tracker sheet"/>
      <sheetName val="Construction Status"/>
      <sheetName val="Sheet1"/>
      <sheetName val="Sheet3"/>
      <sheetName val="Piling Works"/>
      <sheetName val="ICR Civil"/>
      <sheetName val="MCR"/>
      <sheetName val="DC Trench"/>
      <sheetName val="Grid Earthing"/>
      <sheetName val="MMS Works"/>
      <sheetName val="Machinery"/>
      <sheetName val="Module Installation"/>
      <sheetName val="DC Cable"/>
      <sheetName val="DC Cable Ter."/>
      <sheetName val="DWC Pipe &amp; String Cable"/>
      <sheetName val="String Termination"/>
      <sheetName val="Earth Pit Installation"/>
      <sheetName val="ICR Works"/>
      <sheetName val="Road Works"/>
      <sheetName val="Allied Works"/>
      <sheetName val="MCS"/>
      <sheetName val="Hinderance Register"/>
    </sheetNames>
    <sheetDataSet>
      <sheetData sheetId="0">
        <row r="1">
          <cell r="P1">
            <v>45702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</sheetNames>
    <sheetDataSet>
      <sheetData sheetId="0">
        <row r="41">
          <cell r="E41">
            <v>45834</v>
          </cell>
        </row>
        <row r="42">
          <cell r="E42">
            <v>45848</v>
          </cell>
        </row>
        <row r="44">
          <cell r="E44">
            <v>45826</v>
          </cell>
        </row>
        <row r="45">
          <cell r="E45">
            <v>45826</v>
          </cell>
        </row>
        <row r="46">
          <cell r="E46">
            <v>45826</v>
          </cell>
        </row>
        <row r="47">
          <cell r="E47">
            <v>45833</v>
          </cell>
        </row>
        <row r="48">
          <cell r="E48">
            <v>45847</v>
          </cell>
        </row>
        <row r="49">
          <cell r="E49">
            <v>45870</v>
          </cell>
        </row>
        <row r="50">
          <cell r="E50">
            <v>45870</v>
          </cell>
        </row>
        <row r="51">
          <cell r="E51">
            <v>45845</v>
          </cell>
        </row>
        <row r="52">
          <cell r="E52">
            <v>45845</v>
          </cell>
        </row>
        <row r="53">
          <cell r="E53">
            <v>45865</v>
          </cell>
        </row>
        <row r="54">
          <cell r="E54">
            <v>45843</v>
          </cell>
        </row>
        <row r="55">
          <cell r="E55">
            <v>45840</v>
          </cell>
        </row>
        <row r="56">
          <cell r="E56">
            <v>45822</v>
          </cell>
        </row>
        <row r="57">
          <cell r="E57">
            <v>45840</v>
          </cell>
        </row>
        <row r="58">
          <cell r="E58">
            <v>45847</v>
          </cell>
        </row>
        <row r="59">
          <cell r="E59">
            <v>45894</v>
          </cell>
        </row>
        <row r="60">
          <cell r="E60">
            <v>45813</v>
          </cell>
        </row>
        <row r="61">
          <cell r="E61">
            <v>45858</v>
          </cell>
        </row>
        <row r="62">
          <cell r="E62">
            <v>45834</v>
          </cell>
        </row>
        <row r="63">
          <cell r="E63">
            <v>45840</v>
          </cell>
        </row>
        <row r="64">
          <cell r="E64">
            <v>45962</v>
          </cell>
        </row>
        <row r="65">
          <cell r="E65">
            <v>45826</v>
          </cell>
        </row>
        <row r="66">
          <cell r="E66">
            <v>45853</v>
          </cell>
        </row>
        <row r="67">
          <cell r="E67" t="str">
            <v>Done</v>
          </cell>
        </row>
        <row r="68">
          <cell r="E68">
            <v>45814</v>
          </cell>
        </row>
        <row r="69">
          <cell r="E69">
            <v>45834</v>
          </cell>
        </row>
        <row r="70">
          <cell r="E70">
            <v>45814</v>
          </cell>
        </row>
        <row r="71">
          <cell r="E71">
            <v>45814</v>
          </cell>
        </row>
        <row r="72">
          <cell r="E72">
            <v>45826</v>
          </cell>
        </row>
        <row r="73">
          <cell r="E73">
            <v>45834</v>
          </cell>
        </row>
        <row r="74">
          <cell r="E74">
            <v>45848</v>
          </cell>
        </row>
        <row r="75">
          <cell r="E75">
            <v>45824</v>
          </cell>
        </row>
        <row r="76">
          <cell r="E76">
            <v>45826</v>
          </cell>
        </row>
        <row r="77">
          <cell r="E77">
            <v>45826</v>
          </cell>
        </row>
        <row r="78">
          <cell r="E78">
            <v>45826</v>
          </cell>
        </row>
        <row r="79">
          <cell r="E79">
            <v>45833</v>
          </cell>
        </row>
        <row r="80">
          <cell r="E80">
            <v>45870</v>
          </cell>
        </row>
        <row r="81">
          <cell r="E81">
            <v>45845</v>
          </cell>
        </row>
        <row r="82">
          <cell r="E82">
            <v>45845</v>
          </cell>
        </row>
        <row r="83">
          <cell r="E83">
            <v>45865</v>
          </cell>
        </row>
        <row r="84">
          <cell r="E84">
            <v>45843</v>
          </cell>
        </row>
        <row r="85">
          <cell r="E85">
            <v>45822</v>
          </cell>
        </row>
        <row r="86">
          <cell r="E86">
            <v>45840</v>
          </cell>
        </row>
        <row r="87">
          <cell r="E87">
            <v>45870</v>
          </cell>
        </row>
        <row r="88">
          <cell r="E88">
            <v>45813</v>
          </cell>
        </row>
        <row r="89">
          <cell r="E89">
            <v>45858</v>
          </cell>
        </row>
        <row r="90">
          <cell r="E90">
            <v>45834</v>
          </cell>
        </row>
        <row r="91">
          <cell r="E91">
            <v>45840</v>
          </cell>
        </row>
        <row r="92">
          <cell r="E92">
            <v>45826</v>
          </cell>
        </row>
        <row r="93">
          <cell r="E93" t="str">
            <v>Done</v>
          </cell>
        </row>
        <row r="94">
          <cell r="E94">
            <v>45853</v>
          </cell>
        </row>
        <row r="95">
          <cell r="E95">
            <v>45826</v>
          </cell>
        </row>
        <row r="96">
          <cell r="E96" t="str">
            <v>Done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EF31-B296-4109-9DB9-F36B5C9C5ABB}">
  <dimension ref="A1:O75"/>
  <sheetViews>
    <sheetView tabSelected="1" zoomScale="80" zoomScaleNormal="80" workbookViewId="0">
      <pane xSplit="6" ySplit="7" topLeftCell="H15" activePane="bottomRight" state="frozen"/>
      <selection pane="topRight" activeCell="G1" sqref="G1"/>
      <selection pane="bottomLeft" activeCell="A8" sqref="A8"/>
      <selection pane="bottomRight" activeCell="Q15" sqref="Q15"/>
    </sheetView>
  </sheetViews>
  <sheetFormatPr defaultRowHeight="14.5" x14ac:dyDescent="0.35"/>
  <cols>
    <col min="1" max="1" width="46.1796875" bestFit="1" customWidth="1"/>
    <col min="2" max="2" width="9.7265625" customWidth="1"/>
    <col min="3" max="3" width="6.81640625" style="1" customWidth="1"/>
    <col min="4" max="4" width="10.26953125" bestFit="1" customWidth="1"/>
    <col min="6" max="6" width="10.1796875" customWidth="1"/>
    <col min="7" max="7" width="14.90625" bestFit="1" customWidth="1"/>
    <col min="8" max="8" width="14" customWidth="1"/>
    <col min="9" max="9" width="12.1796875" bestFit="1" customWidth="1"/>
    <col min="10" max="10" width="13.81640625" customWidth="1"/>
    <col min="11" max="11" width="13" customWidth="1"/>
    <col min="12" max="12" width="13.54296875" customWidth="1"/>
    <col min="13" max="13" width="8.7265625" customWidth="1"/>
    <col min="14" max="14" width="5.90625" hidden="1" customWidth="1"/>
    <col min="15" max="15" width="5" hidden="1" customWidth="1"/>
  </cols>
  <sheetData>
    <row r="1" spans="1:15" s="10" customFormat="1" ht="37" customHeight="1" x14ac:dyDescent="0.35">
      <c r="A1" s="346" t="s">
        <v>52</v>
      </c>
      <c r="B1" s="347"/>
      <c r="C1" s="347"/>
      <c r="D1" s="347"/>
      <c r="E1" s="347"/>
      <c r="F1" s="347"/>
      <c r="G1" s="348"/>
      <c r="H1" s="348"/>
      <c r="I1" s="348"/>
      <c r="J1" s="348"/>
      <c r="K1" s="348"/>
      <c r="L1" s="349"/>
    </row>
    <row r="2" spans="1:15" s="13" customFormat="1" ht="12" x14ac:dyDescent="0.35">
      <c r="A2" s="117" t="s">
        <v>48</v>
      </c>
      <c r="B2" s="338" t="s">
        <v>49</v>
      </c>
      <c r="C2" s="339"/>
      <c r="D2" s="339"/>
      <c r="E2" s="339"/>
      <c r="F2" s="339"/>
      <c r="G2" s="114"/>
      <c r="H2" s="114"/>
      <c r="I2" s="114"/>
      <c r="J2" s="114"/>
      <c r="K2" s="114"/>
      <c r="L2" s="115"/>
      <c r="N2" s="143" t="s">
        <v>394</v>
      </c>
      <c r="O2" s="143" t="s">
        <v>395</v>
      </c>
    </row>
    <row r="3" spans="1:15" s="13" customFormat="1" ht="12" x14ac:dyDescent="0.35">
      <c r="A3" s="118" t="s">
        <v>50</v>
      </c>
      <c r="B3" s="340">
        <v>390</v>
      </c>
      <c r="C3" s="341"/>
      <c r="D3" s="341"/>
      <c r="E3" s="341"/>
      <c r="F3" s="342"/>
      <c r="G3" s="114"/>
      <c r="H3" s="114"/>
      <c r="I3" s="114"/>
      <c r="J3" s="114"/>
      <c r="K3" s="114"/>
      <c r="L3" s="115"/>
      <c r="N3" s="142">
        <v>45845</v>
      </c>
      <c r="O3" s="142">
        <v>45839</v>
      </c>
    </row>
    <row r="4" spans="1:15" s="13" customFormat="1" ht="12" x14ac:dyDescent="0.35">
      <c r="A4" s="116" t="s">
        <v>51</v>
      </c>
      <c r="B4" s="343">
        <v>45694</v>
      </c>
      <c r="C4" s="344"/>
      <c r="D4" s="344"/>
      <c r="E4" s="344"/>
      <c r="F4" s="345"/>
      <c r="G4" s="114"/>
      <c r="H4" s="114"/>
      <c r="I4" s="114"/>
      <c r="J4" s="114"/>
      <c r="K4" s="114"/>
      <c r="L4" s="115"/>
      <c r="N4" s="142">
        <f>N3+5</f>
        <v>45850</v>
      </c>
      <c r="O4" s="142">
        <v>45869</v>
      </c>
    </row>
    <row r="5" spans="1:15" s="13" customFormat="1" ht="12" x14ac:dyDescent="0.35">
      <c r="A5" s="116" t="s">
        <v>304</v>
      </c>
      <c r="B5" s="14">
        <v>46058</v>
      </c>
      <c r="C5" s="15"/>
      <c r="D5" s="15"/>
      <c r="E5" s="15"/>
      <c r="F5" s="119"/>
      <c r="G5" s="114"/>
      <c r="H5" s="114"/>
      <c r="I5" s="114"/>
      <c r="J5" s="114"/>
      <c r="K5" s="162" t="s">
        <v>403</v>
      </c>
      <c r="L5" s="163" t="s">
        <v>404</v>
      </c>
    </row>
    <row r="6" spans="1:15" s="13" customFormat="1" ht="12" x14ac:dyDescent="0.35">
      <c r="A6" s="116" t="s">
        <v>10</v>
      </c>
      <c r="B6" s="14">
        <v>45815</v>
      </c>
      <c r="C6" s="12"/>
      <c r="D6" s="12"/>
      <c r="E6" s="12"/>
      <c r="F6" s="120"/>
      <c r="G6" s="114"/>
      <c r="H6" s="114"/>
      <c r="I6" s="114"/>
      <c r="J6" s="114"/>
      <c r="K6" s="164">
        <f>N3</f>
        <v>45845</v>
      </c>
      <c r="L6" s="163">
        <v>45839</v>
      </c>
    </row>
    <row r="7" spans="1:15" s="13" customFormat="1" ht="12" x14ac:dyDescent="0.35">
      <c r="A7" s="117"/>
      <c r="B7" s="303"/>
      <c r="C7" s="304"/>
      <c r="D7" s="304"/>
      <c r="E7" s="304"/>
      <c r="F7" s="308"/>
      <c r="G7" s="114"/>
      <c r="H7" s="114"/>
      <c r="I7" s="114"/>
      <c r="J7" s="114"/>
      <c r="K7" s="309">
        <f>N4</f>
        <v>45850</v>
      </c>
      <c r="L7" s="310">
        <f>L6+30</f>
        <v>45869</v>
      </c>
    </row>
    <row r="8" spans="1:15" s="2" customFormat="1" ht="29" x14ac:dyDescent="0.35">
      <c r="A8" s="311" t="s">
        <v>0</v>
      </c>
      <c r="B8" s="311" t="s">
        <v>9</v>
      </c>
      <c r="C8" s="311" t="s">
        <v>3</v>
      </c>
      <c r="D8" s="311" t="s">
        <v>7</v>
      </c>
      <c r="E8" s="311" t="s">
        <v>8</v>
      </c>
      <c r="F8" s="312" t="s">
        <v>59</v>
      </c>
      <c r="G8" s="312" t="s">
        <v>58</v>
      </c>
      <c r="H8" s="312" t="s">
        <v>57</v>
      </c>
      <c r="I8" s="312" t="s">
        <v>61</v>
      </c>
      <c r="J8" s="312" t="s">
        <v>62</v>
      </c>
      <c r="K8" s="312" t="s">
        <v>408</v>
      </c>
      <c r="L8" s="312" t="s">
        <v>409</v>
      </c>
      <c r="M8" s="4"/>
      <c r="N8" s="4"/>
    </row>
    <row r="9" spans="1:15" s="3" customFormat="1" ht="12.65" customHeight="1" x14ac:dyDescent="0.35">
      <c r="A9" s="5"/>
      <c r="B9" s="5"/>
      <c r="C9" s="5"/>
      <c r="D9" s="6"/>
      <c r="E9" s="6"/>
      <c r="F9" s="6"/>
      <c r="G9" s="6"/>
      <c r="H9" s="6"/>
      <c r="I9" s="7"/>
      <c r="J9" s="7"/>
      <c r="K9" s="11"/>
      <c r="L9" s="11"/>
    </row>
    <row r="10" spans="1:15" s="3" customFormat="1" x14ac:dyDescent="0.35">
      <c r="A10" s="313" t="s">
        <v>18</v>
      </c>
      <c r="B10" s="5"/>
      <c r="C10" s="5"/>
      <c r="D10" s="6"/>
      <c r="E10" s="6"/>
      <c r="F10" s="16"/>
      <c r="G10" s="6"/>
      <c r="H10" s="6"/>
      <c r="I10" s="7"/>
      <c r="J10" s="7"/>
      <c r="K10" s="7"/>
      <c r="L10" s="7"/>
    </row>
    <row r="11" spans="1:15" s="3" customFormat="1" x14ac:dyDescent="0.35">
      <c r="A11" s="167" t="s">
        <v>406</v>
      </c>
      <c r="B11" s="8">
        <v>1033</v>
      </c>
      <c r="C11" s="8" t="s">
        <v>5</v>
      </c>
      <c r="D11" s="6">
        <f>'Construction Status'!S4</f>
        <v>863</v>
      </c>
      <c r="E11" s="6">
        <f>B11-D11</f>
        <v>170</v>
      </c>
      <c r="F11" s="166">
        <v>0.01</v>
      </c>
      <c r="G11" s="113">
        <f>F11*H11</f>
        <v>8.3543078412391097E-3</v>
      </c>
      <c r="H11" s="18">
        <f>D11/B11</f>
        <v>0.83543078412391092</v>
      </c>
      <c r="I11" s="7">
        <f>SUMIF('Construction Status'!$U$2:$DF$2,'Construction DASHBOARD'!$B$6,'Construction Status'!U4:DF4)</f>
        <v>15</v>
      </c>
      <c r="J11" s="7">
        <v>5</v>
      </c>
      <c r="K11" s="7" cm="1">
        <f t="array" ref="K11">SUMPRODUCT(('Construction Status'!$U$4:$DF$120)*('Construction Status'!$D$4:$D$120='Construction DASHBOARD'!A11)*('Construction Status'!$U$2:$DF$2&gt;='Construction DASHBOARD'!$N$3)*('Construction Status'!$U$2:$DF$2&lt;='Construction DASHBOARD'!$N$4))</f>
        <v>0</v>
      </c>
      <c r="L11" s="7" cm="1">
        <f t="array" ref="L11">SUMPRODUCT(('Construction Status'!$U$4:$DF$120)*('Construction Status'!$D$4:$D$120='Construction DASHBOARD'!A11)*('Construction Status'!$U$2:$DF$2&gt;='Construction DASHBOARD'!$O$3)*('Construction Status'!$U$2:$DF$2&lt;='Construction DASHBOARD'!$O$4))</f>
        <v>0</v>
      </c>
      <c r="N11" s="160">
        <v>45754</v>
      </c>
      <c r="O11" s="3">
        <v>1</v>
      </c>
    </row>
    <row r="12" spans="1:15" s="3" customFormat="1" x14ac:dyDescent="0.35">
      <c r="A12" s="167" t="s">
        <v>407</v>
      </c>
      <c r="B12" s="8">
        <v>1033</v>
      </c>
      <c r="C12" s="8" t="s">
        <v>5</v>
      </c>
      <c r="D12" s="6">
        <f>'Construction Status'!S5</f>
        <v>863</v>
      </c>
      <c r="E12" s="6">
        <f>B12-D12</f>
        <v>170</v>
      </c>
      <c r="F12" s="166">
        <v>0.01</v>
      </c>
      <c r="G12" s="113">
        <f>F12*H12</f>
        <v>8.3543078412391097E-3</v>
      </c>
      <c r="H12" s="18">
        <f>D12/B12</f>
        <v>0.83543078412391092</v>
      </c>
      <c r="I12" s="7">
        <f>SUMIF('Construction Status'!$U$2:$DF$2,'Construction DASHBOARD'!$B$6,'Construction Status'!U5:DF5)</f>
        <v>15</v>
      </c>
      <c r="J12" s="7">
        <v>5</v>
      </c>
      <c r="K12" s="7" cm="1">
        <f t="array" ref="K12">SUMPRODUCT(('Construction Status'!$U$4:$DF$120)*('Construction Status'!$D$4:$D$120='Construction DASHBOARD'!A12)*('Construction Status'!$U$2:$DF$2&gt;='Construction DASHBOARD'!$N$3)*('Construction Status'!$U$2:$DF$2&lt;='Construction DASHBOARD'!$N$4))</f>
        <v>0</v>
      </c>
      <c r="L12" s="7" cm="1">
        <f t="array" ref="L12">SUMPRODUCT(('Construction Status'!$U$4:$DF$120)*('Construction Status'!$D$4:$D$120='Construction DASHBOARD'!A12)*('Construction Status'!$U$2:$DF$2&gt;='Construction DASHBOARD'!$O$3)*('Construction Status'!$U$2:$DF$2&lt;='Construction DASHBOARD'!$O$4))</f>
        <v>0</v>
      </c>
      <c r="N12" s="160"/>
    </row>
    <row r="13" spans="1:15" s="3" customFormat="1" x14ac:dyDescent="0.35">
      <c r="A13" s="313" t="s">
        <v>19</v>
      </c>
      <c r="B13" s="8"/>
      <c r="C13" s="8"/>
      <c r="D13" s="6"/>
      <c r="E13" s="6"/>
      <c r="F13" s="165"/>
      <c r="G13" s="18"/>
      <c r="H13" s="18"/>
      <c r="I13" s="7"/>
      <c r="J13" s="7"/>
      <c r="K13" s="7"/>
      <c r="L13" s="7"/>
      <c r="N13" s="160">
        <v>45755</v>
      </c>
      <c r="O13" s="3">
        <v>1</v>
      </c>
    </row>
    <row r="14" spans="1:15" s="3" customFormat="1" x14ac:dyDescent="0.35">
      <c r="A14" s="314" t="s">
        <v>310</v>
      </c>
      <c r="B14" s="8">
        <f>'Construction Status'!K6</f>
        <v>1</v>
      </c>
      <c r="C14" s="8" t="s">
        <v>11</v>
      </c>
      <c r="D14" s="6">
        <f>'Construction Status'!Q6</f>
        <v>1</v>
      </c>
      <c r="E14" s="6">
        <f t="shared" ref="E14:E19" si="0">B14-D14</f>
        <v>0</v>
      </c>
      <c r="F14" s="166">
        <v>6.0000000000000001E-3</v>
      </c>
      <c r="G14" s="113">
        <f>F14*H14</f>
        <v>6.0000000000000001E-3</v>
      </c>
      <c r="H14" s="18">
        <f>D14/B14</f>
        <v>1</v>
      </c>
      <c r="I14" s="7">
        <f>SUMIF('Construction Status'!$U$2:$DF$2,'Construction DASHBOARD'!$B$6,'Construction Status'!U6:DF6)</f>
        <v>0</v>
      </c>
      <c r="J14" s="7"/>
      <c r="K14" s="7" cm="1">
        <f t="array" ref="K14">SUMPRODUCT(('Construction Status'!$U$4:$DF$120)*('Construction Status'!$D$4:$D$120='Construction DASHBOARD'!A14)*('Construction Status'!$U$2:$DF$2&gt;='Construction DASHBOARD'!$N$3)*('Construction Status'!$U$2:$DF$2&lt;='Construction DASHBOARD'!$N$4))</f>
        <v>0</v>
      </c>
      <c r="L14" s="7" cm="1">
        <f t="array" ref="L14">SUMPRODUCT(('Construction Status'!$U$4:$DF$120)*('Construction Status'!$D$4:$D$120='Construction DASHBOARD'!A14)*('Construction Status'!$U$2:$DF$2&gt;='Construction DASHBOARD'!$O$3)*('Construction Status'!$U$2:$DF$2&lt;='Construction DASHBOARD'!$O$4))</f>
        <v>0</v>
      </c>
      <c r="N14" s="160">
        <v>45756</v>
      </c>
      <c r="O14" s="3">
        <v>1</v>
      </c>
    </row>
    <row r="15" spans="1:15" s="3" customFormat="1" x14ac:dyDescent="0.35">
      <c r="A15" s="314" t="s">
        <v>108</v>
      </c>
      <c r="B15" s="8">
        <f>'Construction Status'!K7</f>
        <v>1</v>
      </c>
      <c r="C15" s="8" t="s">
        <v>11</v>
      </c>
      <c r="D15" s="6">
        <f>'Construction Status'!Q7</f>
        <v>1</v>
      </c>
      <c r="E15" s="6">
        <f t="shared" si="0"/>
        <v>0</v>
      </c>
      <c r="F15" s="166">
        <v>7.4999999999999997E-3</v>
      </c>
      <c r="G15" s="113">
        <f t="shared" ref="G15:G19" si="1">F15*H15</f>
        <v>7.4999999999999997E-3</v>
      </c>
      <c r="H15" s="18">
        <f>D15/B15</f>
        <v>1</v>
      </c>
      <c r="I15" s="7">
        <f>SUMIF('Construction Status'!$U$2:$DF$2,'Construction DASHBOARD'!$B$6,'Construction Status'!U7:DF7)</f>
        <v>0</v>
      </c>
      <c r="J15" s="7"/>
      <c r="K15" s="7" cm="1">
        <f t="array" ref="K15">SUMPRODUCT(('Construction Status'!$U$4:$DF$120)*('Construction Status'!$D$4:$D$120='Construction DASHBOARD'!A15)*('Construction Status'!$U$2:$DF$2&gt;='Construction DASHBOARD'!$N$3)*('Construction Status'!$U$2:$DF$2&lt;='Construction DASHBOARD'!$N$4))</f>
        <v>0</v>
      </c>
      <c r="L15" s="7" cm="1">
        <f t="array" ref="L15">SUMPRODUCT(('Construction Status'!$U$4:$DF$120)*('Construction Status'!$D$4:$D$120='Construction DASHBOARD'!A15)*('Construction Status'!$U$2:$DF$2&gt;='Construction DASHBOARD'!$O$3)*('Construction Status'!$U$2:$DF$2&lt;='Construction DASHBOARD'!$O$4))</f>
        <v>0</v>
      </c>
      <c r="N15" s="160">
        <v>45757</v>
      </c>
      <c r="O15" s="3">
        <v>1</v>
      </c>
    </row>
    <row r="16" spans="1:15" s="3" customFormat="1" x14ac:dyDescent="0.35">
      <c r="A16" s="314" t="s">
        <v>311</v>
      </c>
      <c r="B16" s="8">
        <v>79</v>
      </c>
      <c r="C16" s="8" t="s">
        <v>11</v>
      </c>
      <c r="D16" s="6">
        <f>'Construction Status'!Q8</f>
        <v>79</v>
      </c>
      <c r="E16" s="6">
        <f t="shared" si="0"/>
        <v>0</v>
      </c>
      <c r="F16" s="166">
        <v>5.0000000000000001E-3</v>
      </c>
      <c r="G16" s="113">
        <f t="shared" si="1"/>
        <v>5.0000000000000001E-3</v>
      </c>
      <c r="H16" s="18">
        <f>D16/B16</f>
        <v>1</v>
      </c>
      <c r="I16" s="7">
        <f>SUMIF('Construction Status'!$U$2:$DF$2,'Construction DASHBOARD'!$B$6,'Construction Status'!U8:DF8)</f>
        <v>0</v>
      </c>
      <c r="J16" s="7"/>
      <c r="K16" s="7" cm="1">
        <f t="array" ref="K16">SUMPRODUCT(('Construction Status'!$U$4:$DF$120)*('Construction Status'!$D$4:$D$120='Construction DASHBOARD'!A16)*('Construction Status'!$U$2:$DF$2&gt;='Construction DASHBOARD'!$N$3)*('Construction Status'!$U$2:$DF$2&lt;='Construction DASHBOARD'!$N$4))</f>
        <v>0</v>
      </c>
      <c r="L16" s="7" cm="1">
        <f t="array" ref="L16">SUMPRODUCT(('Construction Status'!$U$4:$DF$120)*('Construction Status'!$D$4:$D$120='Construction DASHBOARD'!A16)*('Construction Status'!$U$2:$DF$2&gt;='Construction DASHBOARD'!$O$3)*('Construction Status'!$U$2:$DF$2&lt;='Construction DASHBOARD'!$O$4))</f>
        <v>0</v>
      </c>
      <c r="N16" s="160">
        <v>45758</v>
      </c>
      <c r="O16" s="3">
        <v>2</v>
      </c>
    </row>
    <row r="17" spans="1:15" s="3" customFormat="1" x14ac:dyDescent="0.35">
      <c r="A17" s="314" t="s">
        <v>312</v>
      </c>
      <c r="B17" s="8">
        <f>'Construction Status'!K9</f>
        <v>36</v>
      </c>
      <c r="C17" s="8" t="s">
        <v>11</v>
      </c>
      <c r="D17" s="6">
        <f>'Construction Status'!Q9</f>
        <v>36</v>
      </c>
      <c r="E17" s="6">
        <f t="shared" si="0"/>
        <v>0</v>
      </c>
      <c r="F17" s="166">
        <v>2.5000000000000001E-3</v>
      </c>
      <c r="G17" s="113">
        <f t="shared" si="1"/>
        <v>2.5000000000000001E-3</v>
      </c>
      <c r="H17" s="18">
        <f t="shared" ref="H17:H19" si="2">D17/B17</f>
        <v>1</v>
      </c>
      <c r="I17" s="7">
        <f>SUMIF('Construction Status'!$U$2:$DF$2,'Construction DASHBOARD'!$B$6,'Construction Status'!U9:DF9)</f>
        <v>0</v>
      </c>
      <c r="J17" s="7"/>
      <c r="K17" s="7" cm="1">
        <f t="array" ref="K17">SUMPRODUCT(('Construction Status'!$U$4:$DF$120)*('Construction Status'!$D$4:$D$120='Construction DASHBOARD'!A17)*('Construction Status'!$U$2:$DF$2&gt;='Construction DASHBOARD'!$N$3)*('Construction Status'!$U$2:$DF$2&lt;='Construction DASHBOARD'!$N$4))</f>
        <v>0</v>
      </c>
      <c r="L17" s="7" cm="1">
        <f t="array" ref="L17">SUMPRODUCT(('Construction Status'!$U$4:$DF$120)*('Construction Status'!$D$4:$D$120='Construction DASHBOARD'!A17)*('Construction Status'!$U$2:$DF$2&gt;='Construction DASHBOARD'!$O$3)*('Construction Status'!$U$2:$DF$2&lt;='Construction DASHBOARD'!$O$4))</f>
        <v>0</v>
      </c>
      <c r="N17" s="160">
        <v>45759</v>
      </c>
      <c r="O17" s="3">
        <v>2</v>
      </c>
    </row>
    <row r="18" spans="1:15" s="3" customFormat="1" x14ac:dyDescent="0.35">
      <c r="A18" s="314" t="s">
        <v>313</v>
      </c>
      <c r="B18" s="8">
        <f>'Construction Status'!K10</f>
        <v>240</v>
      </c>
      <c r="C18" s="8" t="s">
        <v>11</v>
      </c>
      <c r="D18" s="6">
        <f>'Construction Status'!Q10</f>
        <v>240</v>
      </c>
      <c r="E18" s="6">
        <f t="shared" si="0"/>
        <v>0</v>
      </c>
      <c r="F18" s="166">
        <v>2E-3</v>
      </c>
      <c r="G18" s="113">
        <f t="shared" si="1"/>
        <v>2E-3</v>
      </c>
      <c r="H18" s="18">
        <f t="shared" si="2"/>
        <v>1</v>
      </c>
      <c r="I18" s="7">
        <f>SUMIF('Construction Status'!$U$2:$DF$2,'Construction DASHBOARD'!$B$6,'Construction Status'!U10:DF10)</f>
        <v>20</v>
      </c>
      <c r="J18" s="7"/>
      <c r="K18" s="7" cm="1">
        <f t="array" ref="K18">SUMPRODUCT(('Construction Status'!$U$4:$DF$120)*('Construction Status'!$D$4:$D$120='Construction DASHBOARD'!A18)*('Construction Status'!$U$2:$DF$2&gt;='Construction DASHBOARD'!$N$3)*('Construction Status'!$U$2:$DF$2&lt;='Construction DASHBOARD'!$N$4))</f>
        <v>0</v>
      </c>
      <c r="L18" s="7" cm="1">
        <f t="array" ref="L18">SUMPRODUCT(('Construction Status'!$U$4:$DF$120)*('Construction Status'!$D$4:$D$120='Construction DASHBOARD'!A18)*('Construction Status'!$U$2:$DF$2&gt;='Construction DASHBOARD'!$O$3)*('Construction Status'!$U$2:$DF$2&lt;='Construction DASHBOARD'!$O$4))</f>
        <v>0</v>
      </c>
      <c r="N18" s="160">
        <v>45760</v>
      </c>
      <c r="O18" s="3">
        <v>1</v>
      </c>
    </row>
    <row r="19" spans="1:15" s="3" customFormat="1" ht="16" x14ac:dyDescent="0.35">
      <c r="A19" s="68" t="s">
        <v>844</v>
      </c>
      <c r="B19" s="8">
        <f>'Construction Status'!K11</f>
        <v>240</v>
      </c>
      <c r="C19" s="8" t="s">
        <v>11</v>
      </c>
      <c r="D19" s="6">
        <f>'Construction Status'!Q11</f>
        <v>52</v>
      </c>
      <c r="E19" s="6">
        <f t="shared" si="0"/>
        <v>188</v>
      </c>
      <c r="F19" s="166">
        <v>2E-3</v>
      </c>
      <c r="G19" s="113">
        <f t="shared" si="1"/>
        <v>4.3333333333333337E-4</v>
      </c>
      <c r="H19" s="18">
        <f t="shared" si="2"/>
        <v>0.21666666666666667</v>
      </c>
      <c r="I19" s="7">
        <f>SUMIF('Construction Status'!$U$2:$DF$2,'Construction DASHBOARD'!$B$6,'Construction Status'!U11:DF11)</f>
        <v>0</v>
      </c>
      <c r="J19" s="7">
        <v>4</v>
      </c>
      <c r="K19" s="7" cm="1">
        <f t="array" ref="K19">SUMPRODUCT(('Construction Status'!$U$4:$DF$120)*('Construction Status'!$D$4:$D$120='Construction DASHBOARD'!A19)*('Construction Status'!$U$2:$DF$2&gt;='Construction DASHBOARD'!$N$3)*('Construction Status'!$U$2:$DF$2&lt;='Construction DASHBOARD'!$N$4))</f>
        <v>0</v>
      </c>
      <c r="L19" s="7" cm="1">
        <f t="array" ref="L19">SUMPRODUCT(('Construction Status'!$U$4:$DF$120)*('Construction Status'!$D$4:$D$120='Construction DASHBOARD'!A19)*('Construction Status'!$U$2:$DF$2&gt;='Construction DASHBOARD'!$O$3)*('Construction Status'!$U$2:$DF$2&lt;='Construction DASHBOARD'!$O$4))</f>
        <v>0</v>
      </c>
      <c r="N19" s="160">
        <v>45761</v>
      </c>
      <c r="O19" s="3">
        <v>1</v>
      </c>
    </row>
    <row r="20" spans="1:15" s="3" customFormat="1" x14ac:dyDescent="0.35">
      <c r="A20" s="313" t="s">
        <v>6</v>
      </c>
      <c r="B20" s="8"/>
      <c r="C20" s="8"/>
      <c r="D20" s="6"/>
      <c r="E20" s="6"/>
      <c r="F20" s="165"/>
      <c r="G20" s="18"/>
      <c r="H20" s="18"/>
      <c r="I20" s="7"/>
      <c r="J20" s="7"/>
      <c r="K20" s="7"/>
      <c r="L20" s="7"/>
      <c r="N20" s="160">
        <v>45762</v>
      </c>
    </row>
    <row r="21" spans="1:15" s="3" customFormat="1" x14ac:dyDescent="0.35">
      <c r="A21" s="314" t="s">
        <v>20</v>
      </c>
      <c r="B21" s="8"/>
      <c r="C21" s="8" t="s">
        <v>315</v>
      </c>
      <c r="D21" s="6"/>
      <c r="E21" s="6"/>
      <c r="F21" s="166">
        <v>0.21</v>
      </c>
      <c r="G21" s="18"/>
      <c r="H21" s="18"/>
      <c r="I21" s="7"/>
      <c r="J21" s="7"/>
      <c r="K21" s="7"/>
      <c r="L21" s="7"/>
      <c r="N21" s="160">
        <v>45763</v>
      </c>
    </row>
    <row r="22" spans="1:15" x14ac:dyDescent="0.35">
      <c r="A22" s="314" t="s">
        <v>21</v>
      </c>
      <c r="B22" s="8">
        <v>24</v>
      </c>
      <c r="C22" s="8" t="s">
        <v>2</v>
      </c>
      <c r="D22" s="9"/>
      <c r="E22" s="9"/>
      <c r="F22" s="166">
        <v>0.05</v>
      </c>
      <c r="G22" s="19"/>
      <c r="H22" s="19"/>
      <c r="I22" s="8"/>
      <c r="J22" s="8"/>
      <c r="K22" s="8"/>
      <c r="L22" s="8"/>
      <c r="N22" s="160">
        <v>45764</v>
      </c>
      <c r="O22" s="3">
        <v>4</v>
      </c>
    </row>
    <row r="23" spans="1:15" x14ac:dyDescent="0.35">
      <c r="A23" s="314" t="s">
        <v>22</v>
      </c>
      <c r="B23" s="8">
        <v>24</v>
      </c>
      <c r="C23" s="8" t="s">
        <v>2</v>
      </c>
      <c r="D23" s="9"/>
      <c r="E23" s="9"/>
      <c r="F23" s="166">
        <v>0.05</v>
      </c>
      <c r="G23" s="19"/>
      <c r="H23" s="19"/>
      <c r="I23" s="8"/>
      <c r="J23" s="8"/>
      <c r="K23" s="8"/>
      <c r="L23" s="8"/>
      <c r="N23" s="160">
        <v>45765</v>
      </c>
      <c r="O23" s="3">
        <v>4</v>
      </c>
    </row>
    <row r="24" spans="1:15" x14ac:dyDescent="0.35">
      <c r="A24" s="314" t="s">
        <v>133</v>
      </c>
      <c r="B24" s="8">
        <v>1</v>
      </c>
      <c r="C24" s="8" t="s">
        <v>11</v>
      </c>
      <c r="D24" s="9"/>
      <c r="E24" s="9"/>
      <c r="F24" s="166">
        <v>0.06</v>
      </c>
      <c r="G24" s="19"/>
      <c r="H24" s="19"/>
      <c r="I24" s="8"/>
      <c r="J24" s="8"/>
      <c r="K24" s="8"/>
      <c r="L24" s="8"/>
      <c r="N24" s="160">
        <v>45766</v>
      </c>
      <c r="O24" s="3">
        <v>4</v>
      </c>
    </row>
    <row r="25" spans="1:15" ht="17.149999999999999" customHeight="1" x14ac:dyDescent="0.35">
      <c r="A25" s="314" t="s">
        <v>23</v>
      </c>
      <c r="B25" s="8"/>
      <c r="C25" s="8" t="s">
        <v>204</v>
      </c>
      <c r="D25" s="9"/>
      <c r="E25" s="9"/>
      <c r="F25" s="166">
        <v>0.02</v>
      </c>
      <c r="G25" s="19"/>
      <c r="H25" s="19"/>
      <c r="I25" s="8"/>
      <c r="J25" s="8"/>
      <c r="K25" s="8"/>
      <c r="L25" s="8"/>
      <c r="N25" s="160">
        <v>45767</v>
      </c>
      <c r="O25" s="3">
        <v>4</v>
      </c>
    </row>
    <row r="26" spans="1:15" ht="17.149999999999999" customHeight="1" x14ac:dyDescent="0.35">
      <c r="A26" s="314" t="s">
        <v>393</v>
      </c>
      <c r="B26" s="8">
        <v>21000</v>
      </c>
      <c r="C26" s="8" t="s">
        <v>204</v>
      </c>
      <c r="D26" s="9"/>
      <c r="E26" s="9"/>
      <c r="F26" s="166">
        <v>0.02</v>
      </c>
      <c r="G26" s="19"/>
      <c r="H26" s="19"/>
      <c r="I26" s="8"/>
      <c r="J26" s="8"/>
      <c r="K26" s="8"/>
      <c r="L26" s="8"/>
      <c r="N26" s="160">
        <v>45768</v>
      </c>
      <c r="O26">
        <v>4</v>
      </c>
    </row>
    <row r="27" spans="1:15" x14ac:dyDescent="0.35">
      <c r="A27" s="313" t="s">
        <v>24</v>
      </c>
      <c r="B27" s="8"/>
      <c r="C27" s="8"/>
      <c r="D27" s="9"/>
      <c r="E27" s="9"/>
      <c r="F27" s="165"/>
      <c r="G27" s="19"/>
      <c r="H27" s="19"/>
      <c r="I27" s="9"/>
      <c r="J27" s="9"/>
      <c r="K27" s="9"/>
      <c r="L27" s="9"/>
      <c r="N27" s="160">
        <v>45769</v>
      </c>
      <c r="O27">
        <v>6</v>
      </c>
    </row>
    <row r="28" spans="1:15" x14ac:dyDescent="0.35">
      <c r="A28" s="314" t="s">
        <v>25</v>
      </c>
      <c r="B28" s="8">
        <v>24</v>
      </c>
      <c r="C28" s="8" t="s">
        <v>2</v>
      </c>
      <c r="D28" s="9"/>
      <c r="E28" s="9"/>
      <c r="F28" s="166">
        <v>0.08</v>
      </c>
      <c r="G28" s="19"/>
      <c r="H28" s="19"/>
      <c r="I28" s="9"/>
      <c r="J28" s="9"/>
      <c r="K28" s="9"/>
      <c r="L28" s="9"/>
      <c r="N28" s="160">
        <v>45770</v>
      </c>
      <c r="O28">
        <v>6</v>
      </c>
    </row>
    <row r="29" spans="1:15" x14ac:dyDescent="0.35">
      <c r="A29" s="314" t="s">
        <v>26</v>
      </c>
      <c r="B29" s="8">
        <v>24</v>
      </c>
      <c r="C29" s="8" t="s">
        <v>2</v>
      </c>
      <c r="D29" s="9"/>
      <c r="E29" s="9"/>
      <c r="F29" s="166">
        <v>0.06</v>
      </c>
      <c r="G29" s="19"/>
      <c r="H29" s="19"/>
      <c r="I29" s="9"/>
      <c r="J29" s="9"/>
      <c r="K29" s="9"/>
      <c r="L29" s="9"/>
      <c r="N29" s="160">
        <v>45771</v>
      </c>
      <c r="O29">
        <v>6</v>
      </c>
    </row>
    <row r="30" spans="1:15" x14ac:dyDescent="0.35">
      <c r="A30" s="313" t="s">
        <v>14</v>
      </c>
      <c r="B30" s="9"/>
      <c r="C30" s="8"/>
      <c r="D30" s="9"/>
      <c r="E30" s="9"/>
      <c r="F30" s="165"/>
      <c r="G30" s="19"/>
      <c r="H30" s="19"/>
      <c r="I30" s="9"/>
      <c r="J30" s="9"/>
      <c r="K30" s="9"/>
      <c r="L30" s="9"/>
      <c r="N30" s="160">
        <v>45772</v>
      </c>
      <c r="O30">
        <v>6</v>
      </c>
    </row>
    <row r="31" spans="1:15" x14ac:dyDescent="0.35">
      <c r="A31" s="314" t="s">
        <v>27</v>
      </c>
      <c r="B31" s="8">
        <v>1360</v>
      </c>
      <c r="C31" s="8" t="s">
        <v>17</v>
      </c>
      <c r="D31" s="9"/>
      <c r="E31" s="9"/>
      <c r="F31" s="166">
        <v>0.02</v>
      </c>
      <c r="G31" s="19"/>
      <c r="H31" s="19"/>
      <c r="I31" s="9"/>
      <c r="J31" s="9"/>
      <c r="K31" s="9"/>
      <c r="L31" s="9"/>
      <c r="N31" s="160">
        <v>45773</v>
      </c>
      <c r="O31">
        <v>4</v>
      </c>
    </row>
    <row r="32" spans="1:15" x14ac:dyDescent="0.35">
      <c r="A32" s="314" t="s">
        <v>28</v>
      </c>
      <c r="B32" s="8">
        <v>1360</v>
      </c>
      <c r="C32" s="8" t="s">
        <v>17</v>
      </c>
      <c r="D32" s="9"/>
      <c r="E32" s="9"/>
      <c r="F32" s="166">
        <v>0.02</v>
      </c>
      <c r="G32" s="19"/>
      <c r="H32" s="19"/>
      <c r="I32" s="9"/>
      <c r="J32" s="9"/>
      <c r="K32" s="9"/>
      <c r="L32" s="9"/>
      <c r="N32" s="160">
        <v>45774</v>
      </c>
    </row>
    <row r="33" spans="1:12" x14ac:dyDescent="0.35">
      <c r="A33" s="314" t="s">
        <v>46</v>
      </c>
      <c r="B33" s="8">
        <v>1360</v>
      </c>
      <c r="C33" s="8" t="s">
        <v>17</v>
      </c>
      <c r="D33" s="9"/>
      <c r="E33" s="9"/>
      <c r="F33" s="166">
        <v>0.03</v>
      </c>
      <c r="G33" s="19"/>
      <c r="H33" s="19"/>
      <c r="I33" s="9"/>
      <c r="J33" s="9"/>
      <c r="K33" s="9"/>
      <c r="L33" s="9"/>
    </row>
    <row r="34" spans="1:12" x14ac:dyDescent="0.35">
      <c r="A34" s="314" t="s">
        <v>29</v>
      </c>
      <c r="B34" s="8">
        <v>1360</v>
      </c>
      <c r="C34" s="8" t="s">
        <v>17</v>
      </c>
      <c r="D34" s="9"/>
      <c r="E34" s="9"/>
      <c r="F34" s="166">
        <v>2.5000000000000001E-2</v>
      </c>
      <c r="G34" s="19"/>
      <c r="H34" s="19"/>
      <c r="I34" s="9"/>
      <c r="J34" s="9"/>
      <c r="K34" s="9"/>
      <c r="L34" s="9"/>
    </row>
    <row r="35" spans="1:12" x14ac:dyDescent="0.35">
      <c r="A35" s="314" t="s">
        <v>55</v>
      </c>
      <c r="B35" s="8">
        <v>1360</v>
      </c>
      <c r="C35" s="8" t="s">
        <v>17</v>
      </c>
      <c r="D35" s="9"/>
      <c r="E35" s="9"/>
      <c r="F35" s="166">
        <v>0.04</v>
      </c>
      <c r="G35" s="19"/>
      <c r="H35" s="19"/>
      <c r="I35" s="9"/>
      <c r="J35" s="9"/>
      <c r="K35" s="9"/>
      <c r="L35" s="9"/>
    </row>
    <row r="36" spans="1:12" x14ac:dyDescent="0.35">
      <c r="A36" s="314" t="s">
        <v>56</v>
      </c>
      <c r="B36" s="8">
        <v>1360</v>
      </c>
      <c r="C36" s="8" t="s">
        <v>17</v>
      </c>
      <c r="D36" s="9"/>
      <c r="E36" s="9"/>
      <c r="F36" s="166">
        <v>0.02</v>
      </c>
      <c r="G36" s="19"/>
      <c r="H36" s="19"/>
      <c r="I36" s="9"/>
      <c r="J36" s="9"/>
      <c r="K36" s="9"/>
      <c r="L36" s="9"/>
    </row>
    <row r="37" spans="1:12" x14ac:dyDescent="0.35">
      <c r="A37" s="314" t="s">
        <v>47</v>
      </c>
      <c r="B37" s="8">
        <v>1360</v>
      </c>
      <c r="C37" s="8" t="s">
        <v>17</v>
      </c>
      <c r="D37" s="9"/>
      <c r="E37" s="9"/>
      <c r="F37" s="166">
        <v>0.02</v>
      </c>
      <c r="G37" s="19"/>
      <c r="H37" s="19"/>
      <c r="I37" s="9"/>
      <c r="J37" s="9"/>
      <c r="K37" s="9"/>
      <c r="L37" s="9"/>
    </row>
    <row r="38" spans="1:12" x14ac:dyDescent="0.35">
      <c r="A38" s="313" t="s">
        <v>15</v>
      </c>
      <c r="B38" s="9"/>
      <c r="C38" s="8"/>
      <c r="D38" s="9"/>
      <c r="E38" s="9"/>
      <c r="F38" s="165"/>
      <c r="G38" s="19"/>
      <c r="H38" s="19"/>
      <c r="I38" s="9"/>
      <c r="J38" s="9"/>
      <c r="K38" s="9"/>
      <c r="L38" s="9"/>
    </row>
    <row r="39" spans="1:12" x14ac:dyDescent="0.35">
      <c r="A39" s="314" t="s">
        <v>30</v>
      </c>
      <c r="B39" s="8">
        <v>24</v>
      </c>
      <c r="C39" s="8" t="s">
        <v>2</v>
      </c>
      <c r="D39" s="9"/>
      <c r="E39" s="9"/>
      <c r="F39" s="166">
        <v>0.02</v>
      </c>
      <c r="G39" s="19"/>
      <c r="H39" s="19"/>
      <c r="I39" s="9"/>
      <c r="J39" s="9"/>
      <c r="K39" s="9"/>
      <c r="L39" s="9"/>
    </row>
    <row r="40" spans="1:12" x14ac:dyDescent="0.35">
      <c r="A40" s="314" t="s">
        <v>31</v>
      </c>
      <c r="B40" s="8">
        <v>24</v>
      </c>
      <c r="C40" s="8" t="s">
        <v>2</v>
      </c>
      <c r="D40" s="9"/>
      <c r="E40" s="9"/>
      <c r="F40" s="166">
        <v>0.02</v>
      </c>
      <c r="G40" s="19"/>
      <c r="H40" s="19"/>
      <c r="I40" s="9"/>
      <c r="J40" s="9"/>
      <c r="K40" s="9"/>
      <c r="L40" s="9"/>
    </row>
    <row r="41" spans="1:12" x14ac:dyDescent="0.35">
      <c r="A41" s="314" t="s">
        <v>32</v>
      </c>
      <c r="B41" s="8">
        <v>24</v>
      </c>
      <c r="C41" s="8" t="s">
        <v>2</v>
      </c>
      <c r="D41" s="9"/>
      <c r="E41" s="9"/>
      <c r="F41" s="166">
        <v>0.04</v>
      </c>
      <c r="G41" s="19"/>
      <c r="H41" s="19"/>
      <c r="I41" s="9"/>
      <c r="J41" s="9"/>
      <c r="K41" s="9"/>
      <c r="L41" s="9"/>
    </row>
    <row r="42" spans="1:12" x14ac:dyDescent="0.35">
      <c r="A42" s="314" t="s">
        <v>33</v>
      </c>
      <c r="B42" s="8">
        <v>24</v>
      </c>
      <c r="C42" s="8" t="s">
        <v>2</v>
      </c>
      <c r="D42" s="9"/>
      <c r="E42" s="9"/>
      <c r="F42" s="166">
        <v>0.01</v>
      </c>
      <c r="G42" s="19"/>
      <c r="H42" s="19"/>
      <c r="I42" s="9"/>
      <c r="J42" s="9"/>
      <c r="K42" s="9"/>
      <c r="L42" s="9"/>
    </row>
    <row r="43" spans="1:12" x14ac:dyDescent="0.35">
      <c r="A43" s="314" t="s">
        <v>34</v>
      </c>
      <c r="B43" s="8">
        <v>24</v>
      </c>
      <c r="C43" s="8" t="s">
        <v>2</v>
      </c>
      <c r="D43" s="9"/>
      <c r="E43" s="9"/>
      <c r="F43" s="166">
        <v>0.01</v>
      </c>
      <c r="G43" s="19"/>
      <c r="H43" s="19"/>
      <c r="I43" s="9"/>
      <c r="J43" s="9"/>
      <c r="K43" s="9"/>
      <c r="L43" s="9"/>
    </row>
    <row r="44" spans="1:12" x14ac:dyDescent="0.35">
      <c r="A44" s="314" t="s">
        <v>16</v>
      </c>
      <c r="B44" s="8">
        <v>24</v>
      </c>
      <c r="C44" s="8" t="s">
        <v>2</v>
      </c>
      <c r="D44" s="9"/>
      <c r="E44" s="9"/>
      <c r="F44" s="166">
        <v>0.02</v>
      </c>
      <c r="G44" s="19"/>
      <c r="H44" s="19"/>
      <c r="I44" s="9"/>
      <c r="J44" s="9"/>
      <c r="K44" s="9"/>
      <c r="L44" s="9"/>
    </row>
    <row r="45" spans="1:12" x14ac:dyDescent="0.35">
      <c r="A45" s="314" t="s">
        <v>35</v>
      </c>
      <c r="B45" s="8">
        <v>24</v>
      </c>
      <c r="C45" s="8" t="s">
        <v>2</v>
      </c>
      <c r="D45" s="9"/>
      <c r="E45" s="9"/>
      <c r="F45" s="166">
        <v>0.01</v>
      </c>
      <c r="G45" s="19"/>
      <c r="H45" s="19"/>
      <c r="I45" s="9"/>
      <c r="J45" s="9"/>
      <c r="K45" s="9"/>
      <c r="L45" s="9"/>
    </row>
    <row r="46" spans="1:12" x14ac:dyDescent="0.35">
      <c r="A46" s="313" t="s">
        <v>36</v>
      </c>
      <c r="B46" s="9"/>
      <c r="C46" s="8"/>
      <c r="D46" s="9"/>
      <c r="E46" s="9"/>
      <c r="F46" s="165"/>
      <c r="G46" s="19"/>
      <c r="H46" s="19"/>
      <c r="I46" s="9"/>
      <c r="J46" s="9"/>
      <c r="K46" s="9"/>
      <c r="L46" s="9"/>
    </row>
    <row r="47" spans="1:12" x14ac:dyDescent="0.35">
      <c r="A47" s="314" t="s">
        <v>37</v>
      </c>
      <c r="B47" s="8">
        <v>1173</v>
      </c>
      <c r="C47" s="8" t="s">
        <v>13</v>
      </c>
      <c r="D47" s="9"/>
      <c r="E47" s="9"/>
      <c r="F47" s="166">
        <v>0.02</v>
      </c>
      <c r="G47" s="19"/>
      <c r="H47" s="19"/>
      <c r="I47" s="9"/>
      <c r="J47" s="9"/>
      <c r="K47" s="9"/>
      <c r="L47" s="9"/>
    </row>
    <row r="48" spans="1:12" x14ac:dyDescent="0.35">
      <c r="A48" s="314" t="s">
        <v>38</v>
      </c>
      <c r="B48" s="8">
        <v>24</v>
      </c>
      <c r="C48" s="8" t="s">
        <v>2</v>
      </c>
      <c r="D48" s="9"/>
      <c r="E48" s="9"/>
      <c r="F48" s="166">
        <v>0.02</v>
      </c>
      <c r="G48" s="19"/>
      <c r="H48" s="19"/>
      <c r="I48" s="9"/>
      <c r="J48" s="9"/>
      <c r="K48" s="9"/>
      <c r="L48" s="9"/>
    </row>
    <row r="49" spans="1:12" x14ac:dyDescent="0.35">
      <c r="A49" s="313" t="s">
        <v>39</v>
      </c>
      <c r="B49" s="9"/>
      <c r="C49" s="8"/>
      <c r="D49" s="9"/>
      <c r="E49" s="9"/>
      <c r="F49" s="166"/>
      <c r="G49" s="19"/>
      <c r="H49" s="19"/>
      <c r="I49" s="9"/>
      <c r="J49" s="9"/>
      <c r="K49" s="9"/>
      <c r="L49" s="9"/>
    </row>
    <row r="50" spans="1:12" x14ac:dyDescent="0.35">
      <c r="A50" s="314" t="s">
        <v>40</v>
      </c>
      <c r="B50" s="8">
        <v>1</v>
      </c>
      <c r="C50" s="8" t="s">
        <v>11</v>
      </c>
      <c r="D50" s="9"/>
      <c r="E50" s="9"/>
      <c r="F50" s="166">
        <v>5.0000000000000001E-3</v>
      </c>
      <c r="G50" s="19"/>
      <c r="H50" s="19"/>
      <c r="I50" s="9"/>
      <c r="J50" s="9"/>
      <c r="K50" s="9"/>
      <c r="L50" s="9"/>
    </row>
    <row r="51" spans="1:12" x14ac:dyDescent="0.35">
      <c r="A51" s="314" t="s">
        <v>41</v>
      </c>
      <c r="B51" s="8">
        <v>1</v>
      </c>
      <c r="C51" s="8" t="s">
        <v>11</v>
      </c>
      <c r="D51" s="9"/>
      <c r="E51" s="9"/>
      <c r="F51" s="166">
        <v>0.01</v>
      </c>
      <c r="G51" s="19"/>
      <c r="H51" s="19"/>
      <c r="I51" s="9"/>
      <c r="J51" s="9"/>
      <c r="K51" s="9"/>
      <c r="L51" s="9"/>
    </row>
    <row r="52" spans="1:12" x14ac:dyDescent="0.35">
      <c r="A52" s="314" t="s">
        <v>296</v>
      </c>
      <c r="B52" s="8">
        <v>1</v>
      </c>
      <c r="C52" s="8" t="s">
        <v>11</v>
      </c>
      <c r="D52" s="9"/>
      <c r="E52" s="9"/>
      <c r="F52" s="166">
        <v>2.5000000000000001E-3</v>
      </c>
      <c r="G52" s="19"/>
      <c r="H52" s="19"/>
      <c r="I52" s="9"/>
      <c r="J52" s="9"/>
      <c r="K52" s="9"/>
      <c r="L52" s="9"/>
    </row>
    <row r="53" spans="1:12" x14ac:dyDescent="0.35">
      <c r="A53" s="314" t="s">
        <v>42</v>
      </c>
      <c r="B53" s="8">
        <v>1</v>
      </c>
      <c r="C53" s="8" t="s">
        <v>11</v>
      </c>
      <c r="D53" s="9"/>
      <c r="E53" s="9"/>
      <c r="F53" s="166">
        <v>2.5000000000000001E-3</v>
      </c>
      <c r="G53" s="19"/>
      <c r="H53" s="19"/>
      <c r="I53" s="9"/>
      <c r="J53" s="9"/>
      <c r="K53" s="9"/>
      <c r="L53" s="9"/>
    </row>
    <row r="54" spans="1:12" x14ac:dyDescent="0.35">
      <c r="A54" s="313" t="s">
        <v>53</v>
      </c>
      <c r="B54" s="9"/>
      <c r="C54" s="8"/>
      <c r="D54" s="9"/>
      <c r="E54" s="9"/>
      <c r="F54" s="166"/>
      <c r="G54" s="19"/>
      <c r="H54" s="19"/>
      <c r="I54" s="9"/>
      <c r="J54" s="9"/>
      <c r="K54" s="9"/>
      <c r="L54" s="9"/>
    </row>
    <row r="55" spans="1:12" x14ac:dyDescent="0.35">
      <c r="A55" s="314" t="s">
        <v>43</v>
      </c>
      <c r="B55" s="8">
        <v>100</v>
      </c>
      <c r="C55" s="8" t="s">
        <v>12</v>
      </c>
      <c r="D55" s="9"/>
      <c r="E55" s="9"/>
      <c r="F55" s="166">
        <v>0.01</v>
      </c>
      <c r="G55" s="19"/>
      <c r="H55" s="19"/>
      <c r="I55" s="9"/>
      <c r="J55" s="9"/>
      <c r="K55" s="9"/>
      <c r="L55" s="9"/>
    </row>
    <row r="56" spans="1:12" x14ac:dyDescent="0.35">
      <c r="A56" s="314" t="s">
        <v>44</v>
      </c>
      <c r="B56" s="8">
        <v>100</v>
      </c>
      <c r="C56" s="8" t="s">
        <v>12</v>
      </c>
      <c r="D56" s="9"/>
      <c r="E56" s="9"/>
      <c r="F56" s="166">
        <v>0.01</v>
      </c>
      <c r="G56" s="19"/>
      <c r="H56" s="19"/>
      <c r="I56" s="9"/>
      <c r="J56" s="9"/>
      <c r="K56" s="9"/>
      <c r="L56" s="9"/>
    </row>
    <row r="57" spans="1:12" x14ac:dyDescent="0.35">
      <c r="A57" s="314" t="s">
        <v>45</v>
      </c>
      <c r="B57" s="8">
        <v>100</v>
      </c>
      <c r="C57" s="8" t="s">
        <v>12</v>
      </c>
      <c r="D57" s="9"/>
      <c r="E57" s="9"/>
      <c r="F57" s="166">
        <v>0.01</v>
      </c>
      <c r="G57" s="19"/>
      <c r="H57" s="19"/>
      <c r="I57" s="9"/>
      <c r="J57" s="9"/>
      <c r="K57" s="9"/>
      <c r="L57" s="9"/>
    </row>
    <row r="58" spans="1:12" x14ac:dyDescent="0.35">
      <c r="A58" s="314" t="s">
        <v>54</v>
      </c>
      <c r="B58" s="8">
        <v>100</v>
      </c>
      <c r="C58" s="8" t="s">
        <v>12</v>
      </c>
      <c r="D58" s="9"/>
      <c r="E58" s="9"/>
      <c r="F58" s="166">
        <v>0.01</v>
      </c>
      <c r="G58" s="19"/>
      <c r="H58" s="19"/>
      <c r="I58" s="9"/>
      <c r="J58" s="9"/>
      <c r="K58" s="9"/>
      <c r="L58" s="9"/>
    </row>
    <row r="59" spans="1:12" x14ac:dyDescent="0.35">
      <c r="A59" s="9"/>
      <c r="B59" s="9"/>
      <c r="C59" s="8"/>
      <c r="D59" s="9"/>
      <c r="E59" s="9"/>
      <c r="F59" s="315">
        <f>SUM(F11:F58)</f>
        <v>1.0000000000000002</v>
      </c>
      <c r="G59" s="315">
        <f>SUM(G11:G58)</f>
        <v>4.0141949015811557E-2</v>
      </c>
      <c r="H59" s="9"/>
      <c r="I59" s="9"/>
      <c r="J59" s="9"/>
      <c r="K59" s="9"/>
      <c r="L59" s="9"/>
    </row>
    <row r="60" spans="1:12" x14ac:dyDescent="0.35">
      <c r="G60" s="17"/>
    </row>
    <row r="70" spans="2:3" x14ac:dyDescent="0.35">
      <c r="B70" s="20"/>
      <c r="C70" s="99"/>
    </row>
    <row r="71" spans="2:3" x14ac:dyDescent="0.35">
      <c r="B71" s="20" t="s">
        <v>9</v>
      </c>
      <c r="C71" s="21">
        <f>F59</f>
        <v>1.0000000000000002</v>
      </c>
    </row>
    <row r="72" spans="2:3" x14ac:dyDescent="0.35">
      <c r="B72" s="20" t="s">
        <v>60</v>
      </c>
      <c r="C72" s="21">
        <f>G59</f>
        <v>4.0141949015811557E-2</v>
      </c>
    </row>
    <row r="73" spans="2:3" x14ac:dyDescent="0.35">
      <c r="B73" s="20" t="s">
        <v>8</v>
      </c>
      <c r="C73" s="21">
        <f>C71-C72</f>
        <v>0.95985805098418864</v>
      </c>
    </row>
    <row r="74" spans="2:3" x14ac:dyDescent="0.35">
      <c r="B74" s="20"/>
      <c r="C74" s="99"/>
    </row>
    <row r="75" spans="2:3" x14ac:dyDescent="0.35">
      <c r="B75" s="20"/>
      <c r="C75" s="99"/>
    </row>
  </sheetData>
  <mergeCells count="4">
    <mergeCell ref="B2:F2"/>
    <mergeCell ref="B3:F3"/>
    <mergeCell ref="B4:F4"/>
    <mergeCell ref="A1:L1"/>
  </mergeCells>
  <conditionalFormatting sqref="H11:H58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{881DC63B-D390-4B6E-B834-D1969F5126FC}</x14:id>
        </ext>
      </extLst>
    </cfRule>
  </conditionalFormatting>
  <pageMargins left="0.39370078740157483" right="0.15748031496062992" top="0.31496062992125984" bottom="0.19685039370078741" header="0.23622047244094491" footer="0.11811023622047245"/>
  <pageSetup paperSize="9" scale="82" orientation="landscape" r:id="rId1"/>
  <rowBreaks count="1" manualBreakCount="1">
    <brk id="59" max="11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1DC63B-D390-4B6E-B834-D1969F5126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H11:H58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9D81-052B-4B01-BBF0-DDCFE00DB48E}">
  <dimension ref="A2:AQ17"/>
  <sheetViews>
    <sheetView zoomScale="80" workbookViewId="0">
      <pane xSplit="1" ySplit="2" topLeftCell="T3" activePane="bottomRight" state="frozen"/>
      <selection pane="topRight" activeCell="B1" sqref="B1"/>
      <selection pane="bottomLeft" activeCell="A3" sqref="A3"/>
      <selection pane="bottomRight" activeCell="AB18" sqref="AB18"/>
    </sheetView>
  </sheetViews>
  <sheetFormatPr defaultRowHeight="14.5" x14ac:dyDescent="0.35"/>
  <cols>
    <col min="1" max="1" width="12.7265625" bestFit="1" customWidth="1"/>
    <col min="2" max="9" width="5.90625" bestFit="1" customWidth="1"/>
    <col min="10" max="11" width="6.90625" bestFit="1" customWidth="1"/>
    <col min="12" max="22" width="5.90625" bestFit="1" customWidth="1"/>
    <col min="31" max="31" width="5.90625" bestFit="1" customWidth="1"/>
    <col min="32" max="32" width="13.81640625" bestFit="1" customWidth="1"/>
    <col min="33" max="33" width="17.7265625" bestFit="1" customWidth="1"/>
  </cols>
  <sheetData>
    <row r="2" spans="1:43" s="10" customFormat="1" x14ac:dyDescent="0.35">
      <c r="A2" s="171" t="s">
        <v>10</v>
      </c>
      <c r="B2" s="172">
        <v>45754</v>
      </c>
      <c r="C2" s="172">
        <v>45755</v>
      </c>
      <c r="D2" s="172">
        <v>45756</v>
      </c>
      <c r="E2" s="172">
        <v>45757</v>
      </c>
      <c r="F2" s="172">
        <v>45758</v>
      </c>
      <c r="G2" s="172">
        <v>45759</v>
      </c>
      <c r="H2" s="172">
        <v>45760</v>
      </c>
      <c r="I2" s="172">
        <v>45761</v>
      </c>
      <c r="J2" s="172">
        <v>45762</v>
      </c>
      <c r="K2" s="172">
        <v>45763</v>
      </c>
      <c r="L2" s="172">
        <v>45764</v>
      </c>
      <c r="M2" s="172">
        <v>45765</v>
      </c>
      <c r="N2" s="172">
        <v>45766</v>
      </c>
      <c r="O2" s="172">
        <v>45767</v>
      </c>
      <c r="P2" s="172">
        <v>45768</v>
      </c>
      <c r="Q2" s="172">
        <v>45769</v>
      </c>
      <c r="R2" s="172">
        <v>45770</v>
      </c>
      <c r="S2" s="172">
        <v>45771</v>
      </c>
      <c r="T2" s="172">
        <v>45772</v>
      </c>
      <c r="U2" s="172">
        <v>45773</v>
      </c>
      <c r="V2" s="172">
        <v>45774</v>
      </c>
      <c r="W2" s="172">
        <v>45775</v>
      </c>
      <c r="X2" s="172">
        <v>45776</v>
      </c>
      <c r="Y2" s="172">
        <v>45777</v>
      </c>
      <c r="Z2" s="172">
        <v>45778</v>
      </c>
      <c r="AA2" s="172">
        <v>45779</v>
      </c>
      <c r="AB2" s="172">
        <v>45780</v>
      </c>
      <c r="AC2" s="172">
        <v>45781</v>
      </c>
      <c r="AD2" s="172">
        <v>45782</v>
      </c>
      <c r="AE2" s="172">
        <v>45783</v>
      </c>
      <c r="AF2" s="172">
        <v>45784</v>
      </c>
      <c r="AG2" s="172">
        <v>45785</v>
      </c>
      <c r="AH2" s="172">
        <v>45786</v>
      </c>
      <c r="AI2" s="172">
        <v>45787</v>
      </c>
      <c r="AJ2" s="172">
        <v>45788</v>
      </c>
      <c r="AK2" s="172">
        <v>45789</v>
      </c>
      <c r="AL2" s="172">
        <v>45790</v>
      </c>
      <c r="AM2" s="172">
        <v>45791</v>
      </c>
    </row>
    <row r="3" spans="1:43" s="10" customFormat="1" x14ac:dyDescent="0.35">
      <c r="A3" s="171" t="s">
        <v>411</v>
      </c>
      <c r="B3" s="173">
        <v>1</v>
      </c>
      <c r="C3" s="173">
        <v>1</v>
      </c>
      <c r="D3" s="173">
        <v>1</v>
      </c>
      <c r="E3" s="173">
        <v>1</v>
      </c>
      <c r="F3" s="173">
        <v>2</v>
      </c>
      <c r="G3" s="174">
        <v>2</v>
      </c>
      <c r="H3" s="174">
        <v>1</v>
      </c>
      <c r="I3" s="174">
        <v>1</v>
      </c>
      <c r="J3" s="175"/>
      <c r="K3" s="175"/>
      <c r="L3" s="174">
        <v>4</v>
      </c>
      <c r="M3" s="174">
        <v>4</v>
      </c>
      <c r="N3" s="174">
        <v>4</v>
      </c>
      <c r="O3" s="174">
        <v>4</v>
      </c>
      <c r="P3" s="174">
        <v>4</v>
      </c>
      <c r="Q3" s="174">
        <v>6</v>
      </c>
      <c r="R3" s="174">
        <v>6</v>
      </c>
      <c r="S3" s="174">
        <v>6</v>
      </c>
      <c r="T3" s="174">
        <v>6</v>
      </c>
      <c r="U3" s="174">
        <v>4</v>
      </c>
      <c r="V3" s="174">
        <v>4</v>
      </c>
      <c r="W3" s="176">
        <v>4</v>
      </c>
      <c r="X3" s="176">
        <v>6</v>
      </c>
      <c r="Y3" s="176">
        <v>6</v>
      </c>
      <c r="Z3" s="176">
        <v>4</v>
      </c>
      <c r="AA3" s="176">
        <v>4</v>
      </c>
      <c r="AB3" s="176">
        <v>6</v>
      </c>
      <c r="AC3" s="176">
        <v>6</v>
      </c>
      <c r="AD3" s="176">
        <v>6</v>
      </c>
      <c r="AE3" s="174">
        <v>5</v>
      </c>
      <c r="AF3" s="176">
        <v>4</v>
      </c>
      <c r="AG3" s="176">
        <v>3</v>
      </c>
      <c r="AH3" s="176">
        <v>5</v>
      </c>
      <c r="AI3" s="176">
        <v>5</v>
      </c>
      <c r="AJ3" s="176">
        <v>5</v>
      </c>
      <c r="AK3" s="176">
        <v>4</v>
      </c>
      <c r="AL3" s="176">
        <v>6</v>
      </c>
      <c r="AM3" s="176"/>
      <c r="AP3" s="177">
        <f>SUM(B3:AK3)</f>
        <v>135</v>
      </c>
    </row>
    <row r="4" spans="1:43" s="10" customFormat="1" x14ac:dyDescent="0.35">
      <c r="A4" s="171" t="s">
        <v>412</v>
      </c>
      <c r="B4" s="176">
        <f>'Construction Status'!Z4</f>
        <v>1.5</v>
      </c>
      <c r="C4" s="176">
        <f>'Construction Status'!AA4</f>
        <v>3.5</v>
      </c>
      <c r="D4" s="176">
        <f>'Construction Status'!AB4</f>
        <v>4</v>
      </c>
      <c r="E4" s="176">
        <f>'Construction Status'!AC4</f>
        <v>4</v>
      </c>
      <c r="F4" s="176">
        <f>'Construction Status'!AD4</f>
        <v>4</v>
      </c>
      <c r="G4" s="176">
        <f>'Construction Status'!AE4</f>
        <v>4</v>
      </c>
      <c r="H4" s="176">
        <f>'Construction Status'!AF4</f>
        <v>3</v>
      </c>
      <c r="I4" s="176">
        <f>'Construction Status'!AG4</f>
        <v>2</v>
      </c>
      <c r="J4" s="176">
        <f>'Construction Status'!AH4</f>
        <v>0</v>
      </c>
      <c r="K4" s="176">
        <f>'Construction Status'!AI4-10</f>
        <v>0</v>
      </c>
      <c r="L4" s="176">
        <f>'Construction Status'!AJ4</f>
        <v>20</v>
      </c>
      <c r="M4" s="176">
        <f>'Construction Status'!AK4</f>
        <v>20</v>
      </c>
      <c r="N4" s="176">
        <f>'Construction Status'!AL4+5</f>
        <v>25</v>
      </c>
      <c r="O4" s="176">
        <f>'Construction Status'!AM4+5</f>
        <v>26</v>
      </c>
      <c r="P4" s="176">
        <f>'Construction Status'!AN4</f>
        <v>40</v>
      </c>
      <c r="Q4" s="176">
        <f>'Construction Status'!AO4</f>
        <v>40</v>
      </c>
      <c r="R4" s="176">
        <f>'Construction Status'!AP4</f>
        <v>40</v>
      </c>
      <c r="S4" s="176">
        <f>'Construction Status'!AQ4</f>
        <v>38</v>
      </c>
      <c r="T4" s="176">
        <f>'Construction Status'!AR4</f>
        <v>0</v>
      </c>
      <c r="U4" s="176">
        <f>'Construction Status'!AS4</f>
        <v>0</v>
      </c>
      <c r="V4" s="176">
        <f>'Construction Status'!AT4</f>
        <v>0</v>
      </c>
      <c r="W4" s="176">
        <f>'Construction Status'!AU4</f>
        <v>0</v>
      </c>
      <c r="X4" s="176">
        <f>'Construction Status'!AV4</f>
        <v>0</v>
      </c>
      <c r="Y4" s="176">
        <f>'Construction Status'!AW4</f>
        <v>0</v>
      </c>
      <c r="Z4" s="176">
        <f>'Construction Status'!AX4</f>
        <v>0</v>
      </c>
      <c r="AA4" s="176">
        <f>'Construction Status'!AY4</f>
        <v>0</v>
      </c>
      <c r="AB4" s="176">
        <f>'Construction Status'!AZ4</f>
        <v>0</v>
      </c>
      <c r="AC4" s="176">
        <f>'Construction Status'!BA4</f>
        <v>0</v>
      </c>
      <c r="AD4" s="176"/>
      <c r="AE4" s="176"/>
      <c r="AF4" s="176">
        <v>5</v>
      </c>
      <c r="AG4" s="176">
        <v>10</v>
      </c>
      <c r="AH4" s="176">
        <v>10</v>
      </c>
      <c r="AI4" s="176">
        <v>5</v>
      </c>
      <c r="AJ4" s="176">
        <v>7</v>
      </c>
      <c r="AK4" s="176">
        <v>5</v>
      </c>
      <c r="AL4" s="176"/>
      <c r="AM4" s="176"/>
      <c r="AP4" s="177">
        <f>SUM(B4:AK4)</f>
        <v>317</v>
      </c>
      <c r="AQ4" s="178">
        <f>AP4/AP3</f>
        <v>2.3481481481481481</v>
      </c>
    </row>
    <row r="5" spans="1:43" s="10" customFormat="1" x14ac:dyDescent="0.35">
      <c r="A5" s="171" t="s">
        <v>413</v>
      </c>
      <c r="B5" s="176">
        <f>'Construction Status'!Z5</f>
        <v>0</v>
      </c>
      <c r="C5" s="176">
        <f>'Construction Status'!AA5</f>
        <v>0</v>
      </c>
      <c r="D5" s="176">
        <f>'Construction Status'!AB5</f>
        <v>0</v>
      </c>
      <c r="E5" s="176">
        <f>'Construction Status'!AC5</f>
        <v>0</v>
      </c>
      <c r="F5" s="176">
        <f>'Construction Status'!AD5</f>
        <v>0</v>
      </c>
      <c r="G5" s="176">
        <f>'Construction Status'!AE5</f>
        <v>0</v>
      </c>
      <c r="H5" s="176">
        <f>'Construction Status'!AF5</f>
        <v>0</v>
      </c>
      <c r="I5" s="176">
        <f>'Construction Status'!AG5</f>
        <v>0</v>
      </c>
      <c r="J5" s="176">
        <f>'Construction Status'!AH5</f>
        <v>0</v>
      </c>
      <c r="K5" s="176">
        <f>'Construction Status'!AI5</f>
        <v>0</v>
      </c>
      <c r="L5" s="176">
        <f>'Construction Status'!AJ5</f>
        <v>0</v>
      </c>
      <c r="M5" s="176">
        <f>'Construction Status'!AK5</f>
        <v>0</v>
      </c>
      <c r="N5" s="176">
        <f>'Construction Status'!AL5</f>
        <v>0</v>
      </c>
      <c r="O5" s="176">
        <f>'Construction Status'!AM5</f>
        <v>0</v>
      </c>
      <c r="P5" s="176">
        <f>'Construction Status'!AN5</f>
        <v>0</v>
      </c>
      <c r="Q5" s="176">
        <f>'Construction Status'!AO5</f>
        <v>0</v>
      </c>
      <c r="R5" s="176">
        <f>'Construction Status'!AP5</f>
        <v>0</v>
      </c>
      <c r="S5" s="176">
        <f>'Construction Status'!AQ5</f>
        <v>0</v>
      </c>
      <c r="T5" s="176">
        <f>'Construction Status'!AR5</f>
        <v>10</v>
      </c>
      <c r="U5" s="176">
        <f>'Construction Status'!AS5</f>
        <v>10</v>
      </c>
      <c r="V5" s="176">
        <f>'Construction Status'!AT5</f>
        <v>10</v>
      </c>
      <c r="W5" s="176">
        <f>'Construction Status'!AU5</f>
        <v>10</v>
      </c>
      <c r="X5" s="176">
        <f>'Construction Status'!AV5</f>
        <v>12</v>
      </c>
      <c r="Y5" s="176">
        <f>'Construction Status'!AW5</f>
        <v>13</v>
      </c>
      <c r="Z5" s="176">
        <f>'Construction Status'!AX5</f>
        <v>10</v>
      </c>
      <c r="AA5" s="176">
        <f>'Construction Status'!AY5</f>
        <v>12</v>
      </c>
      <c r="AB5" s="176">
        <f>'Construction Status'!AZ5</f>
        <v>11</v>
      </c>
      <c r="AC5" s="176">
        <f>'Construction Status'!BA5</f>
        <v>20</v>
      </c>
      <c r="AD5" s="176">
        <v>14</v>
      </c>
      <c r="AE5" s="176">
        <v>16</v>
      </c>
      <c r="AF5" s="176">
        <v>16</v>
      </c>
      <c r="AG5" s="176">
        <v>10</v>
      </c>
      <c r="AH5" s="176">
        <v>10</v>
      </c>
      <c r="AI5" s="176">
        <v>5</v>
      </c>
      <c r="AJ5" s="176">
        <v>7</v>
      </c>
      <c r="AK5" s="176">
        <v>5</v>
      </c>
      <c r="AL5" s="176"/>
      <c r="AM5" s="176"/>
      <c r="AP5" s="177">
        <f>SUM(T3:AK3)</f>
        <v>87</v>
      </c>
    </row>
    <row r="6" spans="1:43" s="10" customFormat="1" x14ac:dyDescent="0.35">
      <c r="A6" s="179" t="s">
        <v>414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0"/>
      <c r="AM6" s="180"/>
      <c r="AP6" s="177">
        <f>SUM(B5:AK5)</f>
        <v>201</v>
      </c>
      <c r="AQ6" s="178">
        <f>AP6/AP5</f>
        <v>2.3103448275862069</v>
      </c>
    </row>
    <row r="7" spans="1:43" s="10" customFormat="1" x14ac:dyDescent="0.35">
      <c r="A7" s="171" t="s">
        <v>412</v>
      </c>
      <c r="B7" s="181">
        <f>B4/B3</f>
        <v>1.5</v>
      </c>
      <c r="C7" s="181">
        <f t="shared" ref="C7:S7" si="0">C4/C3</f>
        <v>3.5</v>
      </c>
      <c r="D7" s="181">
        <f t="shared" si="0"/>
        <v>4</v>
      </c>
      <c r="E7" s="181">
        <f t="shared" si="0"/>
        <v>4</v>
      </c>
      <c r="F7" s="181">
        <f t="shared" si="0"/>
        <v>2</v>
      </c>
      <c r="G7" s="181">
        <f t="shared" si="0"/>
        <v>2</v>
      </c>
      <c r="H7" s="181">
        <f t="shared" si="0"/>
        <v>3</v>
      </c>
      <c r="I7" s="181">
        <f t="shared" si="0"/>
        <v>2</v>
      </c>
      <c r="J7" s="181"/>
      <c r="K7" s="181"/>
      <c r="L7" s="181">
        <f t="shared" si="0"/>
        <v>5</v>
      </c>
      <c r="M7" s="181">
        <f t="shared" si="0"/>
        <v>5</v>
      </c>
      <c r="N7" s="181">
        <f t="shared" si="0"/>
        <v>6.25</v>
      </c>
      <c r="O7" s="181">
        <f t="shared" si="0"/>
        <v>6.5</v>
      </c>
      <c r="P7" s="181">
        <f t="shared" si="0"/>
        <v>10</v>
      </c>
      <c r="Q7" s="181">
        <f t="shared" si="0"/>
        <v>6.666666666666667</v>
      </c>
      <c r="R7" s="181">
        <f t="shared" si="0"/>
        <v>6.666666666666667</v>
      </c>
      <c r="S7" s="181">
        <f t="shared" si="0"/>
        <v>6.333333333333333</v>
      </c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0"/>
      <c r="AM7" s="180"/>
    </row>
    <row r="8" spans="1:43" s="10" customFormat="1" x14ac:dyDescent="0.35">
      <c r="A8" s="171" t="s">
        <v>413</v>
      </c>
      <c r="B8" s="180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1">
        <f>T5/T3</f>
        <v>1.6666666666666667</v>
      </c>
      <c r="U8" s="181">
        <f t="shared" ref="U8:AD8" si="1">U5/U3</f>
        <v>2.5</v>
      </c>
      <c r="V8" s="181">
        <f t="shared" si="1"/>
        <v>2.5</v>
      </c>
      <c r="W8" s="181">
        <f t="shared" si="1"/>
        <v>2.5</v>
      </c>
      <c r="X8" s="181">
        <f t="shared" si="1"/>
        <v>2</v>
      </c>
      <c r="Y8" s="181">
        <f t="shared" si="1"/>
        <v>2.1666666666666665</v>
      </c>
      <c r="Z8" s="181">
        <f t="shared" si="1"/>
        <v>2.5</v>
      </c>
      <c r="AA8" s="181">
        <f t="shared" si="1"/>
        <v>3</v>
      </c>
      <c r="AB8" s="181">
        <f t="shared" si="1"/>
        <v>1.8333333333333333</v>
      </c>
      <c r="AC8" s="181">
        <f t="shared" si="1"/>
        <v>3.3333333333333335</v>
      </c>
      <c r="AD8" s="181">
        <f t="shared" si="1"/>
        <v>2.3333333333333335</v>
      </c>
      <c r="AE8" s="181">
        <f t="shared" ref="AE8:AM8" si="2">AE5/AE3</f>
        <v>3.2</v>
      </c>
      <c r="AF8" s="181">
        <f t="shared" si="2"/>
        <v>4</v>
      </c>
      <c r="AG8" s="181">
        <f t="shared" si="2"/>
        <v>3.3333333333333335</v>
      </c>
      <c r="AH8" s="181">
        <f t="shared" si="2"/>
        <v>2</v>
      </c>
      <c r="AI8" s="181">
        <f t="shared" si="2"/>
        <v>1</v>
      </c>
      <c r="AJ8" s="181">
        <f t="shared" si="2"/>
        <v>1.4</v>
      </c>
      <c r="AK8" s="181">
        <f t="shared" si="2"/>
        <v>1.25</v>
      </c>
      <c r="AL8" s="181">
        <f t="shared" si="2"/>
        <v>0</v>
      </c>
      <c r="AM8" s="181" t="e">
        <f t="shared" si="2"/>
        <v>#DIV/0!</v>
      </c>
    </row>
    <row r="10" spans="1:43" x14ac:dyDescent="0.35">
      <c r="A10" s="182" t="s">
        <v>415</v>
      </c>
    </row>
    <row r="11" spans="1:43" x14ac:dyDescent="0.35">
      <c r="A11" s="182" t="s">
        <v>18</v>
      </c>
      <c r="AA11">
        <v>6</v>
      </c>
      <c r="AB11">
        <v>8</v>
      </c>
      <c r="AC11">
        <v>8</v>
      </c>
      <c r="AD11">
        <v>8</v>
      </c>
      <c r="AE11">
        <v>6</v>
      </c>
      <c r="AF11">
        <v>6</v>
      </c>
      <c r="AG11">
        <v>6</v>
      </c>
      <c r="AH11">
        <v>5</v>
      </c>
      <c r="AI11">
        <v>8</v>
      </c>
      <c r="AJ11">
        <v>8</v>
      </c>
      <c r="AK11">
        <v>7</v>
      </c>
      <c r="AL11">
        <v>9</v>
      </c>
    </row>
    <row r="13" spans="1:43" x14ac:dyDescent="0.35">
      <c r="AC13" t="s">
        <v>417</v>
      </c>
      <c r="AE13" t="s">
        <v>8</v>
      </c>
      <c r="AF13" t="s">
        <v>416</v>
      </c>
      <c r="AG13" t="s">
        <v>418</v>
      </c>
    </row>
    <row r="14" spans="1:43" x14ac:dyDescent="0.35">
      <c r="J14">
        <v>250</v>
      </c>
      <c r="K14">
        <v>47</v>
      </c>
      <c r="AC14">
        <v>250</v>
      </c>
      <c r="AD14">
        <v>47</v>
      </c>
      <c r="AE14">
        <f>AC14-AD14</f>
        <v>203</v>
      </c>
      <c r="AF14">
        <v>19</v>
      </c>
      <c r="AG14" s="187">
        <f>AE14/AF14</f>
        <v>10.684210526315789</v>
      </c>
    </row>
    <row r="16" spans="1:43" x14ac:dyDescent="0.35">
      <c r="AC16" t="s">
        <v>4</v>
      </c>
    </row>
    <row r="17" spans="29:33" x14ac:dyDescent="0.35">
      <c r="AC17">
        <v>250</v>
      </c>
      <c r="AD17">
        <v>121</v>
      </c>
      <c r="AE17">
        <f>AC17-AD17</f>
        <v>129</v>
      </c>
      <c r="AF17">
        <f>AF14</f>
        <v>19</v>
      </c>
      <c r="AG17" s="187">
        <f>AE17/AF17</f>
        <v>6.7894736842105265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AC53-3EC6-4803-BA89-F7EBF153723C}">
  <dimension ref="A1:I28"/>
  <sheetViews>
    <sheetView zoomScale="80" zoomScaleNormal="80" workbookViewId="0">
      <selection activeCell="E13" sqref="E13"/>
    </sheetView>
  </sheetViews>
  <sheetFormatPr defaultRowHeight="16" x14ac:dyDescent="0.4"/>
  <cols>
    <col min="1" max="1" width="8.81640625" style="131" bestFit="1" customWidth="1"/>
    <col min="2" max="2" width="41.90625" style="123" customWidth="1"/>
    <col min="3" max="3" width="11.453125" style="123" bestFit="1" customWidth="1"/>
    <col min="4" max="4" width="16.54296875" style="123" bestFit="1" customWidth="1"/>
    <col min="5" max="5" width="33.453125" style="123" customWidth="1"/>
    <col min="6" max="6" width="10.81640625" style="123" bestFit="1" customWidth="1"/>
    <col min="7" max="16384" width="8.7265625" style="123"/>
  </cols>
  <sheetData>
    <row r="1" spans="1:9" s="131" customFormat="1" x14ac:dyDescent="0.35">
      <c r="A1" s="132" t="s">
        <v>316</v>
      </c>
      <c r="B1" s="132" t="s">
        <v>340</v>
      </c>
      <c r="C1" s="132" t="s">
        <v>317</v>
      </c>
      <c r="D1" s="132" t="s">
        <v>318</v>
      </c>
      <c r="E1" s="132" t="s">
        <v>319</v>
      </c>
    </row>
    <row r="2" spans="1:9" x14ac:dyDescent="0.4">
      <c r="A2" s="137">
        <v>1</v>
      </c>
      <c r="B2" s="133" t="s">
        <v>51</v>
      </c>
      <c r="C2" s="134">
        <v>45694</v>
      </c>
      <c r="D2" s="134">
        <v>45694</v>
      </c>
      <c r="E2" s="141"/>
    </row>
    <row r="3" spans="1:9" x14ac:dyDescent="0.4">
      <c r="A3" s="137">
        <v>2</v>
      </c>
      <c r="B3" s="133" t="s">
        <v>320</v>
      </c>
      <c r="C3" s="134">
        <v>45698</v>
      </c>
      <c r="D3" s="134">
        <v>45698</v>
      </c>
      <c r="E3" s="133" t="s">
        <v>7</v>
      </c>
    </row>
    <row r="4" spans="1:9" x14ac:dyDescent="0.4">
      <c r="A4" s="137">
        <v>3</v>
      </c>
      <c r="B4" s="133" t="s">
        <v>321</v>
      </c>
      <c r="C4" s="134">
        <v>45698</v>
      </c>
      <c r="D4" s="134">
        <v>45698</v>
      </c>
      <c r="E4" s="133" t="s">
        <v>7</v>
      </c>
    </row>
    <row r="5" spans="1:9" x14ac:dyDescent="0.4">
      <c r="A5" s="137">
        <v>4</v>
      </c>
      <c r="B5" s="133" t="s">
        <v>322</v>
      </c>
      <c r="C5" s="134">
        <v>45721</v>
      </c>
      <c r="D5" s="134">
        <v>45721</v>
      </c>
      <c r="E5" s="133" t="s">
        <v>7</v>
      </c>
    </row>
    <row r="6" spans="1:9" x14ac:dyDescent="0.4">
      <c r="A6" s="137">
        <v>5</v>
      </c>
      <c r="B6" s="133" t="s">
        <v>323</v>
      </c>
      <c r="C6" s="134">
        <v>45730</v>
      </c>
      <c r="D6" s="134">
        <v>45730</v>
      </c>
      <c r="E6" s="133" t="s">
        <v>7</v>
      </c>
    </row>
    <row r="7" spans="1:9" x14ac:dyDescent="0.4">
      <c r="A7" s="137">
        <v>6</v>
      </c>
      <c r="B7" s="133" t="s">
        <v>324</v>
      </c>
      <c r="C7" s="134">
        <v>45709</v>
      </c>
      <c r="D7" s="134">
        <v>45709</v>
      </c>
      <c r="E7" s="133" t="s">
        <v>7</v>
      </c>
    </row>
    <row r="8" spans="1:9" ht="32" x14ac:dyDescent="0.4">
      <c r="A8" s="137">
        <v>7</v>
      </c>
      <c r="B8" s="133" t="s">
        <v>325</v>
      </c>
      <c r="C8" s="134">
        <v>45733</v>
      </c>
      <c r="D8" s="134">
        <v>45733</v>
      </c>
      <c r="E8" s="133" t="s">
        <v>7</v>
      </c>
    </row>
    <row r="9" spans="1:9" x14ac:dyDescent="0.4">
      <c r="A9" s="137">
        <v>8</v>
      </c>
      <c r="B9" s="133" t="s">
        <v>326</v>
      </c>
      <c r="C9" s="134">
        <v>45758</v>
      </c>
      <c r="D9" s="134">
        <v>45749</v>
      </c>
      <c r="E9" s="133" t="s">
        <v>7</v>
      </c>
    </row>
    <row r="10" spans="1:9" s="131" customFormat="1" ht="32" x14ac:dyDescent="0.35">
      <c r="A10" s="137">
        <v>9</v>
      </c>
      <c r="B10" s="139" t="s">
        <v>327</v>
      </c>
      <c r="C10" s="138">
        <v>45754</v>
      </c>
      <c r="D10" s="138">
        <v>45793</v>
      </c>
      <c r="E10" s="139" t="s">
        <v>7</v>
      </c>
    </row>
    <row r="11" spans="1:9" x14ac:dyDescent="0.4">
      <c r="A11" s="137">
        <v>10</v>
      </c>
      <c r="B11" s="133" t="s">
        <v>328</v>
      </c>
      <c r="C11" s="134">
        <v>45730</v>
      </c>
      <c r="D11" s="134">
        <v>45730</v>
      </c>
      <c r="E11" s="133" t="s">
        <v>7</v>
      </c>
    </row>
    <row r="12" spans="1:9" x14ac:dyDescent="0.4">
      <c r="A12" s="137">
        <v>11</v>
      </c>
      <c r="B12" s="133" t="s">
        <v>329</v>
      </c>
      <c r="C12" s="134">
        <v>45735</v>
      </c>
      <c r="D12" s="134">
        <v>45735</v>
      </c>
      <c r="E12" s="133" t="s">
        <v>7</v>
      </c>
    </row>
    <row r="13" spans="1:9" x14ac:dyDescent="0.4">
      <c r="A13" s="137">
        <v>12</v>
      </c>
      <c r="B13" s="133" t="s">
        <v>330</v>
      </c>
      <c r="C13" s="134">
        <v>45762</v>
      </c>
      <c r="D13" s="134">
        <v>45777</v>
      </c>
      <c r="E13" s="133" t="s">
        <v>7</v>
      </c>
    </row>
    <row r="14" spans="1:9" x14ac:dyDescent="0.4">
      <c r="A14" s="137">
        <v>13</v>
      </c>
      <c r="B14" s="133" t="s">
        <v>312</v>
      </c>
      <c r="C14" s="134">
        <v>45760</v>
      </c>
      <c r="D14" s="134">
        <v>45757</v>
      </c>
      <c r="E14" s="133" t="s">
        <v>7</v>
      </c>
      <c r="I14" s="195"/>
    </row>
    <row r="15" spans="1:9" x14ac:dyDescent="0.4">
      <c r="A15" s="137">
        <v>14</v>
      </c>
      <c r="B15" s="133" t="s">
        <v>313</v>
      </c>
      <c r="C15" s="134">
        <v>45773</v>
      </c>
      <c r="D15" s="134">
        <v>45815</v>
      </c>
      <c r="E15" s="133" t="s">
        <v>7</v>
      </c>
      <c r="I15" s="195"/>
    </row>
    <row r="16" spans="1:9" x14ac:dyDescent="0.4">
      <c r="A16" s="128">
        <v>15</v>
      </c>
      <c r="B16" s="125" t="s">
        <v>331</v>
      </c>
      <c r="C16" s="126">
        <f>C15+28</f>
        <v>45801</v>
      </c>
      <c r="D16" s="126">
        <v>45837</v>
      </c>
      <c r="E16" s="305" t="s">
        <v>843</v>
      </c>
    </row>
    <row r="17" spans="1:5" x14ac:dyDescent="0.4">
      <c r="A17" s="132" t="s">
        <v>316</v>
      </c>
      <c r="B17" s="122" t="s">
        <v>341</v>
      </c>
      <c r="C17" s="122" t="s">
        <v>317</v>
      </c>
      <c r="D17" s="122" t="s">
        <v>318</v>
      </c>
      <c r="E17" s="122" t="s">
        <v>319</v>
      </c>
    </row>
    <row r="18" spans="1:5" s="131" customFormat="1" x14ac:dyDescent="0.35">
      <c r="A18" s="137">
        <v>1</v>
      </c>
      <c r="B18" s="139" t="s">
        <v>398</v>
      </c>
      <c r="C18" s="316">
        <v>45760</v>
      </c>
      <c r="D18" s="316">
        <v>45752</v>
      </c>
      <c r="E18" s="318" t="s">
        <v>7</v>
      </c>
    </row>
    <row r="19" spans="1:5" s="131" customFormat="1" x14ac:dyDescent="0.35">
      <c r="A19" s="137">
        <f>+SUM(A18+1)</f>
        <v>2</v>
      </c>
      <c r="B19" s="139" t="s">
        <v>849</v>
      </c>
      <c r="C19" s="316">
        <v>45833</v>
      </c>
      <c r="D19" s="316">
        <v>45837</v>
      </c>
      <c r="E19" s="318" t="s">
        <v>7</v>
      </c>
    </row>
    <row r="20" spans="1:5" s="131" customFormat="1" ht="32" x14ac:dyDescent="0.35">
      <c r="A20" s="137">
        <f t="shared" ref="A20:A25" si="0">+SUM(A19+1)</f>
        <v>3</v>
      </c>
      <c r="B20" s="139" t="s">
        <v>332</v>
      </c>
      <c r="C20" s="316">
        <v>45783</v>
      </c>
      <c r="D20" s="316">
        <v>45838</v>
      </c>
      <c r="E20" s="318" t="s">
        <v>7</v>
      </c>
    </row>
    <row r="21" spans="1:5" s="131" customFormat="1" x14ac:dyDescent="0.35">
      <c r="A21" s="137">
        <f t="shared" si="0"/>
        <v>4</v>
      </c>
      <c r="B21" s="139" t="s">
        <v>333</v>
      </c>
      <c r="C21" s="316">
        <v>45767</v>
      </c>
      <c r="D21" s="316">
        <v>45767</v>
      </c>
      <c r="E21" s="318" t="s">
        <v>7</v>
      </c>
    </row>
    <row r="22" spans="1:5" s="131" customFormat="1" x14ac:dyDescent="0.35">
      <c r="A22" s="137">
        <f t="shared" si="0"/>
        <v>5</v>
      </c>
      <c r="B22" s="139" t="s">
        <v>334</v>
      </c>
      <c r="C22" s="316">
        <v>45767</v>
      </c>
      <c r="D22" s="316">
        <v>45752</v>
      </c>
      <c r="E22" s="318" t="s">
        <v>7</v>
      </c>
    </row>
    <row r="23" spans="1:5" s="131" customFormat="1" x14ac:dyDescent="0.35">
      <c r="A23" s="137">
        <f t="shared" si="0"/>
        <v>6</v>
      </c>
      <c r="B23" s="139" t="s">
        <v>335</v>
      </c>
      <c r="C23" s="316">
        <v>45762</v>
      </c>
      <c r="D23" s="316">
        <v>45740</v>
      </c>
      <c r="E23" s="318" t="s">
        <v>336</v>
      </c>
    </row>
    <row r="24" spans="1:5" s="131" customFormat="1" x14ac:dyDescent="0.35">
      <c r="A24" s="337">
        <f t="shared" si="0"/>
        <v>7</v>
      </c>
      <c r="B24" s="129" t="s">
        <v>337</v>
      </c>
      <c r="C24" s="317">
        <v>45774</v>
      </c>
      <c r="D24" s="317">
        <v>45838</v>
      </c>
      <c r="E24" s="305" t="s">
        <v>843</v>
      </c>
    </row>
    <row r="25" spans="1:5" s="131" customFormat="1" x14ac:dyDescent="0.35">
      <c r="A25" s="137">
        <f t="shared" si="0"/>
        <v>8</v>
      </c>
      <c r="B25" s="139" t="s">
        <v>338</v>
      </c>
      <c r="C25" s="316">
        <v>45774</v>
      </c>
      <c r="D25" s="316">
        <v>45838</v>
      </c>
      <c r="E25" s="318" t="s">
        <v>7</v>
      </c>
    </row>
    <row r="26" spans="1:5" s="131" customFormat="1" x14ac:dyDescent="0.35">
      <c r="A26" s="137">
        <f>+SUM(A25+1)</f>
        <v>9</v>
      </c>
      <c r="B26" s="330" t="s">
        <v>339</v>
      </c>
      <c r="C26" s="331">
        <v>45764</v>
      </c>
      <c r="D26" s="331">
        <v>45838</v>
      </c>
      <c r="E26" s="305" t="s">
        <v>843</v>
      </c>
    </row>
    <row r="27" spans="1:5" x14ac:dyDescent="0.4">
      <c r="A27" s="132" t="s">
        <v>316</v>
      </c>
      <c r="B27" s="122" t="s">
        <v>852</v>
      </c>
      <c r="C27" s="122" t="s">
        <v>317</v>
      </c>
      <c r="D27" s="122" t="s">
        <v>318</v>
      </c>
      <c r="E27" s="122" t="s">
        <v>319</v>
      </c>
    </row>
    <row r="28" spans="1:5" x14ac:dyDescent="0.4">
      <c r="A28" s="337">
        <v>1</v>
      </c>
      <c r="B28" s="123" t="s">
        <v>851</v>
      </c>
      <c r="D28" s="329">
        <v>45836</v>
      </c>
      <c r="E28" s="305" t="s">
        <v>843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8B9A-E5CE-462F-B599-540AC12CAB26}">
  <dimension ref="A1:MM139"/>
  <sheetViews>
    <sheetView zoomScale="115" zoomScaleNormal="115" workbookViewId="0">
      <pane xSplit="6" topLeftCell="MB1" activePane="topRight" state="frozen"/>
      <selection activeCell="E10" sqref="E10"/>
      <selection pane="topRight" activeCell="E10" sqref="E10"/>
    </sheetView>
  </sheetViews>
  <sheetFormatPr defaultColWidth="9.1796875" defaultRowHeight="16" x14ac:dyDescent="0.4"/>
  <cols>
    <col min="1" max="1" width="13.54296875" style="29" bestFit="1" customWidth="1"/>
    <col min="2" max="2" width="22.81640625" style="29" customWidth="1"/>
    <col min="3" max="3" width="16.81640625" style="29" customWidth="1"/>
    <col min="4" max="4" width="20.7265625" style="29" customWidth="1"/>
    <col min="5" max="5" width="20.7265625" style="48" customWidth="1"/>
    <col min="6" max="6" width="9.81640625" style="47" customWidth="1"/>
    <col min="7" max="13" width="8.453125" style="36" bestFit="1" customWidth="1"/>
    <col min="14" max="14" width="9.54296875" style="36" bestFit="1" customWidth="1"/>
    <col min="15" max="26" width="9.1796875" style="36"/>
    <col min="27" max="44" width="9.54296875" style="36" bestFit="1" customWidth="1"/>
    <col min="45" max="50" width="9.1796875" style="36"/>
    <col min="51" max="53" width="8.453125" style="36" bestFit="1" customWidth="1"/>
    <col min="54" max="67" width="8.81640625" style="36" bestFit="1" customWidth="1"/>
    <col min="6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40" width="8.81640625" style="36" bestFit="1" customWidth="1"/>
    <col min="341" max="351" width="9.54296875" style="36" bestFit="1" customWidth="1"/>
    <col min="352" max="16384" width="9.1796875" style="36"/>
  </cols>
  <sheetData>
    <row r="1" spans="1:351" s="23" customFormat="1" x14ac:dyDescent="0.35">
      <c r="A1" s="50" t="s">
        <v>63</v>
      </c>
      <c r="B1" s="350" t="s">
        <v>94</v>
      </c>
      <c r="C1" s="351"/>
      <c r="D1" s="352"/>
      <c r="E1" s="22"/>
    </row>
    <row r="2" spans="1:351" s="23" customFormat="1" x14ac:dyDescent="0.35">
      <c r="A2" s="24" t="s">
        <v>64</v>
      </c>
      <c r="B2" s="353" t="s">
        <v>95</v>
      </c>
      <c r="C2" s="354"/>
      <c r="D2" s="355"/>
      <c r="E2" s="22"/>
    </row>
    <row r="3" spans="1:351" s="23" customFormat="1" ht="16.5" thickBot="1" x14ac:dyDescent="0.4">
      <c r="A3" s="25" t="s">
        <v>65</v>
      </c>
      <c r="B3" s="356">
        <f>'[1]Project Overview'!P1</f>
        <v>45702</v>
      </c>
      <c r="C3" s="357"/>
      <c r="D3" s="358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7"/>
      <c r="LW3" s="27"/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</row>
    <row r="4" spans="1:351" s="23" customFormat="1" x14ac:dyDescent="0.35">
      <c r="E4" s="26"/>
      <c r="F4" s="27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</row>
    <row r="5" spans="1:351" s="29" customFormat="1" x14ac:dyDescent="0.4">
      <c r="A5" s="359" t="s">
        <v>66</v>
      </c>
      <c r="B5" s="359" t="s">
        <v>67</v>
      </c>
      <c r="C5" s="360" t="s">
        <v>68</v>
      </c>
      <c r="D5" s="359" t="s">
        <v>69</v>
      </c>
      <c r="E5" s="87">
        <f>B3</f>
        <v>45702</v>
      </c>
      <c r="F5" s="88" t="s">
        <v>70</v>
      </c>
      <c r="G5" s="89">
        <v>45703</v>
      </c>
      <c r="H5" s="89">
        <f t="shared" ref="H5:AZ5" si="0">G5+1</f>
        <v>45704</v>
      </c>
      <c r="I5" s="89">
        <f t="shared" si="0"/>
        <v>45705</v>
      </c>
      <c r="J5" s="89">
        <f t="shared" si="0"/>
        <v>45706</v>
      </c>
      <c r="K5" s="89">
        <f t="shared" si="0"/>
        <v>45707</v>
      </c>
      <c r="L5" s="89">
        <f t="shared" si="0"/>
        <v>45708</v>
      </c>
      <c r="M5" s="89">
        <f t="shared" si="0"/>
        <v>45709</v>
      </c>
      <c r="N5" s="89">
        <f t="shared" si="0"/>
        <v>45710</v>
      </c>
      <c r="O5" s="89">
        <f t="shared" si="0"/>
        <v>45711</v>
      </c>
      <c r="P5" s="89">
        <f t="shared" si="0"/>
        <v>45712</v>
      </c>
      <c r="Q5" s="89">
        <f t="shared" si="0"/>
        <v>45713</v>
      </c>
      <c r="R5" s="89">
        <f t="shared" si="0"/>
        <v>45714</v>
      </c>
      <c r="S5" s="89">
        <f t="shared" si="0"/>
        <v>45715</v>
      </c>
      <c r="T5" s="89">
        <f t="shared" si="0"/>
        <v>45716</v>
      </c>
      <c r="U5" s="89">
        <f t="shared" si="0"/>
        <v>45717</v>
      </c>
      <c r="V5" s="89">
        <f t="shared" si="0"/>
        <v>45718</v>
      </c>
      <c r="W5" s="89">
        <f t="shared" si="0"/>
        <v>45719</v>
      </c>
      <c r="X5" s="89">
        <f t="shared" si="0"/>
        <v>45720</v>
      </c>
      <c r="Y5" s="89">
        <f t="shared" si="0"/>
        <v>45721</v>
      </c>
      <c r="Z5" s="89">
        <f t="shared" si="0"/>
        <v>45722</v>
      </c>
      <c r="AA5" s="89">
        <f t="shared" si="0"/>
        <v>45723</v>
      </c>
      <c r="AB5" s="89">
        <f t="shared" si="0"/>
        <v>45724</v>
      </c>
      <c r="AC5" s="89">
        <f t="shared" si="0"/>
        <v>45725</v>
      </c>
      <c r="AD5" s="89">
        <f t="shared" si="0"/>
        <v>45726</v>
      </c>
      <c r="AE5" s="89">
        <f t="shared" si="0"/>
        <v>45727</v>
      </c>
      <c r="AF5" s="89">
        <f t="shared" si="0"/>
        <v>45728</v>
      </c>
      <c r="AG5" s="89">
        <f t="shared" si="0"/>
        <v>45729</v>
      </c>
      <c r="AH5" s="89">
        <f t="shared" si="0"/>
        <v>45730</v>
      </c>
      <c r="AI5" s="89">
        <f t="shared" si="0"/>
        <v>45731</v>
      </c>
      <c r="AJ5" s="89">
        <f t="shared" si="0"/>
        <v>45732</v>
      </c>
      <c r="AK5" s="89">
        <f t="shared" si="0"/>
        <v>45733</v>
      </c>
      <c r="AL5" s="89">
        <f t="shared" si="0"/>
        <v>45734</v>
      </c>
      <c r="AM5" s="89">
        <f t="shared" si="0"/>
        <v>45735</v>
      </c>
      <c r="AN5" s="89">
        <f t="shared" si="0"/>
        <v>45736</v>
      </c>
      <c r="AO5" s="89">
        <f t="shared" si="0"/>
        <v>45737</v>
      </c>
      <c r="AP5" s="89">
        <f t="shared" si="0"/>
        <v>45738</v>
      </c>
      <c r="AQ5" s="89">
        <f t="shared" si="0"/>
        <v>45739</v>
      </c>
      <c r="AR5" s="89">
        <f t="shared" si="0"/>
        <v>45740</v>
      </c>
      <c r="AS5" s="89">
        <f t="shared" si="0"/>
        <v>45741</v>
      </c>
      <c r="AT5" s="89">
        <f t="shared" si="0"/>
        <v>45742</v>
      </c>
      <c r="AU5" s="89">
        <f t="shared" si="0"/>
        <v>45743</v>
      </c>
      <c r="AV5" s="89">
        <f t="shared" si="0"/>
        <v>45744</v>
      </c>
      <c r="AW5" s="89">
        <f t="shared" si="0"/>
        <v>45745</v>
      </c>
      <c r="AX5" s="89">
        <f t="shared" si="0"/>
        <v>45746</v>
      </c>
      <c r="AY5" s="89">
        <f t="shared" si="0"/>
        <v>45747</v>
      </c>
      <c r="AZ5" s="89">
        <f t="shared" si="0"/>
        <v>45748</v>
      </c>
      <c r="BA5" s="89">
        <f t="shared" ref="BA5:DL5" si="1">AZ5+1</f>
        <v>45749</v>
      </c>
      <c r="BB5" s="89">
        <f t="shared" si="1"/>
        <v>45750</v>
      </c>
      <c r="BC5" s="89">
        <f t="shared" si="1"/>
        <v>45751</v>
      </c>
      <c r="BD5" s="89">
        <f t="shared" si="1"/>
        <v>45752</v>
      </c>
      <c r="BE5" s="89">
        <f t="shared" si="1"/>
        <v>45753</v>
      </c>
      <c r="BF5" s="89">
        <f t="shared" si="1"/>
        <v>45754</v>
      </c>
      <c r="BG5" s="89">
        <f t="shared" si="1"/>
        <v>45755</v>
      </c>
      <c r="BH5" s="89">
        <f t="shared" si="1"/>
        <v>45756</v>
      </c>
      <c r="BI5" s="89">
        <f t="shared" si="1"/>
        <v>45757</v>
      </c>
      <c r="BJ5" s="89">
        <f t="shared" si="1"/>
        <v>45758</v>
      </c>
      <c r="BK5" s="89">
        <f t="shared" si="1"/>
        <v>45759</v>
      </c>
      <c r="BL5" s="89">
        <f t="shared" si="1"/>
        <v>45760</v>
      </c>
      <c r="BM5" s="89">
        <f t="shared" si="1"/>
        <v>45761</v>
      </c>
      <c r="BN5" s="89">
        <f t="shared" si="1"/>
        <v>45762</v>
      </c>
      <c r="BO5" s="89">
        <f t="shared" si="1"/>
        <v>45763</v>
      </c>
      <c r="BP5" s="89">
        <f t="shared" si="1"/>
        <v>45764</v>
      </c>
      <c r="BQ5" s="89">
        <f t="shared" si="1"/>
        <v>45765</v>
      </c>
      <c r="BR5" s="89">
        <f t="shared" si="1"/>
        <v>45766</v>
      </c>
      <c r="BS5" s="89">
        <f t="shared" si="1"/>
        <v>45767</v>
      </c>
      <c r="BT5" s="89">
        <f t="shared" si="1"/>
        <v>45768</v>
      </c>
      <c r="BU5" s="89">
        <f t="shared" si="1"/>
        <v>45769</v>
      </c>
      <c r="BV5" s="89">
        <f t="shared" si="1"/>
        <v>45770</v>
      </c>
      <c r="BW5" s="89">
        <f t="shared" si="1"/>
        <v>45771</v>
      </c>
      <c r="BX5" s="89">
        <f t="shared" si="1"/>
        <v>45772</v>
      </c>
      <c r="BY5" s="89">
        <f t="shared" si="1"/>
        <v>45773</v>
      </c>
      <c r="BZ5" s="89">
        <f t="shared" si="1"/>
        <v>45774</v>
      </c>
      <c r="CA5" s="89">
        <f t="shared" si="1"/>
        <v>45775</v>
      </c>
      <c r="CB5" s="89">
        <f t="shared" si="1"/>
        <v>45776</v>
      </c>
      <c r="CC5" s="89">
        <f t="shared" si="1"/>
        <v>45777</v>
      </c>
      <c r="CD5" s="89">
        <f t="shared" si="1"/>
        <v>45778</v>
      </c>
      <c r="CE5" s="89">
        <f t="shared" si="1"/>
        <v>45779</v>
      </c>
      <c r="CF5" s="89">
        <f t="shared" si="1"/>
        <v>45780</v>
      </c>
      <c r="CG5" s="89">
        <f t="shared" si="1"/>
        <v>45781</v>
      </c>
      <c r="CH5" s="89">
        <f t="shared" si="1"/>
        <v>45782</v>
      </c>
      <c r="CI5" s="89">
        <f t="shared" si="1"/>
        <v>45783</v>
      </c>
      <c r="CJ5" s="89">
        <f t="shared" si="1"/>
        <v>45784</v>
      </c>
      <c r="CK5" s="89">
        <f t="shared" si="1"/>
        <v>45785</v>
      </c>
      <c r="CL5" s="89">
        <f t="shared" si="1"/>
        <v>45786</v>
      </c>
      <c r="CM5" s="89">
        <f t="shared" si="1"/>
        <v>45787</v>
      </c>
      <c r="CN5" s="89">
        <f t="shared" si="1"/>
        <v>45788</v>
      </c>
      <c r="CO5" s="89">
        <f t="shared" si="1"/>
        <v>45789</v>
      </c>
      <c r="CP5" s="89">
        <f t="shared" si="1"/>
        <v>45790</v>
      </c>
      <c r="CQ5" s="89">
        <f t="shared" si="1"/>
        <v>45791</v>
      </c>
      <c r="CR5" s="89">
        <f t="shared" si="1"/>
        <v>45792</v>
      </c>
      <c r="CS5" s="89">
        <f t="shared" si="1"/>
        <v>45793</v>
      </c>
      <c r="CT5" s="89">
        <f t="shared" si="1"/>
        <v>45794</v>
      </c>
      <c r="CU5" s="89">
        <f t="shared" si="1"/>
        <v>45795</v>
      </c>
      <c r="CV5" s="89">
        <f t="shared" si="1"/>
        <v>45796</v>
      </c>
      <c r="CW5" s="89">
        <f t="shared" si="1"/>
        <v>45797</v>
      </c>
      <c r="CX5" s="89">
        <f t="shared" si="1"/>
        <v>45798</v>
      </c>
      <c r="CY5" s="89">
        <f t="shared" si="1"/>
        <v>45799</v>
      </c>
      <c r="CZ5" s="89">
        <f t="shared" si="1"/>
        <v>45800</v>
      </c>
      <c r="DA5" s="89">
        <f t="shared" si="1"/>
        <v>45801</v>
      </c>
      <c r="DB5" s="89">
        <f t="shared" si="1"/>
        <v>45802</v>
      </c>
      <c r="DC5" s="89">
        <f t="shared" si="1"/>
        <v>45803</v>
      </c>
      <c r="DD5" s="89">
        <f t="shared" si="1"/>
        <v>45804</v>
      </c>
      <c r="DE5" s="89">
        <f t="shared" si="1"/>
        <v>45805</v>
      </c>
      <c r="DF5" s="89">
        <f t="shared" si="1"/>
        <v>45806</v>
      </c>
      <c r="DG5" s="89">
        <f t="shared" si="1"/>
        <v>45807</v>
      </c>
      <c r="DH5" s="89">
        <f t="shared" si="1"/>
        <v>45808</v>
      </c>
      <c r="DI5" s="89">
        <f t="shared" si="1"/>
        <v>45809</v>
      </c>
      <c r="DJ5" s="89">
        <f t="shared" si="1"/>
        <v>45810</v>
      </c>
      <c r="DK5" s="89">
        <f t="shared" si="1"/>
        <v>45811</v>
      </c>
      <c r="DL5" s="89">
        <f t="shared" si="1"/>
        <v>45812</v>
      </c>
      <c r="DM5" s="89">
        <f t="shared" ref="DM5:FX5" si="2">DL5+1</f>
        <v>45813</v>
      </c>
      <c r="DN5" s="89">
        <f t="shared" si="2"/>
        <v>45814</v>
      </c>
      <c r="DO5" s="89">
        <f t="shared" si="2"/>
        <v>45815</v>
      </c>
      <c r="DP5" s="89">
        <f t="shared" si="2"/>
        <v>45816</v>
      </c>
      <c r="DQ5" s="89">
        <f t="shared" si="2"/>
        <v>45817</v>
      </c>
      <c r="DR5" s="89">
        <f t="shared" si="2"/>
        <v>45818</v>
      </c>
      <c r="DS5" s="89">
        <f t="shared" si="2"/>
        <v>45819</v>
      </c>
      <c r="DT5" s="89">
        <f t="shared" si="2"/>
        <v>45820</v>
      </c>
      <c r="DU5" s="89">
        <f t="shared" si="2"/>
        <v>45821</v>
      </c>
      <c r="DV5" s="89">
        <f t="shared" si="2"/>
        <v>45822</v>
      </c>
      <c r="DW5" s="89">
        <f t="shared" si="2"/>
        <v>45823</v>
      </c>
      <c r="DX5" s="89">
        <f t="shared" si="2"/>
        <v>45824</v>
      </c>
      <c r="DY5" s="89">
        <f t="shared" si="2"/>
        <v>45825</v>
      </c>
      <c r="DZ5" s="89">
        <f t="shared" si="2"/>
        <v>45826</v>
      </c>
      <c r="EA5" s="89">
        <f t="shared" si="2"/>
        <v>45827</v>
      </c>
      <c r="EB5" s="89">
        <f t="shared" si="2"/>
        <v>45828</v>
      </c>
      <c r="EC5" s="89">
        <f t="shared" si="2"/>
        <v>45829</v>
      </c>
      <c r="ED5" s="89">
        <f t="shared" si="2"/>
        <v>45830</v>
      </c>
      <c r="EE5" s="89">
        <f t="shared" si="2"/>
        <v>45831</v>
      </c>
      <c r="EF5" s="89">
        <f t="shared" si="2"/>
        <v>45832</v>
      </c>
      <c r="EG5" s="89">
        <f t="shared" si="2"/>
        <v>45833</v>
      </c>
      <c r="EH5" s="89">
        <f t="shared" si="2"/>
        <v>45834</v>
      </c>
      <c r="EI5" s="89">
        <f t="shared" si="2"/>
        <v>45835</v>
      </c>
      <c r="EJ5" s="89">
        <f t="shared" si="2"/>
        <v>45836</v>
      </c>
      <c r="EK5" s="89">
        <f t="shared" si="2"/>
        <v>45837</v>
      </c>
      <c r="EL5" s="89">
        <f t="shared" si="2"/>
        <v>45838</v>
      </c>
      <c r="EM5" s="89">
        <f t="shared" si="2"/>
        <v>45839</v>
      </c>
      <c r="EN5" s="89">
        <f t="shared" si="2"/>
        <v>45840</v>
      </c>
      <c r="EO5" s="89">
        <f t="shared" si="2"/>
        <v>45841</v>
      </c>
      <c r="EP5" s="89">
        <f t="shared" si="2"/>
        <v>45842</v>
      </c>
      <c r="EQ5" s="89">
        <f t="shared" si="2"/>
        <v>45843</v>
      </c>
      <c r="ER5" s="89">
        <f t="shared" si="2"/>
        <v>45844</v>
      </c>
      <c r="ES5" s="89">
        <f t="shared" si="2"/>
        <v>45845</v>
      </c>
      <c r="ET5" s="89">
        <f t="shared" si="2"/>
        <v>45846</v>
      </c>
      <c r="EU5" s="89">
        <f t="shared" si="2"/>
        <v>45847</v>
      </c>
      <c r="EV5" s="89">
        <f t="shared" si="2"/>
        <v>45848</v>
      </c>
      <c r="EW5" s="89">
        <f t="shared" si="2"/>
        <v>45849</v>
      </c>
      <c r="EX5" s="89">
        <f t="shared" si="2"/>
        <v>45850</v>
      </c>
      <c r="EY5" s="89">
        <f t="shared" si="2"/>
        <v>45851</v>
      </c>
      <c r="EZ5" s="89">
        <f t="shared" si="2"/>
        <v>45852</v>
      </c>
      <c r="FA5" s="89">
        <f t="shared" si="2"/>
        <v>45853</v>
      </c>
      <c r="FB5" s="89">
        <f t="shared" si="2"/>
        <v>45854</v>
      </c>
      <c r="FC5" s="89">
        <f t="shared" si="2"/>
        <v>45855</v>
      </c>
      <c r="FD5" s="89">
        <f t="shared" si="2"/>
        <v>45856</v>
      </c>
      <c r="FE5" s="89">
        <f t="shared" si="2"/>
        <v>45857</v>
      </c>
      <c r="FF5" s="89">
        <f t="shared" si="2"/>
        <v>45858</v>
      </c>
      <c r="FG5" s="89">
        <f t="shared" si="2"/>
        <v>45859</v>
      </c>
      <c r="FH5" s="89">
        <f t="shared" si="2"/>
        <v>45860</v>
      </c>
      <c r="FI5" s="89">
        <f t="shared" si="2"/>
        <v>45861</v>
      </c>
      <c r="FJ5" s="89">
        <f t="shared" si="2"/>
        <v>45862</v>
      </c>
      <c r="FK5" s="89">
        <f t="shared" si="2"/>
        <v>45863</v>
      </c>
      <c r="FL5" s="89">
        <f t="shared" si="2"/>
        <v>45864</v>
      </c>
      <c r="FM5" s="89">
        <f t="shared" si="2"/>
        <v>45865</v>
      </c>
      <c r="FN5" s="89">
        <f t="shared" si="2"/>
        <v>45866</v>
      </c>
      <c r="FO5" s="89">
        <f t="shared" si="2"/>
        <v>45867</v>
      </c>
      <c r="FP5" s="89">
        <f t="shared" si="2"/>
        <v>45868</v>
      </c>
      <c r="FQ5" s="89">
        <f t="shared" si="2"/>
        <v>45869</v>
      </c>
      <c r="FR5" s="89">
        <f t="shared" si="2"/>
        <v>45870</v>
      </c>
      <c r="FS5" s="89">
        <f t="shared" si="2"/>
        <v>45871</v>
      </c>
      <c r="FT5" s="89">
        <f t="shared" si="2"/>
        <v>45872</v>
      </c>
      <c r="FU5" s="89">
        <f t="shared" si="2"/>
        <v>45873</v>
      </c>
      <c r="FV5" s="89">
        <f t="shared" si="2"/>
        <v>45874</v>
      </c>
      <c r="FW5" s="89">
        <f t="shared" si="2"/>
        <v>45875</v>
      </c>
      <c r="FX5" s="89">
        <f t="shared" si="2"/>
        <v>45876</v>
      </c>
      <c r="FY5" s="89">
        <f t="shared" ref="FY5:IJ5" si="3">FX5+1</f>
        <v>45877</v>
      </c>
      <c r="FZ5" s="89">
        <f t="shared" si="3"/>
        <v>45878</v>
      </c>
      <c r="GA5" s="89">
        <f t="shared" si="3"/>
        <v>45879</v>
      </c>
      <c r="GB5" s="89">
        <f t="shared" si="3"/>
        <v>45880</v>
      </c>
      <c r="GC5" s="89">
        <f t="shared" si="3"/>
        <v>45881</v>
      </c>
      <c r="GD5" s="89">
        <f t="shared" si="3"/>
        <v>45882</v>
      </c>
      <c r="GE5" s="89">
        <f t="shared" si="3"/>
        <v>45883</v>
      </c>
      <c r="GF5" s="89">
        <f t="shared" si="3"/>
        <v>45884</v>
      </c>
      <c r="GG5" s="89">
        <f t="shared" si="3"/>
        <v>45885</v>
      </c>
      <c r="GH5" s="89">
        <f t="shared" si="3"/>
        <v>45886</v>
      </c>
      <c r="GI5" s="89">
        <f t="shared" si="3"/>
        <v>45887</v>
      </c>
      <c r="GJ5" s="89">
        <f t="shared" si="3"/>
        <v>45888</v>
      </c>
      <c r="GK5" s="89">
        <f t="shared" si="3"/>
        <v>45889</v>
      </c>
      <c r="GL5" s="89">
        <f t="shared" si="3"/>
        <v>45890</v>
      </c>
      <c r="GM5" s="89">
        <f t="shared" si="3"/>
        <v>45891</v>
      </c>
      <c r="GN5" s="89">
        <f t="shared" si="3"/>
        <v>45892</v>
      </c>
      <c r="GO5" s="89">
        <f t="shared" si="3"/>
        <v>45893</v>
      </c>
      <c r="GP5" s="89">
        <f t="shared" si="3"/>
        <v>45894</v>
      </c>
      <c r="GQ5" s="89">
        <f t="shared" si="3"/>
        <v>45895</v>
      </c>
      <c r="GR5" s="89">
        <f t="shared" si="3"/>
        <v>45896</v>
      </c>
      <c r="GS5" s="89">
        <f t="shared" si="3"/>
        <v>45897</v>
      </c>
      <c r="GT5" s="89">
        <f t="shared" si="3"/>
        <v>45898</v>
      </c>
      <c r="GU5" s="89">
        <f t="shared" si="3"/>
        <v>45899</v>
      </c>
      <c r="GV5" s="89">
        <f t="shared" si="3"/>
        <v>45900</v>
      </c>
      <c r="GW5" s="89">
        <f t="shared" si="3"/>
        <v>45901</v>
      </c>
      <c r="GX5" s="89">
        <f t="shared" si="3"/>
        <v>45902</v>
      </c>
      <c r="GY5" s="89">
        <f t="shared" si="3"/>
        <v>45903</v>
      </c>
      <c r="GZ5" s="89">
        <f t="shared" si="3"/>
        <v>45904</v>
      </c>
      <c r="HA5" s="89">
        <f t="shared" si="3"/>
        <v>45905</v>
      </c>
      <c r="HB5" s="89">
        <f t="shared" si="3"/>
        <v>45906</v>
      </c>
      <c r="HC5" s="89">
        <f t="shared" si="3"/>
        <v>45907</v>
      </c>
      <c r="HD5" s="89">
        <f t="shared" si="3"/>
        <v>45908</v>
      </c>
      <c r="HE5" s="89">
        <f t="shared" si="3"/>
        <v>45909</v>
      </c>
      <c r="HF5" s="89">
        <f t="shared" si="3"/>
        <v>45910</v>
      </c>
      <c r="HG5" s="89">
        <f t="shared" si="3"/>
        <v>45911</v>
      </c>
      <c r="HH5" s="89">
        <f t="shared" si="3"/>
        <v>45912</v>
      </c>
      <c r="HI5" s="89">
        <f t="shared" si="3"/>
        <v>45913</v>
      </c>
      <c r="HJ5" s="89">
        <f t="shared" si="3"/>
        <v>45914</v>
      </c>
      <c r="HK5" s="89">
        <f t="shared" si="3"/>
        <v>45915</v>
      </c>
      <c r="HL5" s="89">
        <f t="shared" si="3"/>
        <v>45916</v>
      </c>
      <c r="HM5" s="89">
        <f t="shared" si="3"/>
        <v>45917</v>
      </c>
      <c r="HN5" s="89">
        <f t="shared" si="3"/>
        <v>45918</v>
      </c>
      <c r="HO5" s="89">
        <f t="shared" si="3"/>
        <v>45919</v>
      </c>
      <c r="HP5" s="89">
        <f t="shared" si="3"/>
        <v>45920</v>
      </c>
      <c r="HQ5" s="89">
        <f t="shared" si="3"/>
        <v>45921</v>
      </c>
      <c r="HR5" s="89">
        <f t="shared" si="3"/>
        <v>45922</v>
      </c>
      <c r="HS5" s="89">
        <f t="shared" si="3"/>
        <v>45923</v>
      </c>
      <c r="HT5" s="89">
        <f t="shared" si="3"/>
        <v>45924</v>
      </c>
      <c r="HU5" s="89">
        <f t="shared" si="3"/>
        <v>45925</v>
      </c>
      <c r="HV5" s="89">
        <f t="shared" si="3"/>
        <v>45926</v>
      </c>
      <c r="HW5" s="89">
        <f t="shared" si="3"/>
        <v>45927</v>
      </c>
      <c r="HX5" s="89">
        <f t="shared" si="3"/>
        <v>45928</v>
      </c>
      <c r="HY5" s="89">
        <f t="shared" si="3"/>
        <v>45929</v>
      </c>
      <c r="HZ5" s="89">
        <f t="shared" si="3"/>
        <v>45930</v>
      </c>
      <c r="IA5" s="89">
        <f t="shared" si="3"/>
        <v>45931</v>
      </c>
      <c r="IB5" s="89">
        <f t="shared" si="3"/>
        <v>45932</v>
      </c>
      <c r="IC5" s="89">
        <f t="shared" si="3"/>
        <v>45933</v>
      </c>
      <c r="ID5" s="89">
        <f t="shared" si="3"/>
        <v>45934</v>
      </c>
      <c r="IE5" s="89">
        <f t="shared" si="3"/>
        <v>45935</v>
      </c>
      <c r="IF5" s="89">
        <f t="shared" si="3"/>
        <v>45936</v>
      </c>
      <c r="IG5" s="89">
        <f t="shared" si="3"/>
        <v>45937</v>
      </c>
      <c r="IH5" s="89">
        <f t="shared" si="3"/>
        <v>45938</v>
      </c>
      <c r="II5" s="89">
        <f t="shared" si="3"/>
        <v>45939</v>
      </c>
      <c r="IJ5" s="89">
        <f t="shared" si="3"/>
        <v>45940</v>
      </c>
      <c r="IK5" s="89">
        <f t="shared" ref="IK5:KV5" si="4">IJ5+1</f>
        <v>45941</v>
      </c>
      <c r="IL5" s="89">
        <f t="shared" si="4"/>
        <v>45942</v>
      </c>
      <c r="IM5" s="89">
        <f t="shared" si="4"/>
        <v>45943</v>
      </c>
      <c r="IN5" s="89">
        <f t="shared" si="4"/>
        <v>45944</v>
      </c>
      <c r="IO5" s="89">
        <f t="shared" si="4"/>
        <v>45945</v>
      </c>
      <c r="IP5" s="89">
        <f t="shared" si="4"/>
        <v>45946</v>
      </c>
      <c r="IQ5" s="89">
        <f t="shared" si="4"/>
        <v>45947</v>
      </c>
      <c r="IR5" s="89">
        <f t="shared" si="4"/>
        <v>45948</v>
      </c>
      <c r="IS5" s="89">
        <f t="shared" si="4"/>
        <v>45949</v>
      </c>
      <c r="IT5" s="89">
        <f t="shared" si="4"/>
        <v>45950</v>
      </c>
      <c r="IU5" s="89">
        <f t="shared" si="4"/>
        <v>45951</v>
      </c>
      <c r="IV5" s="89">
        <f t="shared" si="4"/>
        <v>45952</v>
      </c>
      <c r="IW5" s="89">
        <f t="shared" si="4"/>
        <v>45953</v>
      </c>
      <c r="IX5" s="89">
        <f t="shared" si="4"/>
        <v>45954</v>
      </c>
      <c r="IY5" s="89">
        <f t="shared" si="4"/>
        <v>45955</v>
      </c>
      <c r="IZ5" s="89">
        <f t="shared" si="4"/>
        <v>45956</v>
      </c>
      <c r="JA5" s="89">
        <f t="shared" si="4"/>
        <v>45957</v>
      </c>
      <c r="JB5" s="89">
        <f t="shared" si="4"/>
        <v>45958</v>
      </c>
      <c r="JC5" s="89">
        <f t="shared" si="4"/>
        <v>45959</v>
      </c>
      <c r="JD5" s="89">
        <f t="shared" si="4"/>
        <v>45960</v>
      </c>
      <c r="JE5" s="89">
        <f t="shared" si="4"/>
        <v>45961</v>
      </c>
      <c r="JF5" s="89">
        <f t="shared" si="4"/>
        <v>45962</v>
      </c>
      <c r="JG5" s="89">
        <f t="shared" si="4"/>
        <v>45963</v>
      </c>
      <c r="JH5" s="89">
        <f t="shared" si="4"/>
        <v>45964</v>
      </c>
      <c r="JI5" s="89">
        <f t="shared" si="4"/>
        <v>45965</v>
      </c>
      <c r="JJ5" s="89">
        <f t="shared" si="4"/>
        <v>45966</v>
      </c>
      <c r="JK5" s="89">
        <f t="shared" si="4"/>
        <v>45967</v>
      </c>
      <c r="JL5" s="89">
        <f t="shared" si="4"/>
        <v>45968</v>
      </c>
      <c r="JM5" s="89">
        <f t="shared" si="4"/>
        <v>45969</v>
      </c>
      <c r="JN5" s="89">
        <f t="shared" si="4"/>
        <v>45970</v>
      </c>
      <c r="JO5" s="89">
        <f t="shared" si="4"/>
        <v>45971</v>
      </c>
      <c r="JP5" s="89">
        <f t="shared" si="4"/>
        <v>45972</v>
      </c>
      <c r="JQ5" s="89">
        <f t="shared" si="4"/>
        <v>45973</v>
      </c>
      <c r="JR5" s="89">
        <f t="shared" si="4"/>
        <v>45974</v>
      </c>
      <c r="JS5" s="89">
        <f t="shared" si="4"/>
        <v>45975</v>
      </c>
      <c r="JT5" s="89">
        <f t="shared" si="4"/>
        <v>45976</v>
      </c>
      <c r="JU5" s="89">
        <f t="shared" si="4"/>
        <v>45977</v>
      </c>
      <c r="JV5" s="89">
        <f t="shared" si="4"/>
        <v>45978</v>
      </c>
      <c r="JW5" s="89">
        <f t="shared" si="4"/>
        <v>45979</v>
      </c>
      <c r="JX5" s="89">
        <f t="shared" si="4"/>
        <v>45980</v>
      </c>
      <c r="JY5" s="89">
        <f t="shared" si="4"/>
        <v>45981</v>
      </c>
      <c r="JZ5" s="89">
        <f t="shared" si="4"/>
        <v>45982</v>
      </c>
      <c r="KA5" s="89">
        <f t="shared" si="4"/>
        <v>45983</v>
      </c>
      <c r="KB5" s="89">
        <f t="shared" si="4"/>
        <v>45984</v>
      </c>
      <c r="KC5" s="89">
        <f t="shared" si="4"/>
        <v>45985</v>
      </c>
      <c r="KD5" s="89">
        <f t="shared" si="4"/>
        <v>45986</v>
      </c>
      <c r="KE5" s="89">
        <f t="shared" si="4"/>
        <v>45987</v>
      </c>
      <c r="KF5" s="89">
        <f t="shared" si="4"/>
        <v>45988</v>
      </c>
      <c r="KG5" s="89">
        <f t="shared" si="4"/>
        <v>45989</v>
      </c>
      <c r="KH5" s="89">
        <f t="shared" si="4"/>
        <v>45990</v>
      </c>
      <c r="KI5" s="89">
        <f t="shared" si="4"/>
        <v>45991</v>
      </c>
      <c r="KJ5" s="89">
        <f t="shared" si="4"/>
        <v>45992</v>
      </c>
      <c r="KK5" s="89">
        <f t="shared" si="4"/>
        <v>45993</v>
      </c>
      <c r="KL5" s="89">
        <f t="shared" si="4"/>
        <v>45994</v>
      </c>
      <c r="KM5" s="89">
        <f t="shared" si="4"/>
        <v>45995</v>
      </c>
      <c r="KN5" s="89">
        <f t="shared" si="4"/>
        <v>45996</v>
      </c>
      <c r="KO5" s="89">
        <f t="shared" si="4"/>
        <v>45997</v>
      </c>
      <c r="KP5" s="89">
        <f t="shared" si="4"/>
        <v>45998</v>
      </c>
      <c r="KQ5" s="89">
        <f t="shared" si="4"/>
        <v>45999</v>
      </c>
      <c r="KR5" s="89">
        <f t="shared" si="4"/>
        <v>46000</v>
      </c>
      <c r="KS5" s="89">
        <f t="shared" si="4"/>
        <v>46001</v>
      </c>
      <c r="KT5" s="89">
        <f t="shared" si="4"/>
        <v>46002</v>
      </c>
      <c r="KU5" s="89">
        <f t="shared" si="4"/>
        <v>46003</v>
      </c>
      <c r="KV5" s="89">
        <f t="shared" si="4"/>
        <v>46004</v>
      </c>
      <c r="KW5" s="89">
        <f t="shared" ref="KW5:MM5" si="5">KV5+1</f>
        <v>46005</v>
      </c>
      <c r="KX5" s="89">
        <f t="shared" si="5"/>
        <v>46006</v>
      </c>
      <c r="KY5" s="89">
        <f t="shared" si="5"/>
        <v>46007</v>
      </c>
      <c r="KZ5" s="89">
        <f t="shared" si="5"/>
        <v>46008</v>
      </c>
      <c r="LA5" s="89">
        <f t="shared" si="5"/>
        <v>46009</v>
      </c>
      <c r="LB5" s="89">
        <f t="shared" si="5"/>
        <v>46010</v>
      </c>
      <c r="LC5" s="89">
        <f t="shared" si="5"/>
        <v>46011</v>
      </c>
      <c r="LD5" s="89">
        <f t="shared" si="5"/>
        <v>46012</v>
      </c>
      <c r="LE5" s="89">
        <f t="shared" si="5"/>
        <v>46013</v>
      </c>
      <c r="LF5" s="89">
        <f t="shared" si="5"/>
        <v>46014</v>
      </c>
      <c r="LG5" s="89">
        <f t="shared" si="5"/>
        <v>46015</v>
      </c>
      <c r="LH5" s="89">
        <f t="shared" si="5"/>
        <v>46016</v>
      </c>
      <c r="LI5" s="89">
        <f t="shared" si="5"/>
        <v>46017</v>
      </c>
      <c r="LJ5" s="89">
        <f t="shared" si="5"/>
        <v>46018</v>
      </c>
      <c r="LK5" s="89">
        <f t="shared" si="5"/>
        <v>46019</v>
      </c>
      <c r="LL5" s="89">
        <f t="shared" si="5"/>
        <v>46020</v>
      </c>
      <c r="LM5" s="89">
        <f t="shared" si="5"/>
        <v>46021</v>
      </c>
      <c r="LN5" s="89">
        <f t="shared" si="5"/>
        <v>46022</v>
      </c>
      <c r="LO5" s="89">
        <f t="shared" si="5"/>
        <v>46023</v>
      </c>
      <c r="LP5" s="89">
        <f t="shared" si="5"/>
        <v>46024</v>
      </c>
      <c r="LQ5" s="89">
        <f t="shared" si="5"/>
        <v>46025</v>
      </c>
      <c r="LR5" s="89">
        <f t="shared" si="5"/>
        <v>46026</v>
      </c>
      <c r="LS5" s="89">
        <f t="shared" si="5"/>
        <v>46027</v>
      </c>
      <c r="LT5" s="89">
        <f t="shared" si="5"/>
        <v>46028</v>
      </c>
      <c r="LU5" s="89">
        <f t="shared" si="5"/>
        <v>46029</v>
      </c>
      <c r="LV5" s="89">
        <f t="shared" si="5"/>
        <v>46030</v>
      </c>
      <c r="LW5" s="89">
        <f t="shared" si="5"/>
        <v>46031</v>
      </c>
      <c r="LX5" s="89">
        <f t="shared" si="5"/>
        <v>46032</v>
      </c>
      <c r="LY5" s="89">
        <f t="shared" si="5"/>
        <v>46033</v>
      </c>
      <c r="LZ5" s="89">
        <f t="shared" si="5"/>
        <v>46034</v>
      </c>
      <c r="MA5" s="89">
        <f t="shared" si="5"/>
        <v>46035</v>
      </c>
      <c r="MB5" s="89">
        <f t="shared" si="5"/>
        <v>46036</v>
      </c>
      <c r="MC5" s="89">
        <f t="shared" si="5"/>
        <v>46037</v>
      </c>
      <c r="MD5" s="89">
        <f t="shared" si="5"/>
        <v>46038</v>
      </c>
      <c r="ME5" s="89">
        <f t="shared" si="5"/>
        <v>46039</v>
      </c>
      <c r="MF5" s="89">
        <f t="shared" si="5"/>
        <v>46040</v>
      </c>
      <c r="MG5" s="89">
        <f t="shared" si="5"/>
        <v>46041</v>
      </c>
      <c r="MH5" s="89">
        <f t="shared" si="5"/>
        <v>46042</v>
      </c>
      <c r="MI5" s="89">
        <f t="shared" si="5"/>
        <v>46043</v>
      </c>
      <c r="MJ5" s="89">
        <f t="shared" si="5"/>
        <v>46044</v>
      </c>
      <c r="MK5" s="89">
        <f t="shared" si="5"/>
        <v>46045</v>
      </c>
      <c r="ML5" s="89">
        <f t="shared" si="5"/>
        <v>46046</v>
      </c>
      <c r="MM5" s="89">
        <f t="shared" si="5"/>
        <v>46047</v>
      </c>
    </row>
    <row r="6" spans="1:351" s="29" customFormat="1" x14ac:dyDescent="0.4">
      <c r="A6" s="359"/>
      <c r="B6" s="359"/>
      <c r="C6" s="361"/>
      <c r="D6" s="359"/>
      <c r="E6" s="90">
        <f>SUM(E7:E139)</f>
        <v>1</v>
      </c>
      <c r="F6" s="91">
        <f>SUM(G6:MM6)</f>
        <v>0</v>
      </c>
      <c r="G6" s="92">
        <f t="shared" ref="G6:AY6" si="6">SUM(G7:G139)</f>
        <v>0</v>
      </c>
      <c r="H6" s="92">
        <f t="shared" si="6"/>
        <v>0</v>
      </c>
      <c r="I6" s="92">
        <f t="shared" si="6"/>
        <v>0</v>
      </c>
      <c r="J6" s="92">
        <f t="shared" si="6"/>
        <v>0</v>
      </c>
      <c r="K6" s="92">
        <f t="shared" si="6"/>
        <v>0</v>
      </c>
      <c r="L6" s="92">
        <f t="shared" si="6"/>
        <v>0</v>
      </c>
      <c r="M6" s="92">
        <f t="shared" si="6"/>
        <v>0</v>
      </c>
      <c r="N6" s="92">
        <f t="shared" si="6"/>
        <v>0</v>
      </c>
      <c r="O6" s="92">
        <f t="shared" si="6"/>
        <v>0</v>
      </c>
      <c r="P6" s="92">
        <f t="shared" si="6"/>
        <v>0</v>
      </c>
      <c r="Q6" s="92">
        <f t="shared" si="6"/>
        <v>0</v>
      </c>
      <c r="R6" s="92">
        <f t="shared" si="6"/>
        <v>0</v>
      </c>
      <c r="S6" s="92">
        <f t="shared" si="6"/>
        <v>0</v>
      </c>
      <c r="T6" s="92">
        <f t="shared" si="6"/>
        <v>0</v>
      </c>
      <c r="U6" s="92">
        <f t="shared" si="6"/>
        <v>0</v>
      </c>
      <c r="V6" s="92">
        <f t="shared" si="6"/>
        <v>0</v>
      </c>
      <c r="W6" s="92">
        <f t="shared" si="6"/>
        <v>0</v>
      </c>
      <c r="X6" s="92">
        <f t="shared" si="6"/>
        <v>0</v>
      </c>
      <c r="Y6" s="92">
        <f t="shared" si="6"/>
        <v>0</v>
      </c>
      <c r="Z6" s="92">
        <f t="shared" si="6"/>
        <v>0</v>
      </c>
      <c r="AA6" s="92">
        <f t="shared" si="6"/>
        <v>0</v>
      </c>
      <c r="AB6" s="92">
        <f t="shared" si="6"/>
        <v>0</v>
      </c>
      <c r="AC6" s="92">
        <f t="shared" si="6"/>
        <v>0</v>
      </c>
      <c r="AD6" s="92">
        <f t="shared" si="6"/>
        <v>0</v>
      </c>
      <c r="AE6" s="92">
        <f t="shared" si="6"/>
        <v>0</v>
      </c>
      <c r="AF6" s="92">
        <f t="shared" si="6"/>
        <v>0</v>
      </c>
      <c r="AG6" s="92">
        <f t="shared" si="6"/>
        <v>0</v>
      </c>
      <c r="AH6" s="92">
        <f t="shared" si="6"/>
        <v>0</v>
      </c>
      <c r="AI6" s="92">
        <f t="shared" si="6"/>
        <v>0</v>
      </c>
      <c r="AJ6" s="92">
        <f t="shared" si="6"/>
        <v>0</v>
      </c>
      <c r="AK6" s="92">
        <f t="shared" si="6"/>
        <v>0</v>
      </c>
      <c r="AL6" s="92">
        <f t="shared" si="6"/>
        <v>0</v>
      </c>
      <c r="AM6" s="92">
        <f t="shared" si="6"/>
        <v>0</v>
      </c>
      <c r="AN6" s="92">
        <f t="shared" si="6"/>
        <v>0</v>
      </c>
      <c r="AO6" s="92">
        <f t="shared" si="6"/>
        <v>0</v>
      </c>
      <c r="AP6" s="92">
        <f t="shared" si="6"/>
        <v>0</v>
      </c>
      <c r="AQ6" s="92">
        <f t="shared" si="6"/>
        <v>0</v>
      </c>
      <c r="AR6" s="92">
        <f t="shared" si="6"/>
        <v>0</v>
      </c>
      <c r="AS6" s="92">
        <f t="shared" si="6"/>
        <v>0</v>
      </c>
      <c r="AT6" s="92">
        <f t="shared" si="6"/>
        <v>0</v>
      </c>
      <c r="AU6" s="92">
        <f t="shared" si="6"/>
        <v>0</v>
      </c>
      <c r="AV6" s="92">
        <f t="shared" si="6"/>
        <v>0</v>
      </c>
      <c r="AW6" s="92">
        <f t="shared" si="6"/>
        <v>0</v>
      </c>
      <c r="AX6" s="92">
        <f t="shared" si="6"/>
        <v>0</v>
      </c>
      <c r="AY6" s="92">
        <f t="shared" si="6"/>
        <v>0</v>
      </c>
      <c r="AZ6" s="92">
        <f t="shared" ref="AZ6:BZ6" si="7">SUM(AZ7:AZ139)</f>
        <v>0</v>
      </c>
      <c r="BA6" s="92">
        <f t="shared" si="7"/>
        <v>0</v>
      </c>
      <c r="BB6" s="92">
        <f t="shared" si="7"/>
        <v>0</v>
      </c>
      <c r="BC6" s="92">
        <f t="shared" si="7"/>
        <v>0</v>
      </c>
      <c r="BD6" s="92">
        <f t="shared" si="7"/>
        <v>0</v>
      </c>
      <c r="BE6" s="92">
        <f t="shared" si="7"/>
        <v>0</v>
      </c>
      <c r="BF6" s="92">
        <f t="shared" si="7"/>
        <v>0</v>
      </c>
      <c r="BG6" s="92">
        <f t="shared" si="7"/>
        <v>0</v>
      </c>
      <c r="BH6" s="92">
        <f t="shared" si="7"/>
        <v>0</v>
      </c>
      <c r="BI6" s="92">
        <f t="shared" si="7"/>
        <v>0</v>
      </c>
      <c r="BJ6" s="92">
        <f t="shared" si="7"/>
        <v>0</v>
      </c>
      <c r="BK6" s="92">
        <f t="shared" si="7"/>
        <v>0</v>
      </c>
      <c r="BL6" s="92">
        <f t="shared" si="7"/>
        <v>0</v>
      </c>
      <c r="BM6" s="92">
        <f t="shared" si="7"/>
        <v>0</v>
      </c>
      <c r="BN6" s="92">
        <f t="shared" si="7"/>
        <v>0</v>
      </c>
      <c r="BO6" s="92">
        <f t="shared" si="7"/>
        <v>0</v>
      </c>
      <c r="BP6" s="92">
        <f t="shared" si="7"/>
        <v>0</v>
      </c>
      <c r="BQ6" s="92">
        <f t="shared" si="7"/>
        <v>0</v>
      </c>
      <c r="BR6" s="92">
        <f t="shared" si="7"/>
        <v>0</v>
      </c>
      <c r="BS6" s="92">
        <f t="shared" si="7"/>
        <v>0</v>
      </c>
      <c r="BT6" s="92">
        <f t="shared" si="7"/>
        <v>0</v>
      </c>
      <c r="BU6" s="92">
        <f t="shared" si="7"/>
        <v>0</v>
      </c>
      <c r="BV6" s="92">
        <f t="shared" si="7"/>
        <v>0</v>
      </c>
      <c r="BW6" s="92">
        <f t="shared" si="7"/>
        <v>0</v>
      </c>
      <c r="BX6" s="92">
        <f t="shared" si="7"/>
        <v>0</v>
      </c>
      <c r="BY6" s="92">
        <f t="shared" si="7"/>
        <v>0</v>
      </c>
      <c r="BZ6" s="92">
        <f t="shared" si="7"/>
        <v>0</v>
      </c>
      <c r="CA6" s="92">
        <f t="shared" ref="CA6:CF6" si="8">SUM(CA8:CA139)</f>
        <v>0</v>
      </c>
      <c r="CB6" s="92">
        <f t="shared" si="8"/>
        <v>0</v>
      </c>
      <c r="CC6" s="92">
        <f t="shared" si="8"/>
        <v>0</v>
      </c>
      <c r="CD6" s="92">
        <f t="shared" si="8"/>
        <v>0</v>
      </c>
      <c r="CE6" s="92">
        <f t="shared" si="8"/>
        <v>0</v>
      </c>
      <c r="CF6" s="92">
        <f t="shared" si="8"/>
        <v>0</v>
      </c>
      <c r="CG6" s="92">
        <f>SUM(CG9:CG139)</f>
        <v>0</v>
      </c>
      <c r="CH6" s="92">
        <f t="shared" ref="CH6:DC6" si="9">SUM(CH8:CH139)</f>
        <v>0</v>
      </c>
      <c r="CI6" s="92">
        <f t="shared" si="9"/>
        <v>0</v>
      </c>
      <c r="CJ6" s="92">
        <f t="shared" si="9"/>
        <v>0</v>
      </c>
      <c r="CK6" s="92">
        <f t="shared" si="9"/>
        <v>0</v>
      </c>
      <c r="CL6" s="92">
        <f t="shared" si="9"/>
        <v>0</v>
      </c>
      <c r="CM6" s="92">
        <f t="shared" si="9"/>
        <v>0</v>
      </c>
      <c r="CN6" s="92">
        <f t="shared" si="9"/>
        <v>0</v>
      </c>
      <c r="CO6" s="92">
        <f t="shared" si="9"/>
        <v>0</v>
      </c>
      <c r="CP6" s="92">
        <f t="shared" si="9"/>
        <v>0</v>
      </c>
      <c r="CQ6" s="92">
        <f t="shared" si="9"/>
        <v>0</v>
      </c>
      <c r="CR6" s="92">
        <f t="shared" si="9"/>
        <v>0</v>
      </c>
      <c r="CS6" s="92">
        <f t="shared" si="9"/>
        <v>0</v>
      </c>
      <c r="CT6" s="92">
        <f t="shared" si="9"/>
        <v>0</v>
      </c>
      <c r="CU6" s="92">
        <f t="shared" si="9"/>
        <v>0</v>
      </c>
      <c r="CV6" s="92">
        <f t="shared" si="9"/>
        <v>0</v>
      </c>
      <c r="CW6" s="92">
        <f t="shared" si="9"/>
        <v>0</v>
      </c>
      <c r="CX6" s="92">
        <f t="shared" si="9"/>
        <v>0</v>
      </c>
      <c r="CY6" s="92">
        <f t="shared" si="9"/>
        <v>0</v>
      </c>
      <c r="CZ6" s="92">
        <f t="shared" si="9"/>
        <v>0</v>
      </c>
      <c r="DA6" s="92">
        <f t="shared" si="9"/>
        <v>0</v>
      </c>
      <c r="DB6" s="92">
        <f t="shared" si="9"/>
        <v>0</v>
      </c>
      <c r="DC6" s="92">
        <f t="shared" si="9"/>
        <v>0</v>
      </c>
      <c r="DD6" s="92">
        <f t="shared" ref="DD6:EI6" si="10">SUM(DD8:DD141)</f>
        <v>0</v>
      </c>
      <c r="DE6" s="92">
        <f t="shared" si="10"/>
        <v>0</v>
      </c>
      <c r="DF6" s="92">
        <f t="shared" si="10"/>
        <v>0</v>
      </c>
      <c r="DG6" s="92">
        <f t="shared" si="10"/>
        <v>0</v>
      </c>
      <c r="DH6" s="92">
        <f t="shared" si="10"/>
        <v>0</v>
      </c>
      <c r="DI6" s="92">
        <f t="shared" si="10"/>
        <v>0</v>
      </c>
      <c r="DJ6" s="92">
        <f t="shared" si="10"/>
        <v>0</v>
      </c>
      <c r="DK6" s="92">
        <f t="shared" si="10"/>
        <v>0</v>
      </c>
      <c r="DL6" s="92">
        <f t="shared" si="10"/>
        <v>0</v>
      </c>
      <c r="DM6" s="92">
        <f t="shared" si="10"/>
        <v>0</v>
      </c>
      <c r="DN6" s="92">
        <f t="shared" si="10"/>
        <v>0</v>
      </c>
      <c r="DO6" s="92">
        <f t="shared" si="10"/>
        <v>0</v>
      </c>
      <c r="DP6" s="92">
        <f t="shared" si="10"/>
        <v>0</v>
      </c>
      <c r="DQ6" s="92">
        <f t="shared" si="10"/>
        <v>0</v>
      </c>
      <c r="DR6" s="92">
        <f t="shared" si="10"/>
        <v>0</v>
      </c>
      <c r="DS6" s="92">
        <f t="shared" si="10"/>
        <v>0</v>
      </c>
      <c r="DT6" s="92">
        <f t="shared" si="10"/>
        <v>0</v>
      </c>
      <c r="DU6" s="92">
        <f t="shared" si="10"/>
        <v>0</v>
      </c>
      <c r="DV6" s="92">
        <f t="shared" si="10"/>
        <v>0</v>
      </c>
      <c r="DW6" s="92">
        <f t="shared" si="10"/>
        <v>0</v>
      </c>
      <c r="DX6" s="92">
        <f t="shared" si="10"/>
        <v>0</v>
      </c>
      <c r="DY6" s="92">
        <f t="shared" si="10"/>
        <v>0</v>
      </c>
      <c r="DZ6" s="92">
        <f t="shared" si="10"/>
        <v>0</v>
      </c>
      <c r="EA6" s="92">
        <f t="shared" si="10"/>
        <v>0</v>
      </c>
      <c r="EB6" s="92">
        <f t="shared" si="10"/>
        <v>0</v>
      </c>
      <c r="EC6" s="92">
        <f t="shared" si="10"/>
        <v>0</v>
      </c>
      <c r="ED6" s="92">
        <f t="shared" si="10"/>
        <v>0</v>
      </c>
      <c r="EE6" s="92">
        <f t="shared" si="10"/>
        <v>0</v>
      </c>
      <c r="EF6" s="92">
        <f t="shared" si="10"/>
        <v>0</v>
      </c>
      <c r="EG6" s="92">
        <f t="shared" si="10"/>
        <v>0</v>
      </c>
      <c r="EH6" s="92">
        <f t="shared" si="10"/>
        <v>0</v>
      </c>
      <c r="EI6" s="92">
        <f t="shared" si="10"/>
        <v>0</v>
      </c>
      <c r="EJ6" s="92">
        <f t="shared" ref="EJ6:FT6" si="11">SUM(EJ8:EJ141)</f>
        <v>0</v>
      </c>
      <c r="EK6" s="92">
        <f t="shared" si="11"/>
        <v>0</v>
      </c>
      <c r="EL6" s="92">
        <f t="shared" si="11"/>
        <v>0</v>
      </c>
      <c r="EM6" s="92">
        <f t="shared" si="11"/>
        <v>0</v>
      </c>
      <c r="EN6" s="92">
        <f t="shared" si="11"/>
        <v>0</v>
      </c>
      <c r="EO6" s="92">
        <f t="shared" si="11"/>
        <v>0</v>
      </c>
      <c r="EP6" s="92">
        <f t="shared" si="11"/>
        <v>0</v>
      </c>
      <c r="EQ6" s="92">
        <f t="shared" si="11"/>
        <v>0</v>
      </c>
      <c r="ER6" s="92">
        <f t="shared" si="11"/>
        <v>0</v>
      </c>
      <c r="ES6" s="92">
        <f t="shared" si="11"/>
        <v>0</v>
      </c>
      <c r="ET6" s="92">
        <f t="shared" si="11"/>
        <v>0</v>
      </c>
      <c r="EU6" s="92">
        <f t="shared" si="11"/>
        <v>0</v>
      </c>
      <c r="EV6" s="92">
        <f t="shared" si="11"/>
        <v>0</v>
      </c>
      <c r="EW6" s="92">
        <f t="shared" si="11"/>
        <v>0</v>
      </c>
      <c r="EX6" s="92">
        <f t="shared" si="11"/>
        <v>0</v>
      </c>
      <c r="EY6" s="92">
        <f t="shared" si="11"/>
        <v>0</v>
      </c>
      <c r="EZ6" s="92">
        <f t="shared" si="11"/>
        <v>0</v>
      </c>
      <c r="FA6" s="92">
        <f t="shared" si="11"/>
        <v>0</v>
      </c>
      <c r="FB6" s="92">
        <f t="shared" si="11"/>
        <v>0</v>
      </c>
      <c r="FC6" s="92">
        <f t="shared" si="11"/>
        <v>0</v>
      </c>
      <c r="FD6" s="92">
        <f t="shared" si="11"/>
        <v>0</v>
      </c>
      <c r="FE6" s="92">
        <f t="shared" si="11"/>
        <v>0</v>
      </c>
      <c r="FF6" s="92">
        <f t="shared" si="11"/>
        <v>0</v>
      </c>
      <c r="FG6" s="92">
        <f t="shared" si="11"/>
        <v>0</v>
      </c>
      <c r="FH6" s="92">
        <f t="shared" si="11"/>
        <v>0</v>
      </c>
      <c r="FI6" s="92">
        <f t="shared" si="11"/>
        <v>0</v>
      </c>
      <c r="FJ6" s="92">
        <f t="shared" si="11"/>
        <v>0</v>
      </c>
      <c r="FK6" s="92">
        <f t="shared" si="11"/>
        <v>0</v>
      </c>
      <c r="FL6" s="92">
        <f t="shared" si="11"/>
        <v>0</v>
      </c>
      <c r="FM6" s="92">
        <f t="shared" si="11"/>
        <v>0</v>
      </c>
      <c r="FN6" s="92">
        <f t="shared" si="11"/>
        <v>0</v>
      </c>
      <c r="FO6" s="92">
        <f t="shared" si="11"/>
        <v>0</v>
      </c>
      <c r="FP6" s="92">
        <f t="shared" si="11"/>
        <v>0</v>
      </c>
      <c r="FQ6" s="92">
        <f t="shared" si="11"/>
        <v>0</v>
      </c>
      <c r="FR6" s="92">
        <f t="shared" si="11"/>
        <v>0</v>
      </c>
      <c r="FS6" s="92">
        <f t="shared" si="11"/>
        <v>0</v>
      </c>
      <c r="FT6" s="92">
        <f t="shared" si="11"/>
        <v>0</v>
      </c>
      <c r="FU6" s="92">
        <f t="shared" ref="FU6:HS6" si="12">SUM(FU8:FU139)</f>
        <v>0</v>
      </c>
      <c r="FV6" s="92">
        <f t="shared" si="12"/>
        <v>0</v>
      </c>
      <c r="FW6" s="92">
        <f t="shared" si="12"/>
        <v>0</v>
      </c>
      <c r="FX6" s="92">
        <f t="shared" si="12"/>
        <v>0</v>
      </c>
      <c r="FY6" s="92">
        <f t="shared" si="12"/>
        <v>0</v>
      </c>
      <c r="FZ6" s="92">
        <f t="shared" si="12"/>
        <v>0</v>
      </c>
      <c r="GA6" s="92">
        <f t="shared" si="12"/>
        <v>0</v>
      </c>
      <c r="GB6" s="92">
        <f t="shared" si="12"/>
        <v>0</v>
      </c>
      <c r="GC6" s="92">
        <f t="shared" si="12"/>
        <v>0</v>
      </c>
      <c r="GD6" s="92">
        <f t="shared" si="12"/>
        <v>0</v>
      </c>
      <c r="GE6" s="92">
        <f t="shared" si="12"/>
        <v>0</v>
      </c>
      <c r="GF6" s="92">
        <f t="shared" si="12"/>
        <v>0</v>
      </c>
      <c r="GG6" s="92">
        <f t="shared" si="12"/>
        <v>0</v>
      </c>
      <c r="GH6" s="92">
        <f t="shared" si="12"/>
        <v>0</v>
      </c>
      <c r="GI6" s="92">
        <f t="shared" si="12"/>
        <v>0</v>
      </c>
      <c r="GJ6" s="92">
        <f t="shared" si="12"/>
        <v>0</v>
      </c>
      <c r="GK6" s="92">
        <f t="shared" si="12"/>
        <v>0</v>
      </c>
      <c r="GL6" s="92">
        <f t="shared" si="12"/>
        <v>0</v>
      </c>
      <c r="GM6" s="92">
        <f t="shared" si="12"/>
        <v>0</v>
      </c>
      <c r="GN6" s="92">
        <f t="shared" si="12"/>
        <v>0</v>
      </c>
      <c r="GO6" s="92">
        <f t="shared" si="12"/>
        <v>0</v>
      </c>
      <c r="GP6" s="92">
        <f t="shared" si="12"/>
        <v>0</v>
      </c>
      <c r="GQ6" s="92">
        <f t="shared" si="12"/>
        <v>0</v>
      </c>
      <c r="GR6" s="92">
        <f t="shared" si="12"/>
        <v>0</v>
      </c>
      <c r="GS6" s="92">
        <f t="shared" si="12"/>
        <v>0</v>
      </c>
      <c r="GT6" s="92">
        <f t="shared" si="12"/>
        <v>0</v>
      </c>
      <c r="GU6" s="92">
        <f t="shared" si="12"/>
        <v>0</v>
      </c>
      <c r="GV6" s="92">
        <f t="shared" si="12"/>
        <v>0</v>
      </c>
      <c r="GW6" s="92">
        <f t="shared" si="12"/>
        <v>0</v>
      </c>
      <c r="GX6" s="92">
        <f t="shared" si="12"/>
        <v>0</v>
      </c>
      <c r="GY6" s="92">
        <f t="shared" si="12"/>
        <v>0</v>
      </c>
      <c r="GZ6" s="92">
        <f t="shared" si="12"/>
        <v>0</v>
      </c>
      <c r="HA6" s="92">
        <f t="shared" si="12"/>
        <v>0</v>
      </c>
      <c r="HB6" s="92">
        <f t="shared" si="12"/>
        <v>0</v>
      </c>
      <c r="HC6" s="92">
        <f t="shared" si="12"/>
        <v>0</v>
      </c>
      <c r="HD6" s="92">
        <f t="shared" si="12"/>
        <v>0</v>
      </c>
      <c r="HE6" s="92">
        <f t="shared" si="12"/>
        <v>0</v>
      </c>
      <c r="HF6" s="92">
        <f t="shared" si="12"/>
        <v>0</v>
      </c>
      <c r="HG6" s="92">
        <f t="shared" si="12"/>
        <v>0</v>
      </c>
      <c r="HH6" s="92">
        <f t="shared" si="12"/>
        <v>0</v>
      </c>
      <c r="HI6" s="92">
        <f t="shared" si="12"/>
        <v>0</v>
      </c>
      <c r="HJ6" s="92">
        <f t="shared" si="12"/>
        <v>0</v>
      </c>
      <c r="HK6" s="92">
        <f t="shared" si="12"/>
        <v>0</v>
      </c>
      <c r="HL6" s="92">
        <f t="shared" si="12"/>
        <v>0</v>
      </c>
      <c r="HM6" s="92">
        <f t="shared" si="12"/>
        <v>0</v>
      </c>
      <c r="HN6" s="92">
        <f t="shared" si="12"/>
        <v>0</v>
      </c>
      <c r="HO6" s="92">
        <f t="shared" si="12"/>
        <v>0</v>
      </c>
      <c r="HP6" s="92">
        <f t="shared" si="12"/>
        <v>0</v>
      </c>
      <c r="HQ6" s="92">
        <f t="shared" si="12"/>
        <v>0</v>
      </c>
      <c r="HR6" s="92">
        <f t="shared" si="12"/>
        <v>0</v>
      </c>
      <c r="HS6" s="92">
        <f t="shared" si="12"/>
        <v>0</v>
      </c>
      <c r="HT6" s="92">
        <f t="shared" ref="HT6:IY6" si="13">SUM(HT8:HT139)</f>
        <v>0</v>
      </c>
      <c r="HU6" s="92">
        <f t="shared" si="13"/>
        <v>0</v>
      </c>
      <c r="HV6" s="92">
        <f t="shared" si="13"/>
        <v>0</v>
      </c>
      <c r="HW6" s="92">
        <f t="shared" si="13"/>
        <v>0</v>
      </c>
      <c r="HX6" s="92">
        <f t="shared" si="13"/>
        <v>0</v>
      </c>
      <c r="HY6" s="92">
        <f t="shared" si="13"/>
        <v>0</v>
      </c>
      <c r="HZ6" s="92">
        <f t="shared" si="13"/>
        <v>0</v>
      </c>
      <c r="IA6" s="92">
        <f t="shared" si="13"/>
        <v>0</v>
      </c>
      <c r="IB6" s="92">
        <f t="shared" si="13"/>
        <v>0</v>
      </c>
      <c r="IC6" s="92">
        <f t="shared" si="13"/>
        <v>0</v>
      </c>
      <c r="ID6" s="92">
        <f t="shared" si="13"/>
        <v>0</v>
      </c>
      <c r="IE6" s="92">
        <f t="shared" si="13"/>
        <v>0</v>
      </c>
      <c r="IF6" s="92">
        <f t="shared" si="13"/>
        <v>0</v>
      </c>
      <c r="IG6" s="92">
        <f t="shared" si="13"/>
        <v>0</v>
      </c>
      <c r="IH6" s="92">
        <f t="shared" si="13"/>
        <v>0</v>
      </c>
      <c r="II6" s="92">
        <f t="shared" si="13"/>
        <v>0</v>
      </c>
      <c r="IJ6" s="92">
        <f t="shared" si="13"/>
        <v>0</v>
      </c>
      <c r="IK6" s="92">
        <f t="shared" si="13"/>
        <v>0</v>
      </c>
      <c r="IL6" s="92">
        <f t="shared" si="13"/>
        <v>0</v>
      </c>
      <c r="IM6" s="92">
        <f t="shared" si="13"/>
        <v>0</v>
      </c>
      <c r="IN6" s="92">
        <f t="shared" si="13"/>
        <v>0</v>
      </c>
      <c r="IO6" s="92">
        <f t="shared" si="13"/>
        <v>0</v>
      </c>
      <c r="IP6" s="92">
        <f t="shared" si="13"/>
        <v>0</v>
      </c>
      <c r="IQ6" s="92">
        <f t="shared" si="13"/>
        <v>0</v>
      </c>
      <c r="IR6" s="92">
        <f t="shared" si="13"/>
        <v>0</v>
      </c>
      <c r="IS6" s="92">
        <f t="shared" si="13"/>
        <v>0</v>
      </c>
      <c r="IT6" s="92">
        <f t="shared" si="13"/>
        <v>0</v>
      </c>
      <c r="IU6" s="92">
        <f t="shared" si="13"/>
        <v>0</v>
      </c>
      <c r="IV6" s="92">
        <f t="shared" si="13"/>
        <v>0</v>
      </c>
      <c r="IW6" s="92">
        <f t="shared" si="13"/>
        <v>0</v>
      </c>
      <c r="IX6" s="92">
        <f t="shared" si="13"/>
        <v>0</v>
      </c>
      <c r="IY6" s="92">
        <f t="shared" si="13"/>
        <v>0</v>
      </c>
      <c r="IZ6" s="92">
        <f t="shared" ref="IZ6:KC6" si="14">SUM(IZ8:IZ139)</f>
        <v>0</v>
      </c>
      <c r="JA6" s="92">
        <f t="shared" si="14"/>
        <v>0</v>
      </c>
      <c r="JB6" s="92">
        <f t="shared" si="14"/>
        <v>0</v>
      </c>
      <c r="JC6" s="92">
        <f t="shared" si="14"/>
        <v>0</v>
      </c>
      <c r="JD6" s="92">
        <f t="shared" si="14"/>
        <v>0</v>
      </c>
      <c r="JE6" s="92">
        <f t="shared" si="14"/>
        <v>0</v>
      </c>
      <c r="JF6" s="92">
        <f t="shared" si="14"/>
        <v>0</v>
      </c>
      <c r="JG6" s="92">
        <f t="shared" si="14"/>
        <v>0</v>
      </c>
      <c r="JH6" s="92">
        <f t="shared" si="14"/>
        <v>0</v>
      </c>
      <c r="JI6" s="92">
        <f t="shared" si="14"/>
        <v>0</v>
      </c>
      <c r="JJ6" s="92">
        <f t="shared" si="14"/>
        <v>0</v>
      </c>
      <c r="JK6" s="92">
        <f t="shared" si="14"/>
        <v>0</v>
      </c>
      <c r="JL6" s="92">
        <f t="shared" si="14"/>
        <v>0</v>
      </c>
      <c r="JM6" s="92">
        <f t="shared" si="14"/>
        <v>0</v>
      </c>
      <c r="JN6" s="92">
        <f t="shared" si="14"/>
        <v>0</v>
      </c>
      <c r="JO6" s="92">
        <f t="shared" si="14"/>
        <v>0</v>
      </c>
      <c r="JP6" s="92">
        <f t="shared" si="14"/>
        <v>0</v>
      </c>
      <c r="JQ6" s="92">
        <f t="shared" si="14"/>
        <v>0</v>
      </c>
      <c r="JR6" s="92">
        <f t="shared" si="14"/>
        <v>0</v>
      </c>
      <c r="JS6" s="92">
        <f t="shared" si="14"/>
        <v>0</v>
      </c>
      <c r="JT6" s="92">
        <f t="shared" si="14"/>
        <v>0</v>
      </c>
      <c r="JU6" s="92">
        <f t="shared" si="14"/>
        <v>0</v>
      </c>
      <c r="JV6" s="92">
        <f t="shared" si="14"/>
        <v>0</v>
      </c>
      <c r="JW6" s="92">
        <f t="shared" si="14"/>
        <v>0</v>
      </c>
      <c r="JX6" s="92">
        <f t="shared" si="14"/>
        <v>0</v>
      </c>
      <c r="JY6" s="92">
        <f t="shared" si="14"/>
        <v>0</v>
      </c>
      <c r="JZ6" s="92">
        <f t="shared" si="14"/>
        <v>0</v>
      </c>
      <c r="KA6" s="92">
        <f t="shared" si="14"/>
        <v>0</v>
      </c>
      <c r="KB6" s="92">
        <f t="shared" si="14"/>
        <v>0</v>
      </c>
      <c r="KC6" s="92">
        <f t="shared" si="14"/>
        <v>0</v>
      </c>
      <c r="KD6" s="92">
        <f t="shared" ref="KD6:MM6" si="15">SUM(KD8:KD139)</f>
        <v>0</v>
      </c>
      <c r="KE6" s="92">
        <f t="shared" si="15"/>
        <v>0</v>
      </c>
      <c r="KF6" s="92">
        <f t="shared" si="15"/>
        <v>0</v>
      </c>
      <c r="KG6" s="92">
        <f t="shared" si="15"/>
        <v>0</v>
      </c>
      <c r="KH6" s="92">
        <f t="shared" si="15"/>
        <v>0</v>
      </c>
      <c r="KI6" s="92">
        <f t="shared" si="15"/>
        <v>0</v>
      </c>
      <c r="KJ6" s="92">
        <f t="shared" si="15"/>
        <v>0</v>
      </c>
      <c r="KK6" s="92">
        <f t="shared" si="15"/>
        <v>0</v>
      </c>
      <c r="KL6" s="92">
        <f t="shared" si="15"/>
        <v>0</v>
      </c>
      <c r="KM6" s="92">
        <f t="shared" si="15"/>
        <v>0</v>
      </c>
      <c r="KN6" s="92">
        <f t="shared" si="15"/>
        <v>0</v>
      </c>
      <c r="KO6" s="92">
        <f t="shared" si="15"/>
        <v>0</v>
      </c>
      <c r="KP6" s="92">
        <f t="shared" si="15"/>
        <v>0</v>
      </c>
      <c r="KQ6" s="92">
        <f t="shared" si="15"/>
        <v>0</v>
      </c>
      <c r="KR6" s="92">
        <f t="shared" si="15"/>
        <v>0</v>
      </c>
      <c r="KS6" s="92">
        <f t="shared" si="15"/>
        <v>0</v>
      </c>
      <c r="KT6" s="92">
        <f t="shared" si="15"/>
        <v>0</v>
      </c>
      <c r="KU6" s="92">
        <f t="shared" si="15"/>
        <v>0</v>
      </c>
      <c r="KV6" s="92">
        <f t="shared" si="15"/>
        <v>0</v>
      </c>
      <c r="KW6" s="92">
        <f t="shared" si="15"/>
        <v>0</v>
      </c>
      <c r="KX6" s="92">
        <f t="shared" si="15"/>
        <v>0</v>
      </c>
      <c r="KY6" s="92">
        <f t="shared" si="15"/>
        <v>0</v>
      </c>
      <c r="KZ6" s="92">
        <f t="shared" si="15"/>
        <v>0</v>
      </c>
      <c r="LA6" s="92">
        <f t="shared" si="15"/>
        <v>0</v>
      </c>
      <c r="LB6" s="92">
        <f t="shared" si="15"/>
        <v>0</v>
      </c>
      <c r="LC6" s="92">
        <f t="shared" si="15"/>
        <v>0</v>
      </c>
      <c r="LD6" s="92">
        <f t="shared" si="15"/>
        <v>0</v>
      </c>
      <c r="LE6" s="92">
        <f t="shared" si="15"/>
        <v>0</v>
      </c>
      <c r="LF6" s="92">
        <f t="shared" si="15"/>
        <v>0</v>
      </c>
      <c r="LG6" s="92">
        <f t="shared" si="15"/>
        <v>0</v>
      </c>
      <c r="LH6" s="92">
        <f t="shared" si="15"/>
        <v>0</v>
      </c>
      <c r="LI6" s="92">
        <f t="shared" si="15"/>
        <v>0</v>
      </c>
      <c r="LJ6" s="92">
        <f t="shared" si="15"/>
        <v>0</v>
      </c>
      <c r="LK6" s="92">
        <f t="shared" si="15"/>
        <v>0</v>
      </c>
      <c r="LL6" s="92">
        <f t="shared" si="15"/>
        <v>0</v>
      </c>
      <c r="LM6" s="92">
        <f t="shared" si="15"/>
        <v>0</v>
      </c>
      <c r="LN6" s="92">
        <f t="shared" si="15"/>
        <v>0</v>
      </c>
      <c r="LO6" s="92">
        <f t="shared" si="15"/>
        <v>0</v>
      </c>
      <c r="LP6" s="92">
        <f t="shared" si="15"/>
        <v>0</v>
      </c>
      <c r="LQ6" s="92">
        <f t="shared" si="15"/>
        <v>0</v>
      </c>
      <c r="LR6" s="92">
        <f t="shared" si="15"/>
        <v>0</v>
      </c>
      <c r="LS6" s="92">
        <f t="shared" si="15"/>
        <v>0</v>
      </c>
      <c r="LT6" s="92">
        <f t="shared" si="15"/>
        <v>0</v>
      </c>
      <c r="LU6" s="92">
        <f t="shared" si="15"/>
        <v>0</v>
      </c>
      <c r="LV6" s="92">
        <f t="shared" si="15"/>
        <v>0</v>
      </c>
      <c r="LW6" s="92">
        <f t="shared" si="15"/>
        <v>0</v>
      </c>
      <c r="LX6" s="92">
        <f t="shared" si="15"/>
        <v>0</v>
      </c>
      <c r="LY6" s="92">
        <f t="shared" si="15"/>
        <v>0</v>
      </c>
      <c r="LZ6" s="92">
        <f t="shared" si="15"/>
        <v>0</v>
      </c>
      <c r="MA6" s="92">
        <f t="shared" si="15"/>
        <v>0</v>
      </c>
      <c r="MB6" s="92">
        <f t="shared" si="15"/>
        <v>0</v>
      </c>
      <c r="MC6" s="92">
        <f t="shared" si="15"/>
        <v>0</v>
      </c>
      <c r="MD6" s="92">
        <f t="shared" si="15"/>
        <v>0</v>
      </c>
      <c r="ME6" s="92">
        <f t="shared" si="15"/>
        <v>0</v>
      </c>
      <c r="MF6" s="92">
        <f t="shared" si="15"/>
        <v>0</v>
      </c>
      <c r="MG6" s="92">
        <f t="shared" si="15"/>
        <v>0</v>
      </c>
      <c r="MH6" s="92">
        <f t="shared" si="15"/>
        <v>0</v>
      </c>
      <c r="MI6" s="92">
        <f t="shared" si="15"/>
        <v>0</v>
      </c>
      <c r="MJ6" s="92">
        <f t="shared" si="15"/>
        <v>0</v>
      </c>
      <c r="MK6" s="92">
        <f t="shared" si="15"/>
        <v>0</v>
      </c>
      <c r="ML6" s="92">
        <f t="shared" si="15"/>
        <v>0</v>
      </c>
      <c r="MM6" s="92">
        <f t="shared" si="15"/>
        <v>0</v>
      </c>
    </row>
    <row r="7" spans="1:351" x14ac:dyDescent="0.4">
      <c r="A7" s="30">
        <v>1</v>
      </c>
      <c r="B7" s="31"/>
      <c r="C7" s="32"/>
      <c r="D7" s="30" t="s">
        <v>71</v>
      </c>
      <c r="E7" s="30">
        <f t="shared" ref="E7:E38" si="16">SUMIFS(G7:XFD7,$G$5:$XFD$5,$E$5)</f>
        <v>0</v>
      </c>
      <c r="F7" s="33">
        <f>SUM(G7:MM7)</f>
        <v>0</v>
      </c>
      <c r="G7" s="35"/>
      <c r="H7" s="35"/>
      <c r="I7" s="35"/>
      <c r="J7" s="35"/>
      <c r="K7" s="35"/>
      <c r="L7" s="35"/>
      <c r="M7" s="35"/>
      <c r="N7" s="49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</row>
    <row r="8" spans="1:351" x14ac:dyDescent="0.4">
      <c r="A8" s="30">
        <v>2</v>
      </c>
      <c r="B8" s="362"/>
      <c r="C8" s="362" t="s">
        <v>72</v>
      </c>
      <c r="D8" s="30" t="s">
        <v>73</v>
      </c>
      <c r="E8" s="30">
        <f t="shared" si="16"/>
        <v>0</v>
      </c>
      <c r="F8" s="37"/>
      <c r="G8" s="35"/>
      <c r="H8" s="35"/>
      <c r="I8" s="35"/>
      <c r="J8" s="35"/>
      <c r="K8" s="35"/>
      <c r="L8" s="35"/>
      <c r="M8" s="35"/>
      <c r="N8" s="49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</row>
    <row r="9" spans="1:351" x14ac:dyDescent="0.4">
      <c r="A9" s="30">
        <v>3</v>
      </c>
      <c r="B9" s="363"/>
      <c r="C9" s="363"/>
      <c r="D9" s="30" t="s">
        <v>73</v>
      </c>
      <c r="E9" s="30">
        <f t="shared" si="16"/>
        <v>0</v>
      </c>
      <c r="F9" s="37">
        <f t="shared" ref="F9:F40" si="17">SUM(G9:MM9)</f>
        <v>0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</row>
    <row r="10" spans="1:351" x14ac:dyDescent="0.4">
      <c r="A10" s="30">
        <v>4</v>
      </c>
      <c r="B10" s="362"/>
      <c r="C10" s="362" t="s">
        <v>72</v>
      </c>
      <c r="D10" s="30" t="s">
        <v>73</v>
      </c>
      <c r="E10" s="30">
        <f t="shared" si="16"/>
        <v>0</v>
      </c>
      <c r="F10" s="37">
        <f t="shared" si="17"/>
        <v>0</v>
      </c>
      <c r="G10" s="35"/>
      <c r="H10" s="35"/>
      <c r="I10" s="35"/>
      <c r="J10" s="35"/>
      <c r="K10" s="35"/>
      <c r="L10" s="35"/>
      <c r="M10" s="35"/>
      <c r="N10" s="49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</row>
    <row r="11" spans="1:351" x14ac:dyDescent="0.4">
      <c r="A11" s="30">
        <v>5</v>
      </c>
      <c r="B11" s="363"/>
      <c r="C11" s="363"/>
      <c r="D11" s="30" t="s">
        <v>73</v>
      </c>
      <c r="E11" s="30">
        <f t="shared" si="16"/>
        <v>0</v>
      </c>
      <c r="F11" s="37">
        <f t="shared" si="17"/>
        <v>0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</row>
    <row r="12" spans="1:351" x14ac:dyDescent="0.4">
      <c r="A12" s="30">
        <v>6</v>
      </c>
      <c r="B12" s="38"/>
      <c r="C12" s="30" t="s">
        <v>74</v>
      </c>
      <c r="D12" s="30" t="s">
        <v>74</v>
      </c>
      <c r="E12" s="30">
        <v>1</v>
      </c>
      <c r="F12" s="37">
        <f t="shared" si="17"/>
        <v>0</v>
      </c>
      <c r="G12" s="35"/>
      <c r="H12" s="35"/>
      <c r="I12" s="35"/>
      <c r="J12" s="35"/>
      <c r="K12" s="35"/>
      <c r="L12" s="35"/>
      <c r="M12" s="35"/>
      <c r="N12" s="49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</row>
    <row r="13" spans="1:351" x14ac:dyDescent="0.4">
      <c r="A13" s="30">
        <v>7</v>
      </c>
      <c r="B13" s="364"/>
      <c r="C13" s="364" t="s">
        <v>4</v>
      </c>
      <c r="D13" s="30" t="s">
        <v>75</v>
      </c>
      <c r="E13" s="30">
        <f t="shared" si="16"/>
        <v>0</v>
      </c>
      <c r="F13" s="37">
        <f t="shared" si="17"/>
        <v>0</v>
      </c>
      <c r="G13" s="35"/>
      <c r="H13" s="35"/>
      <c r="I13" s="35"/>
      <c r="J13" s="35"/>
      <c r="K13" s="35"/>
      <c r="L13" s="35"/>
      <c r="M13" s="35"/>
      <c r="N13" s="49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</row>
    <row r="14" spans="1:351" x14ac:dyDescent="0.4">
      <c r="A14" s="30">
        <v>8</v>
      </c>
      <c r="B14" s="364"/>
      <c r="C14" s="364"/>
      <c r="D14" s="30" t="s">
        <v>76</v>
      </c>
      <c r="E14" s="30">
        <f t="shared" si="16"/>
        <v>0</v>
      </c>
      <c r="F14" s="37">
        <f t="shared" si="17"/>
        <v>0</v>
      </c>
      <c r="G14" s="35"/>
      <c r="H14" s="35"/>
      <c r="I14" s="35"/>
      <c r="J14" s="35"/>
      <c r="K14" s="35"/>
      <c r="L14" s="35"/>
      <c r="M14" s="35"/>
      <c r="N14" s="49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</row>
    <row r="15" spans="1:351" x14ac:dyDescent="0.4">
      <c r="A15" s="30">
        <v>9</v>
      </c>
      <c r="B15" s="364"/>
      <c r="C15" s="364"/>
      <c r="D15" s="30" t="s">
        <v>77</v>
      </c>
      <c r="E15" s="30">
        <f t="shared" si="16"/>
        <v>0</v>
      </c>
      <c r="F15" s="37">
        <f t="shared" si="17"/>
        <v>0</v>
      </c>
      <c r="G15" s="35"/>
      <c r="H15" s="35"/>
      <c r="I15" s="35"/>
      <c r="J15" s="35"/>
      <c r="K15" s="35"/>
      <c r="L15" s="35"/>
      <c r="M15" s="35"/>
      <c r="N15" s="49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</row>
    <row r="16" spans="1:351" ht="14.5" customHeight="1" x14ac:dyDescent="0.4">
      <c r="A16" s="30">
        <v>10</v>
      </c>
      <c r="B16" s="364"/>
      <c r="C16" s="364" t="s">
        <v>78</v>
      </c>
      <c r="D16" s="30" t="s">
        <v>75</v>
      </c>
      <c r="E16" s="30">
        <f t="shared" si="16"/>
        <v>0</v>
      </c>
      <c r="F16" s="37">
        <f t="shared" si="17"/>
        <v>0</v>
      </c>
      <c r="G16" s="35"/>
      <c r="H16" s="35"/>
      <c r="I16" s="35"/>
      <c r="J16" s="35"/>
      <c r="K16" s="35"/>
      <c r="L16" s="35"/>
      <c r="M16" s="35"/>
      <c r="N16" s="49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</row>
    <row r="17" spans="1:351" x14ac:dyDescent="0.4">
      <c r="A17" s="30">
        <v>11</v>
      </c>
      <c r="B17" s="364"/>
      <c r="C17" s="364"/>
      <c r="D17" s="30" t="s">
        <v>76</v>
      </c>
      <c r="E17" s="30">
        <f t="shared" si="16"/>
        <v>0</v>
      </c>
      <c r="F17" s="37">
        <f t="shared" si="17"/>
        <v>0</v>
      </c>
      <c r="G17" s="35"/>
      <c r="H17" s="35"/>
      <c r="I17" s="35"/>
      <c r="J17" s="35"/>
      <c r="K17" s="35"/>
      <c r="L17" s="35"/>
      <c r="M17" s="35"/>
      <c r="N17" s="49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</row>
    <row r="18" spans="1:351" x14ac:dyDescent="0.4">
      <c r="A18" s="30">
        <v>12</v>
      </c>
      <c r="B18" s="364"/>
      <c r="C18" s="364"/>
      <c r="D18" s="30" t="s">
        <v>77</v>
      </c>
      <c r="E18" s="30">
        <f t="shared" si="16"/>
        <v>0</v>
      </c>
      <c r="F18" s="37">
        <f t="shared" si="17"/>
        <v>0</v>
      </c>
      <c r="G18" s="35"/>
      <c r="H18" s="35"/>
      <c r="I18" s="35"/>
      <c r="J18" s="35"/>
      <c r="K18" s="35"/>
      <c r="L18" s="35"/>
      <c r="M18" s="35"/>
      <c r="N18" s="49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9"/>
      <c r="LO18" s="39"/>
      <c r="LP18" s="39"/>
      <c r="LQ18" s="39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5"/>
      <c r="MM18" s="35"/>
    </row>
    <row r="19" spans="1:351" ht="14.5" customHeight="1" x14ac:dyDescent="0.4">
      <c r="A19" s="30">
        <v>13</v>
      </c>
      <c r="B19" s="364"/>
      <c r="C19" s="364" t="s">
        <v>4</v>
      </c>
      <c r="D19" s="30" t="s">
        <v>75</v>
      </c>
      <c r="E19" s="30">
        <f t="shared" si="16"/>
        <v>0</v>
      </c>
      <c r="F19" s="37">
        <f t="shared" si="17"/>
        <v>0</v>
      </c>
      <c r="G19" s="35"/>
      <c r="H19" s="35"/>
      <c r="I19" s="35"/>
      <c r="J19" s="35"/>
      <c r="K19" s="35"/>
      <c r="L19" s="35"/>
      <c r="M19" s="35"/>
      <c r="N19" s="49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</row>
    <row r="20" spans="1:351" x14ac:dyDescent="0.4">
      <c r="A20" s="30">
        <v>14</v>
      </c>
      <c r="B20" s="364"/>
      <c r="C20" s="364"/>
      <c r="D20" s="30" t="s">
        <v>76</v>
      </c>
      <c r="E20" s="30">
        <f t="shared" si="16"/>
        <v>0</v>
      </c>
      <c r="F20" s="37">
        <f t="shared" si="17"/>
        <v>0</v>
      </c>
      <c r="G20" s="35"/>
      <c r="H20" s="35"/>
      <c r="I20" s="35"/>
      <c r="J20" s="35"/>
      <c r="K20" s="35"/>
      <c r="L20" s="35"/>
      <c r="M20" s="35"/>
      <c r="N20" s="49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</row>
    <row r="21" spans="1:351" x14ac:dyDescent="0.4">
      <c r="A21" s="30">
        <v>15</v>
      </c>
      <c r="B21" s="364"/>
      <c r="C21" s="364"/>
      <c r="D21" s="30" t="s">
        <v>77</v>
      </c>
      <c r="E21" s="30">
        <f t="shared" si="16"/>
        <v>0</v>
      </c>
      <c r="F21" s="37">
        <f t="shared" si="17"/>
        <v>0</v>
      </c>
      <c r="G21" s="35"/>
      <c r="H21" s="35"/>
      <c r="I21" s="35"/>
      <c r="J21" s="35"/>
      <c r="K21" s="35"/>
      <c r="L21" s="35"/>
      <c r="M21" s="35"/>
      <c r="N21" s="49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</row>
    <row r="22" spans="1:351" ht="14.5" customHeight="1" x14ac:dyDescent="0.4">
      <c r="A22" s="30">
        <v>16</v>
      </c>
      <c r="B22" s="364"/>
      <c r="C22" s="364" t="s">
        <v>78</v>
      </c>
      <c r="D22" s="30" t="s">
        <v>75</v>
      </c>
      <c r="E22" s="30">
        <f t="shared" si="16"/>
        <v>0</v>
      </c>
      <c r="F22" s="37">
        <f t="shared" si="17"/>
        <v>0</v>
      </c>
      <c r="G22" s="35"/>
      <c r="H22" s="35"/>
      <c r="I22" s="35"/>
      <c r="J22" s="35"/>
      <c r="K22" s="35"/>
      <c r="L22" s="35"/>
      <c r="M22" s="35"/>
      <c r="N22" s="49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</row>
    <row r="23" spans="1:351" x14ac:dyDescent="0.4">
      <c r="A23" s="30">
        <v>17</v>
      </c>
      <c r="B23" s="364"/>
      <c r="C23" s="364"/>
      <c r="D23" s="30" t="s">
        <v>76</v>
      </c>
      <c r="E23" s="30">
        <f t="shared" si="16"/>
        <v>0</v>
      </c>
      <c r="F23" s="37">
        <f t="shared" si="17"/>
        <v>0</v>
      </c>
      <c r="G23" s="35"/>
      <c r="H23" s="35"/>
      <c r="I23" s="35"/>
      <c r="J23" s="35"/>
      <c r="K23" s="35"/>
      <c r="L23" s="35"/>
      <c r="M23" s="35"/>
      <c r="N23" s="49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</row>
    <row r="24" spans="1:351" x14ac:dyDescent="0.4">
      <c r="A24" s="30">
        <v>18</v>
      </c>
      <c r="B24" s="364"/>
      <c r="C24" s="364"/>
      <c r="D24" s="30" t="s">
        <v>77</v>
      </c>
      <c r="E24" s="30">
        <f t="shared" si="16"/>
        <v>0</v>
      </c>
      <c r="F24" s="37">
        <f t="shared" si="17"/>
        <v>0</v>
      </c>
      <c r="G24" s="35"/>
      <c r="H24" s="35"/>
      <c r="I24" s="35"/>
      <c r="J24" s="35"/>
      <c r="K24" s="35"/>
      <c r="L24" s="35"/>
      <c r="M24" s="35"/>
      <c r="N24" s="49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  <c r="IW24" s="39"/>
      <c r="IX24" s="39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</row>
    <row r="25" spans="1:351" ht="14.5" customHeight="1" x14ac:dyDescent="0.4">
      <c r="A25" s="30">
        <v>19</v>
      </c>
      <c r="B25" s="364"/>
      <c r="C25" s="364" t="s">
        <v>4</v>
      </c>
      <c r="D25" s="30" t="s">
        <v>75</v>
      </c>
      <c r="E25" s="30">
        <f t="shared" si="16"/>
        <v>0</v>
      </c>
      <c r="F25" s="37">
        <f t="shared" si="17"/>
        <v>0</v>
      </c>
      <c r="G25" s="35"/>
      <c r="H25" s="35"/>
      <c r="I25" s="35"/>
      <c r="J25" s="35"/>
      <c r="K25" s="35"/>
      <c r="L25" s="35"/>
      <c r="M25" s="35"/>
      <c r="N25" s="49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  <c r="IW25" s="39"/>
      <c r="IX25" s="39"/>
      <c r="IY25" s="39"/>
      <c r="IZ25" s="39"/>
      <c r="JA25" s="39"/>
      <c r="JB25" s="39"/>
      <c r="JC25" s="39"/>
      <c r="JD25" s="39"/>
      <c r="JE25" s="39"/>
      <c r="JF25" s="39"/>
      <c r="JG25" s="39"/>
      <c r="JH25" s="39"/>
      <c r="JI25" s="39"/>
      <c r="JJ25" s="39"/>
      <c r="JK25" s="39"/>
      <c r="JL25" s="39"/>
      <c r="JM25" s="39"/>
      <c r="JN25" s="39"/>
      <c r="JO25" s="39"/>
      <c r="JP25" s="39"/>
      <c r="JQ25" s="39"/>
      <c r="JR25" s="39"/>
      <c r="JS25" s="39"/>
      <c r="JT25" s="39"/>
      <c r="JU25" s="39"/>
      <c r="JV25" s="39"/>
      <c r="JW25" s="39"/>
      <c r="JX25" s="39"/>
      <c r="JY25" s="39"/>
      <c r="JZ25" s="39"/>
      <c r="KA25" s="39"/>
      <c r="KB25" s="39"/>
      <c r="KC25" s="39"/>
      <c r="KD25" s="39"/>
      <c r="KE25" s="39"/>
      <c r="KF25" s="39"/>
      <c r="KG25" s="39"/>
      <c r="KH25" s="39"/>
      <c r="KI25" s="39"/>
      <c r="KJ25" s="39"/>
      <c r="KK25" s="39"/>
      <c r="KL25" s="39"/>
      <c r="KM25" s="39"/>
      <c r="KN25" s="39"/>
      <c r="KO25" s="39"/>
      <c r="KP25" s="39"/>
      <c r="KQ25" s="39"/>
      <c r="KR25" s="39"/>
      <c r="KS25" s="39"/>
      <c r="KT25" s="39"/>
      <c r="KU25" s="39"/>
      <c r="KV25" s="39"/>
      <c r="KW25" s="39"/>
      <c r="KX25" s="39"/>
      <c r="KY25" s="39"/>
      <c r="KZ25" s="39"/>
      <c r="LA25" s="39"/>
      <c r="LB25" s="39"/>
      <c r="LC25" s="39"/>
      <c r="LD25" s="39"/>
      <c r="LE25" s="39"/>
      <c r="LF25" s="39"/>
      <c r="LG25" s="39"/>
      <c r="LH25" s="39"/>
      <c r="LI25" s="39"/>
      <c r="LJ25" s="39"/>
      <c r="LK25" s="39"/>
      <c r="LL25" s="39"/>
      <c r="LM25" s="39"/>
      <c r="LN25" s="39"/>
      <c r="LO25" s="39"/>
      <c r="LP25" s="39"/>
      <c r="LQ25" s="39"/>
      <c r="LR25" s="39"/>
      <c r="LS25" s="39"/>
      <c r="LT25" s="39"/>
      <c r="LU25" s="39"/>
      <c r="LV25" s="39"/>
      <c r="LW25" s="39"/>
      <c r="LX25" s="39"/>
      <c r="LY25" s="39"/>
      <c r="LZ25" s="39"/>
      <c r="MA25" s="39"/>
      <c r="MB25" s="39"/>
      <c r="MC25" s="39"/>
      <c r="MD25" s="39"/>
      <c r="ME25" s="39"/>
      <c r="MF25" s="39"/>
      <c r="MG25" s="39"/>
      <c r="MH25" s="39"/>
      <c r="MI25" s="39"/>
      <c r="MJ25" s="39"/>
      <c r="MK25" s="39"/>
      <c r="ML25" s="35"/>
      <c r="MM25" s="35"/>
    </row>
    <row r="26" spans="1:351" x14ac:dyDescent="0.4">
      <c r="A26" s="30">
        <v>20</v>
      </c>
      <c r="B26" s="364"/>
      <c r="C26" s="364"/>
      <c r="D26" s="30" t="s">
        <v>76</v>
      </c>
      <c r="E26" s="30">
        <f t="shared" si="16"/>
        <v>0</v>
      </c>
      <c r="F26" s="37">
        <f t="shared" si="17"/>
        <v>0</v>
      </c>
      <c r="G26" s="35"/>
      <c r="H26" s="35"/>
      <c r="I26" s="35"/>
      <c r="J26" s="35"/>
      <c r="K26" s="35"/>
      <c r="L26" s="35"/>
      <c r="M26" s="35"/>
      <c r="N26" s="49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9"/>
      <c r="KI26" s="39"/>
      <c r="KJ26" s="39"/>
      <c r="KK26" s="39"/>
      <c r="KL26" s="39"/>
      <c r="KM26" s="39"/>
      <c r="KN26" s="39"/>
      <c r="KO26" s="39"/>
      <c r="KP26" s="39"/>
      <c r="KQ26" s="39"/>
      <c r="KR26" s="39"/>
      <c r="KS26" s="39"/>
      <c r="KT26" s="39"/>
      <c r="KU26" s="39"/>
      <c r="KV26" s="39"/>
      <c r="KW26" s="39"/>
      <c r="KX26" s="39"/>
      <c r="KY26" s="39"/>
      <c r="KZ26" s="39"/>
      <c r="LA26" s="39"/>
      <c r="LB26" s="39"/>
      <c r="LC26" s="39"/>
      <c r="LD26" s="39"/>
      <c r="LE26" s="39"/>
      <c r="LF26" s="39"/>
      <c r="LG26" s="39"/>
      <c r="LH26" s="39"/>
      <c r="LI26" s="39"/>
      <c r="LJ26" s="39"/>
      <c r="LK26" s="39"/>
      <c r="LL26" s="39"/>
      <c r="LM26" s="39"/>
      <c r="LN26" s="39"/>
      <c r="LO26" s="39"/>
      <c r="LP26" s="39"/>
      <c r="LQ26" s="39"/>
      <c r="LR26" s="39"/>
      <c r="LS26" s="39"/>
      <c r="LT26" s="39"/>
      <c r="LU26" s="39"/>
      <c r="LV26" s="39"/>
      <c r="LW26" s="39"/>
      <c r="LX26" s="39"/>
      <c r="LY26" s="39"/>
      <c r="LZ26" s="39"/>
      <c r="MA26" s="39"/>
      <c r="MB26" s="39"/>
      <c r="MC26" s="39"/>
      <c r="MD26" s="39"/>
      <c r="ME26" s="39"/>
      <c r="MF26" s="39"/>
      <c r="MG26" s="39"/>
      <c r="MH26" s="39"/>
      <c r="MI26" s="39"/>
      <c r="MJ26" s="39"/>
      <c r="MK26" s="39"/>
      <c r="ML26" s="35"/>
      <c r="MM26" s="35"/>
    </row>
    <row r="27" spans="1:351" x14ac:dyDescent="0.4">
      <c r="A27" s="30">
        <v>21</v>
      </c>
      <c r="B27" s="364"/>
      <c r="C27" s="364"/>
      <c r="D27" s="30" t="s">
        <v>77</v>
      </c>
      <c r="E27" s="30">
        <f t="shared" si="16"/>
        <v>0</v>
      </c>
      <c r="F27" s="37">
        <f t="shared" si="17"/>
        <v>0</v>
      </c>
      <c r="G27" s="35"/>
      <c r="H27" s="35"/>
      <c r="I27" s="35"/>
      <c r="J27" s="35"/>
      <c r="K27" s="35"/>
      <c r="L27" s="35"/>
      <c r="M27" s="35"/>
      <c r="N27" s="49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9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39"/>
      <c r="KV27" s="39"/>
      <c r="KW27" s="39"/>
      <c r="KX27" s="39"/>
      <c r="KY27" s="39"/>
      <c r="KZ27" s="39"/>
      <c r="LA27" s="39"/>
      <c r="LB27" s="39"/>
      <c r="LC27" s="39"/>
      <c r="LD27" s="39"/>
      <c r="LE27" s="39"/>
      <c r="LF27" s="39"/>
      <c r="LG27" s="39"/>
      <c r="LH27" s="39"/>
      <c r="LI27" s="39"/>
      <c r="LJ27" s="39"/>
      <c r="LK27" s="39"/>
      <c r="LL27" s="39"/>
      <c r="LM27" s="39"/>
      <c r="LN27" s="39"/>
      <c r="LO27" s="39"/>
      <c r="LP27" s="39"/>
      <c r="LQ27" s="39"/>
      <c r="LR27" s="39"/>
      <c r="LS27" s="39"/>
      <c r="LT27" s="39"/>
      <c r="LU27" s="39"/>
      <c r="LV27" s="39"/>
      <c r="LW27" s="39"/>
      <c r="LX27" s="39"/>
      <c r="LY27" s="39"/>
      <c r="LZ27" s="39"/>
      <c r="MA27" s="39"/>
      <c r="MB27" s="39"/>
      <c r="MC27" s="39"/>
      <c r="MD27" s="39"/>
      <c r="ME27" s="39"/>
      <c r="MF27" s="39"/>
      <c r="MG27" s="39"/>
      <c r="MH27" s="39"/>
      <c r="MI27" s="39"/>
      <c r="MJ27" s="39"/>
      <c r="MK27" s="39"/>
      <c r="ML27" s="35"/>
      <c r="MM27" s="35"/>
    </row>
    <row r="28" spans="1:351" ht="14.5" customHeight="1" x14ac:dyDescent="0.4">
      <c r="A28" s="30">
        <v>22</v>
      </c>
      <c r="B28" s="364"/>
      <c r="C28" s="364" t="s">
        <v>78</v>
      </c>
      <c r="D28" s="30" t="s">
        <v>75</v>
      </c>
      <c r="E28" s="30">
        <f t="shared" si="16"/>
        <v>0</v>
      </c>
      <c r="F28" s="37">
        <f t="shared" si="17"/>
        <v>0</v>
      </c>
      <c r="G28" s="35"/>
      <c r="H28" s="35"/>
      <c r="I28" s="35"/>
      <c r="J28" s="35"/>
      <c r="K28" s="35"/>
      <c r="L28" s="35"/>
      <c r="M28" s="35"/>
      <c r="N28" s="49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  <c r="IW28" s="39"/>
      <c r="IX28" s="39"/>
      <c r="IY28" s="39"/>
      <c r="IZ28" s="39"/>
      <c r="JA28" s="39"/>
      <c r="JB28" s="39"/>
      <c r="JC28" s="39"/>
      <c r="JD28" s="39"/>
      <c r="JE28" s="39"/>
      <c r="JF28" s="39"/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9"/>
      <c r="KI28" s="39"/>
      <c r="KJ28" s="39"/>
      <c r="KK28" s="39"/>
      <c r="KL28" s="39"/>
      <c r="KM28" s="39"/>
      <c r="KN28" s="39"/>
      <c r="KO28" s="39"/>
      <c r="KP28" s="39"/>
      <c r="KQ28" s="39"/>
      <c r="KR28" s="39"/>
      <c r="KS28" s="39"/>
      <c r="KT28" s="39"/>
      <c r="KU28" s="39"/>
      <c r="KV28" s="39"/>
      <c r="KW28" s="39"/>
      <c r="KX28" s="39"/>
      <c r="KY28" s="39"/>
      <c r="KZ28" s="39"/>
      <c r="LA28" s="39"/>
      <c r="LB28" s="39"/>
      <c r="LC28" s="39"/>
      <c r="LD28" s="39"/>
      <c r="LE28" s="39"/>
      <c r="LF28" s="39"/>
      <c r="LG28" s="39"/>
      <c r="LH28" s="39"/>
      <c r="LI28" s="39"/>
      <c r="LJ28" s="39"/>
      <c r="LK28" s="39"/>
      <c r="LL28" s="39"/>
      <c r="LM28" s="39"/>
      <c r="LN28" s="39"/>
      <c r="LO28" s="39"/>
      <c r="LP28" s="39"/>
      <c r="LQ28" s="39"/>
      <c r="LR28" s="39"/>
      <c r="LS28" s="39"/>
      <c r="LT28" s="39"/>
      <c r="LU28" s="39"/>
      <c r="LV28" s="39"/>
      <c r="LW28" s="39"/>
      <c r="LX28" s="39"/>
      <c r="LY28" s="39"/>
      <c r="LZ28" s="39"/>
      <c r="MA28" s="39"/>
      <c r="MB28" s="39"/>
      <c r="MC28" s="39"/>
      <c r="MD28" s="39"/>
      <c r="ME28" s="39"/>
      <c r="MF28" s="39"/>
      <c r="MG28" s="39"/>
      <c r="MH28" s="39"/>
      <c r="MI28" s="39"/>
      <c r="MJ28" s="39"/>
      <c r="MK28" s="39"/>
      <c r="ML28" s="35"/>
      <c r="MM28" s="35"/>
    </row>
    <row r="29" spans="1:351" x14ac:dyDescent="0.4">
      <c r="A29" s="30">
        <v>23</v>
      </c>
      <c r="B29" s="364"/>
      <c r="C29" s="364"/>
      <c r="D29" s="30" t="s">
        <v>76</v>
      </c>
      <c r="E29" s="30">
        <f t="shared" si="16"/>
        <v>0</v>
      </c>
      <c r="F29" s="37">
        <f t="shared" si="17"/>
        <v>0</v>
      </c>
      <c r="G29" s="35"/>
      <c r="H29" s="35"/>
      <c r="I29" s="35"/>
      <c r="J29" s="35"/>
      <c r="K29" s="35"/>
      <c r="L29" s="35"/>
      <c r="M29" s="35"/>
      <c r="N29" s="49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9"/>
      <c r="JD29" s="39"/>
      <c r="JE29" s="39"/>
      <c r="JF29" s="39"/>
      <c r="JG29" s="39"/>
      <c r="JH29" s="39"/>
      <c r="JI29" s="39"/>
      <c r="JJ29" s="39"/>
      <c r="JK29" s="39"/>
      <c r="JL29" s="39"/>
      <c r="JM29" s="39"/>
      <c r="JN29" s="39"/>
      <c r="JO29" s="39"/>
      <c r="JP29" s="39"/>
      <c r="JQ29" s="39"/>
      <c r="JR29" s="39"/>
      <c r="JS29" s="39"/>
      <c r="JT29" s="39"/>
      <c r="JU29" s="39"/>
      <c r="JV29" s="39"/>
      <c r="JW29" s="39"/>
      <c r="JX29" s="39"/>
      <c r="JY29" s="39"/>
      <c r="JZ29" s="39"/>
      <c r="KA29" s="39"/>
      <c r="KB29" s="39"/>
      <c r="KC29" s="39"/>
      <c r="KD29" s="39"/>
      <c r="KE29" s="39"/>
      <c r="KF29" s="39"/>
      <c r="KG29" s="39"/>
      <c r="KH29" s="39"/>
      <c r="KI29" s="39"/>
      <c r="KJ29" s="39"/>
      <c r="KK29" s="39"/>
      <c r="KL29" s="39"/>
      <c r="KM29" s="39"/>
      <c r="KN29" s="39"/>
      <c r="KO29" s="39"/>
      <c r="KP29" s="39"/>
      <c r="KQ29" s="39"/>
      <c r="KR29" s="39"/>
      <c r="KS29" s="39"/>
      <c r="KT29" s="39"/>
      <c r="KU29" s="39"/>
      <c r="KV29" s="39"/>
      <c r="KW29" s="39"/>
      <c r="KX29" s="39"/>
      <c r="KY29" s="39"/>
      <c r="KZ29" s="39"/>
      <c r="LA29" s="39"/>
      <c r="LB29" s="39"/>
      <c r="LC29" s="39"/>
      <c r="LD29" s="39"/>
      <c r="LE29" s="39"/>
      <c r="LF29" s="39"/>
      <c r="LG29" s="39"/>
      <c r="LH29" s="39"/>
      <c r="LI29" s="39"/>
      <c r="LJ29" s="39"/>
      <c r="LK29" s="39"/>
      <c r="LL29" s="39"/>
      <c r="LM29" s="39"/>
      <c r="LN29" s="39"/>
      <c r="LO29" s="39"/>
      <c r="LP29" s="39"/>
      <c r="LQ29" s="39"/>
      <c r="LR29" s="39"/>
      <c r="LS29" s="39"/>
      <c r="LT29" s="39"/>
      <c r="LU29" s="39"/>
      <c r="LV29" s="39"/>
      <c r="LW29" s="39"/>
      <c r="LX29" s="39"/>
      <c r="LY29" s="39"/>
      <c r="LZ29" s="39"/>
      <c r="MA29" s="39"/>
      <c r="MB29" s="39"/>
      <c r="MC29" s="39"/>
      <c r="MD29" s="39"/>
      <c r="ME29" s="39"/>
      <c r="MF29" s="39"/>
      <c r="MG29" s="39"/>
      <c r="MH29" s="39"/>
      <c r="MI29" s="39"/>
      <c r="MJ29" s="39"/>
      <c r="MK29" s="39"/>
      <c r="ML29" s="35"/>
      <c r="MM29" s="35"/>
    </row>
    <row r="30" spans="1:351" x14ac:dyDescent="0.4">
      <c r="A30" s="30">
        <v>24</v>
      </c>
      <c r="B30" s="364"/>
      <c r="C30" s="364"/>
      <c r="D30" s="30" t="s">
        <v>77</v>
      </c>
      <c r="E30" s="30">
        <f t="shared" si="16"/>
        <v>0</v>
      </c>
      <c r="F30" s="37">
        <f t="shared" si="17"/>
        <v>0</v>
      </c>
      <c r="G30" s="35"/>
      <c r="H30" s="35"/>
      <c r="I30" s="35"/>
      <c r="J30" s="35"/>
      <c r="K30" s="35"/>
      <c r="L30" s="35"/>
      <c r="M30" s="35"/>
      <c r="N30" s="49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  <c r="IW30" s="39"/>
      <c r="IX30" s="39"/>
      <c r="IY30" s="39"/>
      <c r="IZ30" s="39"/>
      <c r="JA30" s="39"/>
      <c r="JB30" s="39"/>
      <c r="JC30" s="39"/>
      <c r="JD30" s="39"/>
      <c r="JE30" s="39"/>
      <c r="JF30" s="39"/>
      <c r="JG30" s="39"/>
      <c r="JH30" s="39"/>
      <c r="JI30" s="39"/>
      <c r="JJ30" s="39"/>
      <c r="JK30" s="39"/>
      <c r="JL30" s="39"/>
      <c r="JM30" s="39"/>
      <c r="JN30" s="39"/>
      <c r="JO30" s="39"/>
      <c r="JP30" s="39"/>
      <c r="JQ30" s="39"/>
      <c r="JR30" s="39"/>
      <c r="JS30" s="39"/>
      <c r="JT30" s="39"/>
      <c r="JU30" s="39"/>
      <c r="JV30" s="39"/>
      <c r="JW30" s="39"/>
      <c r="JX30" s="39"/>
      <c r="JY30" s="39"/>
      <c r="JZ30" s="39"/>
      <c r="KA30" s="39"/>
      <c r="KB30" s="39"/>
      <c r="KC30" s="39"/>
      <c r="KD30" s="39"/>
      <c r="KE30" s="39"/>
      <c r="KF30" s="39"/>
      <c r="KG30" s="39"/>
      <c r="KH30" s="39"/>
      <c r="KI30" s="39"/>
      <c r="KJ30" s="39"/>
      <c r="KK30" s="39"/>
      <c r="KL30" s="39"/>
      <c r="KM30" s="39"/>
      <c r="KN30" s="39"/>
      <c r="KO30" s="39"/>
      <c r="KP30" s="39"/>
      <c r="KQ30" s="39"/>
      <c r="KR30" s="39"/>
      <c r="KS30" s="39"/>
      <c r="KT30" s="39"/>
      <c r="KU30" s="39"/>
      <c r="KV30" s="39"/>
      <c r="KW30" s="39"/>
      <c r="KX30" s="39"/>
      <c r="KY30" s="39"/>
      <c r="KZ30" s="39"/>
      <c r="LA30" s="39"/>
      <c r="LB30" s="39"/>
      <c r="LC30" s="39"/>
      <c r="LD30" s="39"/>
      <c r="LE30" s="39"/>
      <c r="LF30" s="39"/>
      <c r="LG30" s="39"/>
      <c r="LH30" s="39"/>
      <c r="LI30" s="39"/>
      <c r="LJ30" s="39"/>
      <c r="LK30" s="39"/>
      <c r="LL30" s="39"/>
      <c r="LM30" s="39"/>
      <c r="LN30" s="39"/>
      <c r="LO30" s="39"/>
      <c r="LP30" s="39"/>
      <c r="LQ30" s="39"/>
      <c r="LR30" s="39"/>
      <c r="LS30" s="39"/>
      <c r="LT30" s="39"/>
      <c r="LU30" s="39"/>
      <c r="LV30" s="39"/>
      <c r="LW30" s="39"/>
      <c r="LX30" s="39"/>
      <c r="LY30" s="39"/>
      <c r="LZ30" s="39"/>
      <c r="MA30" s="39"/>
      <c r="MB30" s="39"/>
      <c r="MC30" s="39"/>
      <c r="MD30" s="39"/>
      <c r="ME30" s="39"/>
      <c r="MF30" s="39"/>
      <c r="MG30" s="39"/>
      <c r="MH30" s="39"/>
      <c r="MI30" s="39"/>
      <c r="MJ30" s="39"/>
      <c r="MK30" s="39"/>
      <c r="ML30" s="35"/>
      <c r="MM30" s="35"/>
    </row>
    <row r="31" spans="1:351" x14ac:dyDescent="0.4">
      <c r="A31" s="30">
        <v>25</v>
      </c>
      <c r="B31" s="364"/>
      <c r="C31" s="364" t="s">
        <v>4</v>
      </c>
      <c r="D31" s="30" t="s">
        <v>75</v>
      </c>
      <c r="E31" s="30">
        <f t="shared" si="16"/>
        <v>0</v>
      </c>
      <c r="F31" s="37">
        <f t="shared" si="17"/>
        <v>0</v>
      </c>
      <c r="G31" s="35"/>
      <c r="H31" s="35"/>
      <c r="I31" s="35"/>
      <c r="J31" s="35"/>
      <c r="K31" s="35"/>
      <c r="L31" s="35"/>
      <c r="M31" s="35"/>
      <c r="N31" s="49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  <c r="JC31" s="39"/>
      <c r="JD31" s="39"/>
      <c r="JE31" s="39"/>
      <c r="JF31" s="39"/>
      <c r="JG31" s="39"/>
      <c r="JH31" s="39"/>
      <c r="JI31" s="39"/>
      <c r="JJ31" s="39"/>
      <c r="JK31" s="39"/>
      <c r="JL31" s="39"/>
      <c r="JM31" s="39"/>
      <c r="JN31" s="39"/>
      <c r="JO31" s="39"/>
      <c r="JP31" s="39"/>
      <c r="JQ31" s="39"/>
      <c r="JR31" s="39"/>
      <c r="JS31" s="39"/>
      <c r="JT31" s="39"/>
      <c r="JU31" s="39"/>
      <c r="JV31" s="39"/>
      <c r="JW31" s="39"/>
      <c r="JX31" s="39"/>
      <c r="JY31" s="39"/>
      <c r="JZ31" s="39"/>
      <c r="KA31" s="39"/>
      <c r="KB31" s="39"/>
      <c r="KC31" s="39"/>
      <c r="KD31" s="39"/>
      <c r="KE31" s="39"/>
      <c r="KF31" s="39"/>
      <c r="KG31" s="39"/>
      <c r="KH31" s="39"/>
      <c r="KI31" s="39"/>
      <c r="KJ31" s="39"/>
      <c r="KK31" s="39"/>
      <c r="KL31" s="39"/>
      <c r="KM31" s="39"/>
      <c r="KN31" s="39"/>
      <c r="KO31" s="39"/>
      <c r="KP31" s="39"/>
      <c r="KQ31" s="39"/>
      <c r="KR31" s="39"/>
      <c r="KS31" s="39"/>
      <c r="KT31" s="39"/>
      <c r="KU31" s="39"/>
      <c r="KV31" s="39"/>
      <c r="KW31" s="39"/>
      <c r="KX31" s="39"/>
      <c r="KY31" s="39"/>
      <c r="KZ31" s="39"/>
      <c r="LA31" s="39"/>
      <c r="LB31" s="39"/>
      <c r="LC31" s="39"/>
      <c r="LD31" s="39"/>
      <c r="LE31" s="39"/>
      <c r="LF31" s="39"/>
      <c r="LG31" s="39"/>
      <c r="LH31" s="39"/>
      <c r="LI31" s="39"/>
      <c r="LJ31" s="39"/>
      <c r="LK31" s="39"/>
      <c r="LL31" s="39"/>
      <c r="LM31" s="39"/>
      <c r="LN31" s="39"/>
      <c r="LO31" s="39"/>
      <c r="LP31" s="39"/>
      <c r="LQ31" s="39"/>
      <c r="LR31" s="39"/>
      <c r="LS31" s="39"/>
      <c r="LT31" s="39"/>
      <c r="LU31" s="39"/>
      <c r="LV31" s="39"/>
      <c r="LW31" s="39"/>
      <c r="LX31" s="39"/>
      <c r="LY31" s="39"/>
      <c r="LZ31" s="39"/>
      <c r="MA31" s="39"/>
      <c r="MB31" s="39"/>
      <c r="MC31" s="39"/>
      <c r="MD31" s="39"/>
      <c r="ME31" s="39"/>
      <c r="MF31" s="39"/>
      <c r="MG31" s="39"/>
      <c r="MH31" s="39"/>
      <c r="MI31" s="39"/>
      <c r="MJ31" s="39"/>
      <c r="MK31" s="39"/>
      <c r="ML31" s="35"/>
      <c r="MM31" s="35"/>
    </row>
    <row r="32" spans="1:351" x14ac:dyDescent="0.4">
      <c r="A32" s="30">
        <v>26</v>
      </c>
      <c r="B32" s="364"/>
      <c r="C32" s="364"/>
      <c r="D32" s="30" t="s">
        <v>76</v>
      </c>
      <c r="E32" s="30">
        <f t="shared" si="16"/>
        <v>0</v>
      </c>
      <c r="F32" s="37">
        <f t="shared" si="17"/>
        <v>0</v>
      </c>
      <c r="G32" s="35"/>
      <c r="H32" s="35"/>
      <c r="I32" s="35"/>
      <c r="J32" s="35"/>
      <c r="K32" s="35"/>
      <c r="L32" s="35"/>
      <c r="M32" s="35"/>
      <c r="N32" s="49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  <c r="JC32" s="39"/>
      <c r="JD32" s="39"/>
      <c r="JE32" s="39"/>
      <c r="JF32" s="39"/>
      <c r="JG32" s="39"/>
      <c r="JH32" s="39"/>
      <c r="JI32" s="39"/>
      <c r="JJ32" s="39"/>
      <c r="JK32" s="39"/>
      <c r="JL32" s="39"/>
      <c r="JM32" s="39"/>
      <c r="JN32" s="39"/>
      <c r="JO32" s="39"/>
      <c r="JP32" s="39"/>
      <c r="JQ32" s="39"/>
      <c r="JR32" s="39"/>
      <c r="JS32" s="39"/>
      <c r="JT32" s="39"/>
      <c r="JU32" s="39"/>
      <c r="JV32" s="39"/>
      <c r="JW32" s="39"/>
      <c r="JX32" s="39"/>
      <c r="JY32" s="39"/>
      <c r="JZ32" s="39"/>
      <c r="KA32" s="39"/>
      <c r="KB32" s="39"/>
      <c r="KC32" s="39"/>
      <c r="KD32" s="39"/>
      <c r="KE32" s="39"/>
      <c r="KF32" s="39"/>
      <c r="KG32" s="39"/>
      <c r="KH32" s="39"/>
      <c r="KI32" s="39"/>
      <c r="KJ32" s="39"/>
      <c r="KK32" s="39"/>
      <c r="KL32" s="39"/>
      <c r="KM32" s="39"/>
      <c r="KN32" s="39"/>
      <c r="KO32" s="39"/>
      <c r="KP32" s="39"/>
      <c r="KQ32" s="39"/>
      <c r="KR32" s="39"/>
      <c r="KS32" s="39"/>
      <c r="KT32" s="39"/>
      <c r="KU32" s="39"/>
      <c r="KV32" s="39"/>
      <c r="KW32" s="39"/>
      <c r="KX32" s="39"/>
      <c r="KY32" s="39"/>
      <c r="KZ32" s="39"/>
      <c r="LA32" s="39"/>
      <c r="LB32" s="39"/>
      <c r="LC32" s="39"/>
      <c r="LD32" s="39"/>
      <c r="LE32" s="39"/>
      <c r="LF32" s="39"/>
      <c r="LG32" s="39"/>
      <c r="LH32" s="39"/>
      <c r="LI32" s="39"/>
      <c r="LJ32" s="39"/>
      <c r="LK32" s="39"/>
      <c r="LL32" s="39"/>
      <c r="LM32" s="39"/>
      <c r="LN32" s="39"/>
      <c r="LO32" s="39"/>
      <c r="LP32" s="39"/>
      <c r="LQ32" s="39"/>
      <c r="LR32" s="39"/>
      <c r="LS32" s="39"/>
      <c r="LT32" s="39"/>
      <c r="LU32" s="39"/>
      <c r="LV32" s="39"/>
      <c r="LW32" s="39"/>
      <c r="LX32" s="39"/>
      <c r="LY32" s="39"/>
      <c r="LZ32" s="39"/>
      <c r="MA32" s="39"/>
      <c r="MB32" s="39"/>
      <c r="MC32" s="39"/>
      <c r="MD32" s="39"/>
      <c r="ME32" s="39"/>
      <c r="MF32" s="39"/>
      <c r="MG32" s="39"/>
      <c r="MH32" s="39"/>
      <c r="MI32" s="39"/>
      <c r="MJ32" s="39"/>
      <c r="MK32" s="39"/>
      <c r="ML32" s="35"/>
      <c r="MM32" s="35"/>
    </row>
    <row r="33" spans="1:351" x14ac:dyDescent="0.4">
      <c r="A33" s="30">
        <v>27</v>
      </c>
      <c r="B33" s="364"/>
      <c r="C33" s="364"/>
      <c r="D33" s="30" t="s">
        <v>77</v>
      </c>
      <c r="E33" s="30">
        <f t="shared" si="16"/>
        <v>0</v>
      </c>
      <c r="F33" s="37">
        <f t="shared" si="17"/>
        <v>0</v>
      </c>
      <c r="G33" s="35"/>
      <c r="H33" s="35"/>
      <c r="I33" s="35"/>
      <c r="J33" s="35"/>
      <c r="K33" s="35"/>
      <c r="L33" s="35"/>
      <c r="M33" s="35"/>
      <c r="N33" s="49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  <c r="IW33" s="39"/>
      <c r="IX33" s="39"/>
      <c r="IY33" s="39"/>
      <c r="IZ33" s="39"/>
      <c r="JA33" s="39"/>
      <c r="JB33" s="39"/>
      <c r="JC33" s="39"/>
      <c r="JD33" s="39"/>
      <c r="JE33" s="39"/>
      <c r="JF33" s="39"/>
      <c r="JG33" s="39"/>
      <c r="JH33" s="39"/>
      <c r="JI33" s="39"/>
      <c r="JJ33" s="39"/>
      <c r="JK33" s="39"/>
      <c r="JL33" s="39"/>
      <c r="JM33" s="39"/>
      <c r="JN33" s="39"/>
      <c r="JO33" s="39"/>
      <c r="JP33" s="39"/>
      <c r="JQ33" s="39"/>
      <c r="JR33" s="39"/>
      <c r="JS33" s="39"/>
      <c r="JT33" s="39"/>
      <c r="JU33" s="39"/>
      <c r="JV33" s="39"/>
      <c r="JW33" s="39"/>
      <c r="JX33" s="39"/>
      <c r="JY33" s="39"/>
      <c r="JZ33" s="39"/>
      <c r="KA33" s="39"/>
      <c r="KB33" s="39"/>
      <c r="KC33" s="39"/>
      <c r="KD33" s="39"/>
      <c r="KE33" s="39"/>
      <c r="KF33" s="39"/>
      <c r="KG33" s="39"/>
      <c r="KH33" s="39"/>
      <c r="KI33" s="39"/>
      <c r="KJ33" s="39"/>
      <c r="KK33" s="39"/>
      <c r="KL33" s="39"/>
      <c r="KM33" s="39"/>
      <c r="KN33" s="39"/>
      <c r="KO33" s="39"/>
      <c r="KP33" s="39"/>
      <c r="KQ33" s="39"/>
      <c r="KR33" s="39"/>
      <c r="KS33" s="39"/>
      <c r="KT33" s="39"/>
      <c r="KU33" s="39"/>
      <c r="KV33" s="39"/>
      <c r="KW33" s="39"/>
      <c r="KX33" s="39"/>
      <c r="KY33" s="39"/>
      <c r="KZ33" s="39"/>
      <c r="LA33" s="39"/>
      <c r="LB33" s="39"/>
      <c r="LC33" s="39"/>
      <c r="LD33" s="39"/>
      <c r="LE33" s="39"/>
      <c r="LF33" s="39"/>
      <c r="LG33" s="39"/>
      <c r="LH33" s="39"/>
      <c r="LI33" s="39"/>
      <c r="LJ33" s="39"/>
      <c r="LK33" s="39"/>
      <c r="LL33" s="39"/>
      <c r="LM33" s="39"/>
      <c r="LN33" s="39"/>
      <c r="LO33" s="39"/>
      <c r="LP33" s="39"/>
      <c r="LQ33" s="39"/>
      <c r="LR33" s="39"/>
      <c r="LS33" s="39"/>
      <c r="LT33" s="39"/>
      <c r="LU33" s="39"/>
      <c r="LV33" s="39"/>
      <c r="LW33" s="39"/>
      <c r="LX33" s="39"/>
      <c r="LY33" s="39"/>
      <c r="LZ33" s="39"/>
      <c r="MA33" s="39"/>
      <c r="MB33" s="39"/>
      <c r="MC33" s="39"/>
      <c r="MD33" s="39"/>
      <c r="ME33" s="39"/>
      <c r="MF33" s="39"/>
      <c r="MG33" s="39"/>
      <c r="MH33" s="39"/>
      <c r="MI33" s="39"/>
      <c r="MJ33" s="39"/>
      <c r="MK33" s="39"/>
      <c r="ML33" s="35"/>
      <c r="MM33" s="35"/>
    </row>
    <row r="34" spans="1:351" ht="26.15" customHeight="1" x14ac:dyDescent="0.4">
      <c r="A34" s="30">
        <v>28</v>
      </c>
      <c r="B34" s="365"/>
      <c r="C34" s="365" t="s">
        <v>78</v>
      </c>
      <c r="D34" s="30" t="s">
        <v>75</v>
      </c>
      <c r="E34" s="30">
        <f t="shared" si="16"/>
        <v>0</v>
      </c>
      <c r="F34" s="37">
        <f t="shared" si="17"/>
        <v>0</v>
      </c>
      <c r="G34" s="35"/>
      <c r="H34" s="35"/>
      <c r="I34" s="35"/>
      <c r="J34" s="35"/>
      <c r="K34" s="35"/>
      <c r="L34" s="35"/>
      <c r="M34" s="35"/>
      <c r="N34" s="49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39"/>
      <c r="IN34" s="39"/>
      <c r="IO34" s="39"/>
      <c r="IP34" s="39"/>
      <c r="IQ34" s="39"/>
      <c r="IR34" s="39"/>
      <c r="IS34" s="39"/>
      <c r="IT34" s="39"/>
      <c r="IU34" s="39"/>
      <c r="IV34" s="39"/>
      <c r="IW34" s="39"/>
      <c r="IX34" s="39"/>
      <c r="IY34" s="39"/>
      <c r="IZ34" s="39"/>
      <c r="JA34" s="39"/>
      <c r="JB34" s="39"/>
      <c r="JC34" s="39"/>
      <c r="JD34" s="39"/>
      <c r="JE34" s="39"/>
      <c r="JF34" s="39"/>
      <c r="JG34" s="39"/>
      <c r="JH34" s="39"/>
      <c r="JI34" s="39"/>
      <c r="JJ34" s="39"/>
      <c r="JK34" s="39"/>
      <c r="JL34" s="39"/>
      <c r="JM34" s="39"/>
      <c r="JN34" s="39"/>
      <c r="JO34" s="39"/>
      <c r="JP34" s="39"/>
      <c r="JQ34" s="39"/>
      <c r="JR34" s="39"/>
      <c r="JS34" s="39"/>
      <c r="JT34" s="39"/>
      <c r="JU34" s="39"/>
      <c r="JV34" s="39"/>
      <c r="JW34" s="39"/>
      <c r="JX34" s="39"/>
      <c r="JY34" s="39"/>
      <c r="JZ34" s="39"/>
      <c r="KA34" s="39"/>
      <c r="KB34" s="39"/>
      <c r="KC34" s="39"/>
      <c r="KD34" s="39"/>
      <c r="KE34" s="39"/>
      <c r="KF34" s="39"/>
      <c r="KG34" s="39"/>
      <c r="KH34" s="39"/>
      <c r="KI34" s="39"/>
      <c r="KJ34" s="39"/>
      <c r="KK34" s="39"/>
      <c r="KL34" s="39"/>
      <c r="KM34" s="39"/>
      <c r="KN34" s="39"/>
      <c r="KO34" s="39"/>
      <c r="KP34" s="39"/>
      <c r="KQ34" s="39"/>
      <c r="KR34" s="39"/>
      <c r="KS34" s="39"/>
      <c r="KT34" s="39"/>
      <c r="KU34" s="39"/>
      <c r="KV34" s="39"/>
      <c r="KW34" s="39"/>
      <c r="KX34" s="39"/>
      <c r="KY34" s="39"/>
      <c r="KZ34" s="39"/>
      <c r="LA34" s="39"/>
      <c r="LB34" s="39"/>
      <c r="LC34" s="39"/>
      <c r="LD34" s="39"/>
      <c r="LE34" s="39"/>
      <c r="LF34" s="39"/>
      <c r="LG34" s="39"/>
      <c r="LH34" s="39"/>
      <c r="LI34" s="39"/>
      <c r="LJ34" s="39"/>
      <c r="LK34" s="39"/>
      <c r="LL34" s="39"/>
      <c r="LM34" s="39"/>
      <c r="LN34" s="39"/>
      <c r="LO34" s="39"/>
      <c r="LP34" s="39"/>
      <c r="LQ34" s="39"/>
      <c r="LR34" s="39"/>
      <c r="LS34" s="39"/>
      <c r="LT34" s="39"/>
      <c r="LU34" s="39"/>
      <c r="LV34" s="39"/>
      <c r="LW34" s="39"/>
      <c r="LX34" s="39"/>
      <c r="LY34" s="39"/>
      <c r="LZ34" s="39"/>
      <c r="MA34" s="39"/>
      <c r="MB34" s="39"/>
      <c r="MC34" s="39"/>
      <c r="MD34" s="39"/>
      <c r="ME34" s="39"/>
      <c r="MF34" s="39"/>
      <c r="MG34" s="39"/>
      <c r="MH34" s="39"/>
      <c r="MI34" s="39"/>
      <c r="MJ34" s="39"/>
      <c r="MK34" s="39"/>
      <c r="ML34" s="35"/>
      <c r="MM34" s="35"/>
    </row>
    <row r="35" spans="1:351" x14ac:dyDescent="0.4">
      <c r="A35" s="30">
        <v>29</v>
      </c>
      <c r="B35" s="366"/>
      <c r="C35" s="366"/>
      <c r="D35" s="30" t="s">
        <v>76</v>
      </c>
      <c r="E35" s="30">
        <f t="shared" si="16"/>
        <v>0</v>
      </c>
      <c r="F35" s="37">
        <f t="shared" si="17"/>
        <v>0</v>
      </c>
      <c r="G35" s="35"/>
      <c r="H35" s="35"/>
      <c r="I35" s="35"/>
      <c r="J35" s="35"/>
      <c r="K35" s="35"/>
      <c r="L35" s="35"/>
      <c r="M35" s="35"/>
      <c r="N35" s="49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39"/>
      <c r="IN35" s="39"/>
      <c r="IO35" s="39"/>
      <c r="IP35" s="39"/>
      <c r="IQ35" s="39"/>
      <c r="IR35" s="39"/>
      <c r="IS35" s="39"/>
      <c r="IT35" s="39"/>
      <c r="IU35" s="39"/>
      <c r="IV35" s="39"/>
      <c r="IW35" s="39"/>
      <c r="IX35" s="39"/>
      <c r="IY35" s="39"/>
      <c r="IZ35" s="39"/>
      <c r="JA35" s="39"/>
      <c r="JB35" s="39"/>
      <c r="JC35" s="39"/>
      <c r="JD35" s="39"/>
      <c r="JE35" s="39"/>
      <c r="JF35" s="39"/>
      <c r="JG35" s="39"/>
      <c r="JH35" s="39"/>
      <c r="JI35" s="39"/>
      <c r="JJ35" s="39"/>
      <c r="JK35" s="39"/>
      <c r="JL35" s="39"/>
      <c r="JM35" s="39"/>
      <c r="JN35" s="39"/>
      <c r="JO35" s="39"/>
      <c r="JP35" s="39"/>
      <c r="JQ35" s="39"/>
      <c r="JR35" s="39"/>
      <c r="JS35" s="39"/>
      <c r="JT35" s="39"/>
      <c r="JU35" s="39"/>
      <c r="JV35" s="39"/>
      <c r="JW35" s="39"/>
      <c r="JX35" s="39"/>
      <c r="JY35" s="39"/>
      <c r="JZ35" s="39"/>
      <c r="KA35" s="39"/>
      <c r="KB35" s="39"/>
      <c r="KC35" s="39"/>
      <c r="KD35" s="39"/>
      <c r="KE35" s="39"/>
      <c r="KF35" s="39"/>
      <c r="KG35" s="39"/>
      <c r="KH35" s="39"/>
      <c r="KI35" s="39"/>
      <c r="KJ35" s="39"/>
      <c r="KK35" s="39"/>
      <c r="KL35" s="39"/>
      <c r="KM35" s="39"/>
      <c r="KN35" s="39"/>
      <c r="KO35" s="39"/>
      <c r="KP35" s="39"/>
      <c r="KQ35" s="39"/>
      <c r="KR35" s="39"/>
      <c r="KS35" s="39"/>
      <c r="KT35" s="39"/>
      <c r="KU35" s="39"/>
      <c r="KV35" s="39"/>
      <c r="KW35" s="39"/>
      <c r="KX35" s="39"/>
      <c r="KY35" s="39"/>
      <c r="KZ35" s="39"/>
      <c r="LA35" s="39"/>
      <c r="LB35" s="39"/>
      <c r="LC35" s="39"/>
      <c r="LD35" s="39"/>
      <c r="LE35" s="39"/>
      <c r="LF35" s="39"/>
      <c r="LG35" s="39"/>
      <c r="LH35" s="39"/>
      <c r="LI35" s="39"/>
      <c r="LJ35" s="39"/>
      <c r="LK35" s="39"/>
      <c r="LL35" s="39"/>
      <c r="LM35" s="39"/>
      <c r="LN35" s="39"/>
      <c r="LO35" s="39"/>
      <c r="LP35" s="39"/>
      <c r="LQ35" s="39"/>
      <c r="LR35" s="39"/>
      <c r="LS35" s="39"/>
      <c r="LT35" s="39"/>
      <c r="LU35" s="39"/>
      <c r="LV35" s="39"/>
      <c r="LW35" s="39"/>
      <c r="LX35" s="39"/>
      <c r="LY35" s="39"/>
      <c r="LZ35" s="39"/>
      <c r="MA35" s="39"/>
      <c r="MB35" s="39"/>
      <c r="MC35" s="39"/>
      <c r="MD35" s="39"/>
      <c r="ME35" s="39"/>
      <c r="MF35" s="39"/>
      <c r="MG35" s="39"/>
      <c r="MH35" s="39"/>
      <c r="MI35" s="39"/>
      <c r="MJ35" s="39"/>
      <c r="MK35" s="39"/>
      <c r="ML35" s="35"/>
      <c r="MM35" s="35"/>
    </row>
    <row r="36" spans="1:351" x14ac:dyDescent="0.4">
      <c r="A36" s="30">
        <v>30</v>
      </c>
      <c r="B36" s="366"/>
      <c r="C36" s="366"/>
      <c r="D36" s="30" t="s">
        <v>77</v>
      </c>
      <c r="E36" s="30">
        <f t="shared" si="16"/>
        <v>0</v>
      </c>
      <c r="F36" s="37">
        <f t="shared" si="17"/>
        <v>0</v>
      </c>
      <c r="G36" s="35"/>
      <c r="H36" s="35"/>
      <c r="I36" s="35"/>
      <c r="J36" s="35"/>
      <c r="K36" s="35"/>
      <c r="L36" s="35"/>
      <c r="M36" s="35"/>
      <c r="N36" s="49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9"/>
      <c r="JD36" s="39"/>
      <c r="JE36" s="39"/>
      <c r="JF36" s="39"/>
      <c r="JG36" s="39"/>
      <c r="JH36" s="39"/>
      <c r="JI36" s="39"/>
      <c r="JJ36" s="39"/>
      <c r="JK36" s="39"/>
      <c r="JL36" s="39"/>
      <c r="JM36" s="39"/>
      <c r="JN36" s="39"/>
      <c r="JO36" s="39"/>
      <c r="JP36" s="39"/>
      <c r="JQ36" s="39"/>
      <c r="JR36" s="39"/>
      <c r="JS36" s="39"/>
      <c r="JT36" s="39"/>
      <c r="JU36" s="39"/>
      <c r="JV36" s="39"/>
      <c r="JW36" s="39"/>
      <c r="JX36" s="39"/>
      <c r="JY36" s="39"/>
      <c r="JZ36" s="39"/>
      <c r="KA36" s="39"/>
      <c r="KB36" s="39"/>
      <c r="KC36" s="39"/>
      <c r="KD36" s="39"/>
      <c r="KE36" s="39"/>
      <c r="KF36" s="39"/>
      <c r="KG36" s="39"/>
      <c r="KH36" s="39"/>
      <c r="KI36" s="39"/>
      <c r="KJ36" s="39"/>
      <c r="KK36" s="39"/>
      <c r="KL36" s="39"/>
      <c r="KM36" s="39"/>
      <c r="KN36" s="39"/>
      <c r="KO36" s="39"/>
      <c r="KP36" s="39"/>
      <c r="KQ36" s="39"/>
      <c r="KR36" s="39"/>
      <c r="KS36" s="39"/>
      <c r="KT36" s="39"/>
      <c r="KU36" s="39"/>
      <c r="KV36" s="39"/>
      <c r="KW36" s="39"/>
      <c r="KX36" s="39"/>
      <c r="KY36" s="39"/>
      <c r="KZ36" s="39"/>
      <c r="LA36" s="39"/>
      <c r="LB36" s="39"/>
      <c r="LC36" s="39"/>
      <c r="LD36" s="39"/>
      <c r="LE36" s="39"/>
      <c r="LF36" s="39"/>
      <c r="LG36" s="39"/>
      <c r="LH36" s="39"/>
      <c r="LI36" s="39"/>
      <c r="LJ36" s="39"/>
      <c r="LK36" s="39"/>
      <c r="LL36" s="39"/>
      <c r="LM36" s="39"/>
      <c r="LN36" s="39"/>
      <c r="LO36" s="39"/>
      <c r="LP36" s="39"/>
      <c r="LQ36" s="39"/>
      <c r="LR36" s="39"/>
      <c r="LS36" s="39"/>
      <c r="LT36" s="39"/>
      <c r="LU36" s="39"/>
      <c r="LV36" s="39"/>
      <c r="LW36" s="39"/>
      <c r="LX36" s="39"/>
      <c r="LY36" s="39"/>
      <c r="LZ36" s="39"/>
      <c r="MA36" s="39"/>
      <c r="MB36" s="39"/>
      <c r="MC36" s="39"/>
      <c r="MD36" s="39"/>
      <c r="ME36" s="39"/>
      <c r="MF36" s="39"/>
      <c r="MG36" s="39"/>
      <c r="MH36" s="39"/>
      <c r="MI36" s="39"/>
      <c r="MJ36" s="39"/>
      <c r="MK36" s="39"/>
      <c r="ML36" s="35"/>
      <c r="MM36" s="35"/>
    </row>
    <row r="37" spans="1:351" x14ac:dyDescent="0.4">
      <c r="A37" s="30">
        <v>31</v>
      </c>
      <c r="B37" s="364"/>
      <c r="C37" s="364" t="s">
        <v>4</v>
      </c>
      <c r="D37" s="30" t="s">
        <v>75</v>
      </c>
      <c r="E37" s="30">
        <f t="shared" si="16"/>
        <v>0</v>
      </c>
      <c r="F37" s="37">
        <f t="shared" si="17"/>
        <v>0</v>
      </c>
      <c r="G37" s="35"/>
      <c r="H37" s="35"/>
      <c r="I37" s="35"/>
      <c r="J37" s="35"/>
      <c r="K37" s="35"/>
      <c r="L37" s="35"/>
      <c r="M37" s="35"/>
      <c r="N37" s="49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39"/>
      <c r="IW37" s="39"/>
      <c r="IX37" s="39"/>
      <c r="IY37" s="39"/>
      <c r="IZ37" s="39"/>
      <c r="JA37" s="39"/>
      <c r="JB37" s="39"/>
      <c r="JC37" s="39"/>
      <c r="JD37" s="39"/>
      <c r="JE37" s="39"/>
      <c r="JF37" s="39"/>
      <c r="JG37" s="39"/>
      <c r="JH37" s="39"/>
      <c r="JI37" s="39"/>
      <c r="JJ37" s="39"/>
      <c r="JK37" s="39"/>
      <c r="JL37" s="39"/>
      <c r="JM37" s="39"/>
      <c r="JN37" s="39"/>
      <c r="JO37" s="39"/>
      <c r="JP37" s="39"/>
      <c r="JQ37" s="39"/>
      <c r="JR37" s="39"/>
      <c r="JS37" s="39"/>
      <c r="JT37" s="39"/>
      <c r="JU37" s="39"/>
      <c r="JV37" s="39"/>
      <c r="JW37" s="39"/>
      <c r="JX37" s="39"/>
      <c r="JY37" s="39"/>
      <c r="JZ37" s="39"/>
      <c r="KA37" s="39"/>
      <c r="KB37" s="39"/>
      <c r="KC37" s="39"/>
      <c r="KD37" s="39"/>
      <c r="KE37" s="39"/>
      <c r="KF37" s="39"/>
      <c r="KG37" s="39"/>
      <c r="KH37" s="39"/>
      <c r="KI37" s="39"/>
      <c r="KJ37" s="39"/>
      <c r="KK37" s="39"/>
      <c r="KL37" s="39"/>
      <c r="KM37" s="39"/>
      <c r="KN37" s="39"/>
      <c r="KO37" s="39"/>
      <c r="KP37" s="39"/>
      <c r="KQ37" s="39"/>
      <c r="KR37" s="39"/>
      <c r="KS37" s="39"/>
      <c r="KT37" s="39"/>
      <c r="KU37" s="39"/>
      <c r="KV37" s="39"/>
      <c r="KW37" s="39"/>
      <c r="KX37" s="39"/>
      <c r="KY37" s="39"/>
      <c r="KZ37" s="39"/>
      <c r="LA37" s="39"/>
      <c r="LB37" s="39"/>
      <c r="LC37" s="39"/>
      <c r="LD37" s="39"/>
      <c r="LE37" s="39"/>
      <c r="LF37" s="39"/>
      <c r="LG37" s="39"/>
      <c r="LH37" s="39"/>
      <c r="LI37" s="39"/>
      <c r="LJ37" s="39"/>
      <c r="LK37" s="39"/>
      <c r="LL37" s="39"/>
      <c r="LM37" s="39"/>
      <c r="LN37" s="39"/>
      <c r="LO37" s="39"/>
      <c r="LP37" s="39"/>
      <c r="LQ37" s="39"/>
      <c r="LR37" s="39"/>
      <c r="LS37" s="39"/>
      <c r="LT37" s="39"/>
      <c r="LU37" s="39"/>
      <c r="LV37" s="39"/>
      <c r="LW37" s="39"/>
      <c r="LX37" s="39"/>
      <c r="LY37" s="39"/>
      <c r="LZ37" s="39"/>
      <c r="MA37" s="39"/>
      <c r="MB37" s="39"/>
      <c r="MC37" s="39"/>
      <c r="MD37" s="39"/>
      <c r="ME37" s="39"/>
      <c r="MF37" s="39"/>
      <c r="MG37" s="39"/>
      <c r="MH37" s="39"/>
      <c r="MI37" s="39"/>
      <c r="MJ37" s="39"/>
      <c r="MK37" s="39"/>
      <c r="ML37" s="35"/>
      <c r="MM37" s="35"/>
    </row>
    <row r="38" spans="1:351" x14ac:dyDescent="0.4">
      <c r="A38" s="30">
        <v>32</v>
      </c>
      <c r="B38" s="364"/>
      <c r="C38" s="364"/>
      <c r="D38" s="30" t="s">
        <v>76</v>
      </c>
      <c r="E38" s="30">
        <f t="shared" si="16"/>
        <v>0</v>
      </c>
      <c r="F38" s="37">
        <f t="shared" si="17"/>
        <v>0</v>
      </c>
      <c r="G38" s="35"/>
      <c r="H38" s="35"/>
      <c r="I38" s="35"/>
      <c r="J38" s="35"/>
      <c r="K38" s="35"/>
      <c r="L38" s="35"/>
      <c r="M38" s="35"/>
      <c r="N38" s="49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39"/>
      <c r="IV38" s="39"/>
      <c r="IW38" s="39"/>
      <c r="IX38" s="39"/>
      <c r="IY38" s="39"/>
      <c r="IZ38" s="39"/>
      <c r="JA38" s="39"/>
      <c r="JB38" s="39"/>
      <c r="JC38" s="39"/>
      <c r="JD38" s="39"/>
      <c r="JE38" s="39"/>
      <c r="JF38" s="39"/>
      <c r="JG38" s="39"/>
      <c r="JH38" s="39"/>
      <c r="JI38" s="39"/>
      <c r="JJ38" s="39"/>
      <c r="JK38" s="39"/>
      <c r="JL38" s="39"/>
      <c r="JM38" s="39"/>
      <c r="JN38" s="39"/>
      <c r="JO38" s="39"/>
      <c r="JP38" s="39"/>
      <c r="JQ38" s="39"/>
      <c r="JR38" s="39"/>
      <c r="JS38" s="39"/>
      <c r="JT38" s="39"/>
      <c r="JU38" s="39"/>
      <c r="JV38" s="39"/>
      <c r="JW38" s="39"/>
      <c r="JX38" s="39"/>
      <c r="JY38" s="39"/>
      <c r="JZ38" s="39"/>
      <c r="KA38" s="39"/>
      <c r="KB38" s="39"/>
      <c r="KC38" s="39"/>
      <c r="KD38" s="39"/>
      <c r="KE38" s="39"/>
      <c r="KF38" s="39"/>
      <c r="KG38" s="39"/>
      <c r="KH38" s="39"/>
      <c r="KI38" s="39"/>
      <c r="KJ38" s="39"/>
      <c r="KK38" s="39"/>
      <c r="KL38" s="39"/>
      <c r="KM38" s="39"/>
      <c r="KN38" s="39"/>
      <c r="KO38" s="39"/>
      <c r="KP38" s="39"/>
      <c r="KQ38" s="39"/>
      <c r="KR38" s="39"/>
      <c r="KS38" s="39"/>
      <c r="KT38" s="39"/>
      <c r="KU38" s="39"/>
      <c r="KV38" s="39"/>
      <c r="KW38" s="39"/>
      <c r="KX38" s="39"/>
      <c r="KY38" s="39"/>
      <c r="KZ38" s="39"/>
      <c r="LA38" s="39"/>
      <c r="LB38" s="39"/>
      <c r="LC38" s="39"/>
      <c r="LD38" s="39"/>
      <c r="LE38" s="39"/>
      <c r="LF38" s="39"/>
      <c r="LG38" s="39"/>
      <c r="LH38" s="39"/>
      <c r="LI38" s="39"/>
      <c r="LJ38" s="39"/>
      <c r="LK38" s="39"/>
      <c r="LL38" s="39"/>
      <c r="LM38" s="39"/>
      <c r="LN38" s="39"/>
      <c r="LO38" s="39"/>
      <c r="LP38" s="39"/>
      <c r="LQ38" s="39"/>
      <c r="LR38" s="39"/>
      <c r="LS38" s="39"/>
      <c r="LT38" s="39"/>
      <c r="LU38" s="39"/>
      <c r="LV38" s="39"/>
      <c r="LW38" s="39"/>
      <c r="LX38" s="39"/>
      <c r="LY38" s="39"/>
      <c r="LZ38" s="39"/>
      <c r="MA38" s="39"/>
      <c r="MB38" s="39"/>
      <c r="MC38" s="39"/>
      <c r="MD38" s="39"/>
      <c r="ME38" s="39"/>
      <c r="MF38" s="39"/>
      <c r="MG38" s="39"/>
      <c r="MH38" s="39"/>
      <c r="MI38" s="39"/>
      <c r="MJ38" s="39"/>
      <c r="MK38" s="39"/>
      <c r="ML38" s="35"/>
      <c r="MM38" s="35"/>
    </row>
    <row r="39" spans="1:351" x14ac:dyDescent="0.4">
      <c r="A39" s="30">
        <v>33</v>
      </c>
      <c r="B39" s="364"/>
      <c r="C39" s="364"/>
      <c r="D39" s="30" t="s">
        <v>77</v>
      </c>
      <c r="E39" s="30">
        <f t="shared" ref="E39:E70" si="18">SUMIFS(G39:XFD39,$G$5:$XFD$5,$E$5)</f>
        <v>0</v>
      </c>
      <c r="F39" s="37">
        <f t="shared" si="17"/>
        <v>0</v>
      </c>
      <c r="G39" s="35"/>
      <c r="H39" s="35"/>
      <c r="I39" s="35"/>
      <c r="J39" s="35"/>
      <c r="K39" s="35"/>
      <c r="L39" s="35"/>
      <c r="M39" s="35"/>
      <c r="N39" s="49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  <c r="IW39" s="39"/>
      <c r="IX39" s="39"/>
      <c r="IY39" s="39"/>
      <c r="IZ39" s="39"/>
      <c r="JA39" s="39"/>
      <c r="JB39" s="39"/>
      <c r="JC39" s="39"/>
      <c r="JD39" s="39"/>
      <c r="JE39" s="39"/>
      <c r="JF39" s="39"/>
      <c r="JG39" s="39"/>
      <c r="JH39" s="39"/>
      <c r="JI39" s="39"/>
      <c r="JJ39" s="39"/>
      <c r="JK39" s="39"/>
      <c r="JL39" s="39"/>
      <c r="JM39" s="39"/>
      <c r="JN39" s="39"/>
      <c r="JO39" s="39"/>
      <c r="JP39" s="39"/>
      <c r="JQ39" s="39"/>
      <c r="JR39" s="39"/>
      <c r="JS39" s="39"/>
      <c r="JT39" s="39"/>
      <c r="JU39" s="39"/>
      <c r="JV39" s="39"/>
      <c r="JW39" s="39"/>
      <c r="JX39" s="39"/>
      <c r="JY39" s="39"/>
      <c r="JZ39" s="39"/>
      <c r="KA39" s="39"/>
      <c r="KB39" s="39"/>
      <c r="KC39" s="39"/>
      <c r="KD39" s="39"/>
      <c r="KE39" s="39"/>
      <c r="KF39" s="39"/>
      <c r="KG39" s="39"/>
      <c r="KH39" s="39"/>
      <c r="KI39" s="39"/>
      <c r="KJ39" s="39"/>
      <c r="KK39" s="39"/>
      <c r="KL39" s="39"/>
      <c r="KM39" s="39"/>
      <c r="KN39" s="39"/>
      <c r="KO39" s="39"/>
      <c r="KP39" s="39"/>
      <c r="KQ39" s="39"/>
      <c r="KR39" s="39"/>
      <c r="KS39" s="39"/>
      <c r="KT39" s="39"/>
      <c r="KU39" s="39"/>
      <c r="KV39" s="39"/>
      <c r="KW39" s="39"/>
      <c r="KX39" s="39"/>
      <c r="KY39" s="39"/>
      <c r="KZ39" s="39"/>
      <c r="LA39" s="39"/>
      <c r="LB39" s="39"/>
      <c r="LC39" s="39"/>
      <c r="LD39" s="39"/>
      <c r="LE39" s="39"/>
      <c r="LF39" s="39"/>
      <c r="LG39" s="39"/>
      <c r="LH39" s="39"/>
      <c r="LI39" s="39"/>
      <c r="LJ39" s="39"/>
      <c r="LK39" s="39"/>
      <c r="LL39" s="39"/>
      <c r="LM39" s="39"/>
      <c r="LN39" s="39"/>
      <c r="LO39" s="39"/>
      <c r="LP39" s="39"/>
      <c r="LQ39" s="39"/>
      <c r="LR39" s="39"/>
      <c r="LS39" s="39"/>
      <c r="LT39" s="39"/>
      <c r="LU39" s="39"/>
      <c r="LV39" s="39"/>
      <c r="LW39" s="39"/>
      <c r="LX39" s="39"/>
      <c r="LY39" s="39"/>
      <c r="LZ39" s="39"/>
      <c r="MA39" s="39"/>
      <c r="MB39" s="39"/>
      <c r="MC39" s="39"/>
      <c r="MD39" s="39"/>
      <c r="ME39" s="39"/>
      <c r="MF39" s="39"/>
      <c r="MG39" s="39"/>
      <c r="MH39" s="39"/>
      <c r="MI39" s="39"/>
      <c r="MJ39" s="39"/>
      <c r="MK39" s="39"/>
      <c r="ML39" s="35"/>
      <c r="MM39" s="35"/>
    </row>
    <row r="40" spans="1:351" ht="26.15" customHeight="1" x14ac:dyDescent="0.4">
      <c r="A40" s="30">
        <v>34</v>
      </c>
      <c r="B40" s="365"/>
      <c r="C40" s="365" t="s">
        <v>78</v>
      </c>
      <c r="D40" s="30" t="s">
        <v>75</v>
      </c>
      <c r="E40" s="30">
        <f t="shared" si="18"/>
        <v>0</v>
      </c>
      <c r="F40" s="37">
        <f t="shared" si="17"/>
        <v>0</v>
      </c>
      <c r="G40" s="35"/>
      <c r="H40" s="35"/>
      <c r="I40" s="35"/>
      <c r="J40" s="35"/>
      <c r="K40" s="35"/>
      <c r="L40" s="35"/>
      <c r="M40" s="35"/>
      <c r="N40" s="49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39"/>
      <c r="IW40" s="39"/>
      <c r="IX40" s="39"/>
      <c r="IY40" s="39"/>
      <c r="IZ40" s="39"/>
      <c r="JA40" s="39"/>
      <c r="JB40" s="39"/>
      <c r="JC40" s="39"/>
      <c r="JD40" s="39"/>
      <c r="JE40" s="39"/>
      <c r="JF40" s="39"/>
      <c r="JG40" s="39"/>
      <c r="JH40" s="39"/>
      <c r="JI40" s="39"/>
      <c r="JJ40" s="39"/>
      <c r="JK40" s="39"/>
      <c r="JL40" s="39"/>
      <c r="JM40" s="39"/>
      <c r="JN40" s="39"/>
      <c r="JO40" s="39"/>
      <c r="JP40" s="39"/>
      <c r="JQ40" s="39"/>
      <c r="JR40" s="39"/>
      <c r="JS40" s="39"/>
      <c r="JT40" s="39"/>
      <c r="JU40" s="39"/>
      <c r="JV40" s="39"/>
      <c r="JW40" s="39"/>
      <c r="JX40" s="39"/>
      <c r="JY40" s="39"/>
      <c r="JZ40" s="39"/>
      <c r="KA40" s="39"/>
      <c r="KB40" s="39"/>
      <c r="KC40" s="39"/>
      <c r="KD40" s="39"/>
      <c r="KE40" s="39"/>
      <c r="KF40" s="39"/>
      <c r="KG40" s="39"/>
      <c r="KH40" s="39"/>
      <c r="KI40" s="39"/>
      <c r="KJ40" s="39"/>
      <c r="KK40" s="39"/>
      <c r="KL40" s="39"/>
      <c r="KM40" s="39"/>
      <c r="KN40" s="39"/>
      <c r="KO40" s="39"/>
      <c r="KP40" s="39"/>
      <c r="KQ40" s="39"/>
      <c r="KR40" s="39"/>
      <c r="KS40" s="39"/>
      <c r="KT40" s="39"/>
      <c r="KU40" s="39"/>
      <c r="KV40" s="39"/>
      <c r="KW40" s="39"/>
      <c r="KX40" s="39"/>
      <c r="KY40" s="39"/>
      <c r="KZ40" s="39"/>
      <c r="LA40" s="39"/>
      <c r="LB40" s="39"/>
      <c r="LC40" s="39"/>
      <c r="LD40" s="39"/>
      <c r="LE40" s="39"/>
      <c r="LF40" s="39"/>
      <c r="LG40" s="39"/>
      <c r="LH40" s="39"/>
      <c r="LI40" s="39"/>
      <c r="LJ40" s="39"/>
      <c r="LK40" s="39"/>
      <c r="LL40" s="39"/>
      <c r="LM40" s="39"/>
      <c r="LN40" s="39"/>
      <c r="LO40" s="39"/>
      <c r="LP40" s="39"/>
      <c r="LQ40" s="39"/>
      <c r="LR40" s="39"/>
      <c r="LS40" s="39"/>
      <c r="LT40" s="39"/>
      <c r="LU40" s="39"/>
      <c r="LV40" s="39"/>
      <c r="LW40" s="39"/>
      <c r="LX40" s="39"/>
      <c r="LY40" s="39"/>
      <c r="LZ40" s="39"/>
      <c r="MA40" s="39"/>
      <c r="MB40" s="39"/>
      <c r="MC40" s="39"/>
      <c r="MD40" s="39"/>
      <c r="ME40" s="39"/>
      <c r="MF40" s="39"/>
      <c r="MG40" s="39"/>
      <c r="MH40" s="39"/>
      <c r="MI40" s="39"/>
      <c r="MJ40" s="39"/>
      <c r="MK40" s="39"/>
      <c r="ML40" s="35"/>
      <c r="MM40" s="35"/>
    </row>
    <row r="41" spans="1:351" x14ac:dyDescent="0.4">
      <c r="A41" s="30">
        <v>35</v>
      </c>
      <c r="B41" s="366"/>
      <c r="C41" s="366"/>
      <c r="D41" s="30" t="s">
        <v>76</v>
      </c>
      <c r="E41" s="30">
        <f t="shared" si="18"/>
        <v>0</v>
      </c>
      <c r="F41" s="37">
        <f t="shared" ref="F41:F72" si="19">SUM(G41:MM41)</f>
        <v>0</v>
      </c>
      <c r="G41" s="35"/>
      <c r="H41" s="35"/>
      <c r="I41" s="35"/>
      <c r="J41" s="35"/>
      <c r="K41" s="35"/>
      <c r="L41" s="35"/>
      <c r="M41" s="35"/>
      <c r="N41" s="49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9"/>
      <c r="JD41" s="39"/>
      <c r="JE41" s="39"/>
      <c r="JF41" s="39"/>
      <c r="JG41" s="39"/>
      <c r="JH41" s="39"/>
      <c r="JI41" s="39"/>
      <c r="JJ41" s="39"/>
      <c r="JK41" s="39"/>
      <c r="JL41" s="39"/>
      <c r="JM41" s="39"/>
      <c r="JN41" s="39"/>
      <c r="JO41" s="39"/>
      <c r="JP41" s="39"/>
      <c r="JQ41" s="39"/>
      <c r="JR41" s="39"/>
      <c r="JS41" s="39"/>
      <c r="JT41" s="39"/>
      <c r="JU41" s="39"/>
      <c r="JV41" s="39"/>
      <c r="JW41" s="39"/>
      <c r="JX41" s="39"/>
      <c r="JY41" s="39"/>
      <c r="JZ41" s="39"/>
      <c r="KA41" s="39"/>
      <c r="KB41" s="39"/>
      <c r="KC41" s="39"/>
      <c r="KD41" s="39"/>
      <c r="KE41" s="39"/>
      <c r="KF41" s="39"/>
      <c r="KG41" s="39"/>
      <c r="KH41" s="39"/>
      <c r="KI41" s="39"/>
      <c r="KJ41" s="39"/>
      <c r="KK41" s="39"/>
      <c r="KL41" s="39"/>
      <c r="KM41" s="39"/>
      <c r="KN41" s="39"/>
      <c r="KO41" s="39"/>
      <c r="KP41" s="39"/>
      <c r="KQ41" s="39"/>
      <c r="KR41" s="39"/>
      <c r="KS41" s="39"/>
      <c r="KT41" s="39"/>
      <c r="KU41" s="39"/>
      <c r="KV41" s="39"/>
      <c r="KW41" s="39"/>
      <c r="KX41" s="39"/>
      <c r="KY41" s="39"/>
      <c r="KZ41" s="39"/>
      <c r="LA41" s="39"/>
      <c r="LB41" s="39"/>
      <c r="LC41" s="39"/>
      <c r="LD41" s="39"/>
      <c r="LE41" s="39"/>
      <c r="LF41" s="39"/>
      <c r="LG41" s="39"/>
      <c r="LH41" s="39"/>
      <c r="LI41" s="39"/>
      <c r="LJ41" s="39"/>
      <c r="LK41" s="39"/>
      <c r="LL41" s="39"/>
      <c r="LM41" s="39"/>
      <c r="LN41" s="39"/>
      <c r="LO41" s="39"/>
      <c r="LP41" s="39"/>
      <c r="LQ41" s="39"/>
      <c r="LR41" s="39"/>
      <c r="LS41" s="39"/>
      <c r="LT41" s="39"/>
      <c r="LU41" s="39"/>
      <c r="LV41" s="39"/>
      <c r="LW41" s="39"/>
      <c r="LX41" s="39"/>
      <c r="LY41" s="39"/>
      <c r="LZ41" s="39"/>
      <c r="MA41" s="39"/>
      <c r="MB41" s="39"/>
      <c r="MC41" s="39"/>
      <c r="MD41" s="39"/>
      <c r="ME41" s="39"/>
      <c r="MF41" s="39"/>
      <c r="MG41" s="39"/>
      <c r="MH41" s="39"/>
      <c r="MI41" s="39"/>
      <c r="MJ41" s="39"/>
      <c r="MK41" s="39"/>
      <c r="ML41" s="35"/>
      <c r="MM41" s="35"/>
    </row>
    <row r="42" spans="1:351" x14ac:dyDescent="0.4">
      <c r="A42" s="30">
        <v>36</v>
      </c>
      <c r="B42" s="366"/>
      <c r="C42" s="366"/>
      <c r="D42" s="30" t="s">
        <v>77</v>
      </c>
      <c r="E42" s="30">
        <f t="shared" si="18"/>
        <v>0</v>
      </c>
      <c r="F42" s="37">
        <f t="shared" si="19"/>
        <v>0</v>
      </c>
      <c r="G42" s="35"/>
      <c r="H42" s="35"/>
      <c r="I42" s="35"/>
      <c r="J42" s="35"/>
      <c r="K42" s="35"/>
      <c r="L42" s="35"/>
      <c r="M42" s="35"/>
      <c r="N42" s="49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  <c r="IW42" s="39"/>
      <c r="IX42" s="39"/>
      <c r="IY42" s="39"/>
      <c r="IZ42" s="39"/>
      <c r="JA42" s="39"/>
      <c r="JB42" s="39"/>
      <c r="JC42" s="39"/>
      <c r="JD42" s="39"/>
      <c r="JE42" s="39"/>
      <c r="JF42" s="39"/>
      <c r="JG42" s="39"/>
      <c r="JH42" s="39"/>
      <c r="JI42" s="39"/>
      <c r="JJ42" s="39"/>
      <c r="JK42" s="39"/>
      <c r="JL42" s="39"/>
      <c r="JM42" s="39"/>
      <c r="JN42" s="39"/>
      <c r="JO42" s="39"/>
      <c r="JP42" s="39"/>
      <c r="JQ42" s="39"/>
      <c r="JR42" s="39"/>
      <c r="JS42" s="39"/>
      <c r="JT42" s="39"/>
      <c r="JU42" s="39"/>
      <c r="JV42" s="39"/>
      <c r="JW42" s="39"/>
      <c r="JX42" s="39"/>
      <c r="JY42" s="39"/>
      <c r="JZ42" s="39"/>
      <c r="KA42" s="39"/>
      <c r="KB42" s="39"/>
      <c r="KC42" s="39"/>
      <c r="KD42" s="39"/>
      <c r="KE42" s="39"/>
      <c r="KF42" s="39"/>
      <c r="KG42" s="39"/>
      <c r="KH42" s="39"/>
      <c r="KI42" s="39"/>
      <c r="KJ42" s="39"/>
      <c r="KK42" s="39"/>
      <c r="KL42" s="39"/>
      <c r="KM42" s="39"/>
      <c r="KN42" s="39"/>
      <c r="KO42" s="39"/>
      <c r="KP42" s="39"/>
      <c r="KQ42" s="39"/>
      <c r="KR42" s="39"/>
      <c r="KS42" s="39"/>
      <c r="KT42" s="39"/>
      <c r="KU42" s="39"/>
      <c r="KV42" s="39"/>
      <c r="KW42" s="39"/>
      <c r="KX42" s="39"/>
      <c r="KY42" s="39"/>
      <c r="KZ42" s="39"/>
      <c r="LA42" s="39"/>
      <c r="LB42" s="39"/>
      <c r="LC42" s="39"/>
      <c r="LD42" s="39"/>
      <c r="LE42" s="39"/>
      <c r="LF42" s="39"/>
      <c r="LG42" s="39"/>
      <c r="LH42" s="39"/>
      <c r="LI42" s="39"/>
      <c r="LJ42" s="39"/>
      <c r="LK42" s="39"/>
      <c r="LL42" s="39"/>
      <c r="LM42" s="39"/>
      <c r="LN42" s="39"/>
      <c r="LO42" s="39"/>
      <c r="LP42" s="39"/>
      <c r="LQ42" s="39"/>
      <c r="LR42" s="39"/>
      <c r="LS42" s="39"/>
      <c r="LT42" s="39"/>
      <c r="LU42" s="39"/>
      <c r="LV42" s="39"/>
      <c r="LW42" s="39"/>
      <c r="LX42" s="39"/>
      <c r="LY42" s="39"/>
      <c r="LZ42" s="39"/>
      <c r="MA42" s="39"/>
      <c r="MB42" s="39"/>
      <c r="MC42" s="39"/>
      <c r="MD42" s="39"/>
      <c r="ME42" s="39"/>
      <c r="MF42" s="39"/>
      <c r="MG42" s="39"/>
      <c r="MH42" s="39"/>
      <c r="MI42" s="39"/>
      <c r="MJ42" s="39"/>
      <c r="MK42" s="39"/>
      <c r="ML42" s="35"/>
      <c r="MM42" s="35"/>
    </row>
    <row r="43" spans="1:351" ht="14.5" customHeight="1" x14ac:dyDescent="0.4">
      <c r="A43" s="30">
        <v>37</v>
      </c>
      <c r="B43" s="365"/>
      <c r="C43" s="364" t="s">
        <v>4</v>
      </c>
      <c r="D43" s="30" t="s">
        <v>75</v>
      </c>
      <c r="E43" s="30">
        <f t="shared" si="18"/>
        <v>0</v>
      </c>
      <c r="F43" s="37">
        <f t="shared" si="19"/>
        <v>0</v>
      </c>
      <c r="G43" s="35"/>
      <c r="H43" s="35"/>
      <c r="I43" s="35"/>
      <c r="J43" s="35"/>
      <c r="K43" s="35"/>
      <c r="L43" s="35"/>
      <c r="M43" s="35"/>
      <c r="N43" s="49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  <c r="LE43" s="35"/>
      <c r="LF43" s="35"/>
      <c r="LG43" s="35"/>
      <c r="LH43" s="35"/>
      <c r="LI43" s="35"/>
      <c r="LJ43" s="35"/>
      <c r="LK43" s="35"/>
      <c r="LL43" s="35"/>
      <c r="LM43" s="35"/>
      <c r="LN43" s="35"/>
      <c r="LO43" s="35"/>
      <c r="LP43" s="35"/>
      <c r="LQ43" s="35"/>
      <c r="LR43" s="35"/>
      <c r="LS43" s="35"/>
      <c r="LT43" s="35"/>
      <c r="LU43" s="35"/>
      <c r="LV43" s="35"/>
      <c r="LW43" s="35"/>
      <c r="LX43" s="35"/>
      <c r="LY43" s="35"/>
      <c r="LZ43" s="35"/>
      <c r="MA43" s="35"/>
      <c r="MB43" s="35"/>
      <c r="MC43" s="35"/>
      <c r="MD43" s="35"/>
      <c r="ME43" s="35"/>
      <c r="MF43" s="35"/>
      <c r="MG43" s="35"/>
      <c r="MH43" s="35"/>
      <c r="MI43" s="35"/>
      <c r="MJ43" s="35"/>
      <c r="MK43" s="35"/>
      <c r="ML43" s="35"/>
      <c r="MM43" s="35"/>
    </row>
    <row r="44" spans="1:351" x14ac:dyDescent="0.4">
      <c r="A44" s="30">
        <v>38</v>
      </c>
      <c r="B44" s="366"/>
      <c r="C44" s="364"/>
      <c r="D44" s="30" t="s">
        <v>76</v>
      </c>
      <c r="E44" s="30">
        <f t="shared" si="18"/>
        <v>0</v>
      </c>
      <c r="F44" s="37">
        <f t="shared" si="19"/>
        <v>0</v>
      </c>
      <c r="G44" s="35"/>
      <c r="H44" s="35"/>
      <c r="I44" s="35"/>
      <c r="J44" s="35"/>
      <c r="K44" s="35"/>
      <c r="L44" s="35"/>
      <c r="M44" s="35"/>
      <c r="N44" s="49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35"/>
      <c r="KR44" s="35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  <c r="LE44" s="35"/>
      <c r="LF44" s="35"/>
      <c r="LG44" s="35"/>
      <c r="LH44" s="35"/>
      <c r="LI44" s="35"/>
      <c r="LJ44" s="35"/>
      <c r="LK44" s="35"/>
      <c r="LL44" s="35"/>
      <c r="LM44" s="35"/>
      <c r="LN44" s="35"/>
      <c r="LO44" s="35"/>
      <c r="LP44" s="35"/>
      <c r="LQ44" s="35"/>
      <c r="LR44" s="35"/>
      <c r="LS44" s="35"/>
      <c r="LT44" s="35"/>
      <c r="LU44" s="35"/>
      <c r="LV44" s="35"/>
      <c r="LW44" s="35"/>
      <c r="LX44" s="35"/>
      <c r="LY44" s="35"/>
      <c r="LZ44" s="35"/>
      <c r="MA44" s="35"/>
      <c r="MB44" s="35"/>
      <c r="MC44" s="35"/>
      <c r="MD44" s="35"/>
      <c r="ME44" s="35"/>
      <c r="MF44" s="35"/>
      <c r="MG44" s="35"/>
      <c r="MH44" s="35"/>
      <c r="MI44" s="35"/>
      <c r="MJ44" s="35"/>
      <c r="MK44" s="35"/>
      <c r="ML44" s="35"/>
      <c r="MM44" s="35"/>
    </row>
    <row r="45" spans="1:351" x14ac:dyDescent="0.4">
      <c r="A45" s="30">
        <v>39</v>
      </c>
      <c r="B45" s="366"/>
      <c r="C45" s="364"/>
      <c r="D45" s="30" t="s">
        <v>77</v>
      </c>
      <c r="E45" s="30">
        <f t="shared" si="18"/>
        <v>0</v>
      </c>
      <c r="F45" s="37">
        <f t="shared" si="19"/>
        <v>0</v>
      </c>
      <c r="G45" s="35"/>
      <c r="H45" s="35"/>
      <c r="I45" s="35"/>
      <c r="J45" s="35"/>
      <c r="K45" s="35"/>
      <c r="L45" s="35"/>
      <c r="M45" s="35"/>
      <c r="N45" s="49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  <c r="LE45" s="35"/>
      <c r="LF45" s="35"/>
      <c r="LG45" s="35"/>
      <c r="LH45" s="35"/>
      <c r="LI45" s="35"/>
      <c r="LJ45" s="35"/>
      <c r="LK45" s="35"/>
      <c r="LL45" s="35"/>
      <c r="LM45" s="35"/>
      <c r="LN45" s="35"/>
      <c r="LO45" s="35"/>
      <c r="LP45" s="35"/>
      <c r="LQ45" s="35"/>
      <c r="LR45" s="35"/>
      <c r="LS45" s="35"/>
      <c r="LT45" s="35"/>
      <c r="LU45" s="35"/>
      <c r="LV45" s="35"/>
      <c r="LW45" s="35"/>
      <c r="LX45" s="35"/>
      <c r="LY45" s="35"/>
      <c r="LZ45" s="35"/>
      <c r="MA45" s="35"/>
      <c r="MB45" s="35"/>
      <c r="MC45" s="35"/>
      <c r="MD45" s="35"/>
      <c r="ME45" s="35"/>
      <c r="MF45" s="35"/>
      <c r="MG45" s="35"/>
      <c r="MH45" s="35"/>
      <c r="MI45" s="35"/>
      <c r="MJ45" s="35"/>
      <c r="MK45" s="35"/>
      <c r="ML45" s="35"/>
      <c r="MM45" s="35"/>
    </row>
    <row r="46" spans="1:351" ht="14.15" customHeight="1" x14ac:dyDescent="0.4">
      <c r="A46" s="30">
        <v>40</v>
      </c>
      <c r="B46" s="365"/>
      <c r="C46" s="365" t="s">
        <v>78</v>
      </c>
      <c r="D46" s="30" t="s">
        <v>75</v>
      </c>
      <c r="E46" s="30">
        <f t="shared" si="18"/>
        <v>0</v>
      </c>
      <c r="F46" s="37">
        <f t="shared" si="19"/>
        <v>0</v>
      </c>
      <c r="G46" s="35"/>
      <c r="H46" s="35"/>
      <c r="I46" s="35"/>
      <c r="J46" s="35"/>
      <c r="K46" s="35"/>
      <c r="L46" s="35"/>
      <c r="M46" s="35"/>
      <c r="N46" s="49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5"/>
      <c r="MM46" s="35"/>
    </row>
    <row r="47" spans="1:351" x14ac:dyDescent="0.4">
      <c r="A47" s="30">
        <v>41</v>
      </c>
      <c r="B47" s="366"/>
      <c r="C47" s="366"/>
      <c r="D47" s="30" t="s">
        <v>76</v>
      </c>
      <c r="E47" s="30">
        <f t="shared" si="18"/>
        <v>0</v>
      </c>
      <c r="F47" s="37">
        <f t="shared" si="19"/>
        <v>0</v>
      </c>
      <c r="G47" s="35"/>
      <c r="H47" s="35"/>
      <c r="I47" s="35"/>
      <c r="J47" s="35"/>
      <c r="K47" s="35"/>
      <c r="L47" s="35"/>
      <c r="M47" s="35"/>
      <c r="N47" s="49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  <c r="IW47" s="39"/>
      <c r="IX47" s="39"/>
      <c r="IY47" s="39"/>
      <c r="IZ47" s="39"/>
      <c r="JA47" s="39"/>
      <c r="JB47" s="39"/>
      <c r="JC47" s="39"/>
      <c r="JD47" s="39"/>
      <c r="JE47" s="39"/>
      <c r="JF47" s="39"/>
      <c r="JG47" s="39"/>
      <c r="JH47" s="39"/>
      <c r="JI47" s="39"/>
      <c r="JJ47" s="39"/>
      <c r="JK47" s="39"/>
      <c r="JL47" s="39"/>
      <c r="JM47" s="39"/>
      <c r="JN47" s="39"/>
      <c r="JO47" s="39"/>
      <c r="JP47" s="39"/>
      <c r="JQ47" s="39"/>
      <c r="JR47" s="39"/>
      <c r="JS47" s="39"/>
      <c r="JT47" s="39"/>
      <c r="JU47" s="39"/>
      <c r="JV47" s="39"/>
      <c r="JW47" s="39"/>
      <c r="JX47" s="39"/>
      <c r="JY47" s="39"/>
      <c r="JZ47" s="39"/>
      <c r="KA47" s="39"/>
      <c r="KB47" s="39"/>
      <c r="KC47" s="39"/>
      <c r="KD47" s="39"/>
      <c r="KE47" s="39"/>
      <c r="KF47" s="39"/>
      <c r="KG47" s="39"/>
      <c r="KH47" s="39"/>
      <c r="KI47" s="39"/>
      <c r="KJ47" s="39"/>
      <c r="KK47" s="39"/>
      <c r="KL47" s="39"/>
      <c r="KM47" s="39"/>
      <c r="KN47" s="39"/>
      <c r="KO47" s="39"/>
      <c r="KP47" s="39"/>
      <c r="KQ47" s="39"/>
      <c r="KR47" s="39"/>
      <c r="KS47" s="39"/>
      <c r="KT47" s="39"/>
      <c r="KU47" s="39"/>
      <c r="KV47" s="39"/>
      <c r="KW47" s="39"/>
      <c r="KX47" s="39"/>
      <c r="KY47" s="39"/>
      <c r="KZ47" s="39"/>
      <c r="LA47" s="39"/>
      <c r="LB47" s="39"/>
      <c r="LC47" s="39"/>
      <c r="LD47" s="39"/>
      <c r="LE47" s="39"/>
      <c r="LF47" s="39"/>
      <c r="LG47" s="39"/>
      <c r="LH47" s="39"/>
      <c r="LI47" s="39"/>
      <c r="LJ47" s="39"/>
      <c r="LK47" s="39"/>
      <c r="LL47" s="39"/>
      <c r="LM47" s="39"/>
      <c r="LN47" s="39"/>
      <c r="LO47" s="39"/>
      <c r="LP47" s="39"/>
      <c r="LQ47" s="39"/>
      <c r="LR47" s="39"/>
      <c r="LS47" s="39"/>
      <c r="LT47" s="39"/>
      <c r="LU47" s="39"/>
      <c r="LV47" s="39"/>
      <c r="LW47" s="39"/>
      <c r="LX47" s="39"/>
      <c r="LY47" s="39"/>
      <c r="LZ47" s="39"/>
      <c r="MA47" s="39"/>
      <c r="MB47" s="39"/>
      <c r="MC47" s="39"/>
      <c r="MD47" s="39"/>
      <c r="ME47" s="39"/>
      <c r="MF47" s="39"/>
      <c r="MG47" s="39"/>
      <c r="MH47" s="39"/>
      <c r="MI47" s="39"/>
      <c r="MJ47" s="39"/>
      <c r="MK47" s="39"/>
      <c r="ML47" s="35"/>
      <c r="MM47" s="35"/>
    </row>
    <row r="48" spans="1:351" x14ac:dyDescent="0.4">
      <c r="A48" s="30">
        <v>42</v>
      </c>
      <c r="B48" s="367"/>
      <c r="C48" s="367"/>
      <c r="D48" s="30" t="s">
        <v>77</v>
      </c>
      <c r="E48" s="30">
        <f t="shared" si="18"/>
        <v>0</v>
      </c>
      <c r="F48" s="37">
        <f t="shared" si="19"/>
        <v>0</v>
      </c>
      <c r="G48" s="35"/>
      <c r="H48" s="35"/>
      <c r="I48" s="35"/>
      <c r="J48" s="35"/>
      <c r="K48" s="35"/>
      <c r="L48" s="35"/>
      <c r="M48" s="35"/>
      <c r="N48" s="49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39"/>
      <c r="IV48" s="39"/>
      <c r="IW48" s="39"/>
      <c r="IX48" s="39"/>
      <c r="IY48" s="39"/>
      <c r="IZ48" s="39"/>
      <c r="JA48" s="39"/>
      <c r="JB48" s="39"/>
      <c r="JC48" s="39"/>
      <c r="JD48" s="39"/>
      <c r="JE48" s="39"/>
      <c r="JF48" s="39"/>
      <c r="JG48" s="39"/>
      <c r="JH48" s="39"/>
      <c r="JI48" s="39"/>
      <c r="JJ48" s="39"/>
      <c r="JK48" s="39"/>
      <c r="JL48" s="39"/>
      <c r="JM48" s="39"/>
      <c r="JN48" s="39"/>
      <c r="JO48" s="39"/>
      <c r="JP48" s="39"/>
      <c r="JQ48" s="39"/>
      <c r="JR48" s="39"/>
      <c r="JS48" s="39"/>
      <c r="JT48" s="39"/>
      <c r="JU48" s="39"/>
      <c r="JV48" s="39"/>
      <c r="JW48" s="39"/>
      <c r="JX48" s="39"/>
      <c r="JY48" s="39"/>
      <c r="JZ48" s="39"/>
      <c r="KA48" s="39"/>
      <c r="KB48" s="39"/>
      <c r="KC48" s="39"/>
      <c r="KD48" s="39"/>
      <c r="KE48" s="39"/>
      <c r="KF48" s="39"/>
      <c r="KG48" s="39"/>
      <c r="KH48" s="39"/>
      <c r="KI48" s="39"/>
      <c r="KJ48" s="39"/>
      <c r="KK48" s="39"/>
      <c r="KL48" s="39"/>
      <c r="KM48" s="39"/>
      <c r="KN48" s="39"/>
      <c r="KO48" s="39"/>
      <c r="KP48" s="39"/>
      <c r="KQ48" s="39"/>
      <c r="KR48" s="39"/>
      <c r="KS48" s="39"/>
      <c r="KT48" s="39"/>
      <c r="KU48" s="39"/>
      <c r="KV48" s="39"/>
      <c r="KW48" s="39"/>
      <c r="KX48" s="39"/>
      <c r="KY48" s="39"/>
      <c r="KZ48" s="39"/>
      <c r="LA48" s="39"/>
      <c r="LB48" s="39"/>
      <c r="LC48" s="39"/>
      <c r="LD48" s="39"/>
      <c r="LE48" s="39"/>
      <c r="LF48" s="39"/>
      <c r="LG48" s="39"/>
      <c r="LH48" s="39"/>
      <c r="LI48" s="39"/>
      <c r="LJ48" s="39"/>
      <c r="LK48" s="39"/>
      <c r="LL48" s="39"/>
      <c r="LM48" s="39"/>
      <c r="LN48" s="39"/>
      <c r="LO48" s="39"/>
      <c r="LP48" s="39"/>
      <c r="LQ48" s="39"/>
      <c r="LR48" s="39"/>
      <c r="LS48" s="39"/>
      <c r="LT48" s="39"/>
      <c r="LU48" s="39"/>
      <c r="LV48" s="39"/>
      <c r="LW48" s="39"/>
      <c r="LX48" s="39"/>
      <c r="LY48" s="39"/>
      <c r="LZ48" s="39"/>
      <c r="MA48" s="39"/>
      <c r="MB48" s="39"/>
      <c r="MC48" s="39"/>
      <c r="MD48" s="39"/>
      <c r="ME48" s="39"/>
      <c r="MF48" s="39"/>
      <c r="MG48" s="39"/>
      <c r="MH48" s="39"/>
      <c r="MI48" s="39"/>
      <c r="MJ48" s="39"/>
      <c r="MK48" s="39"/>
      <c r="ML48" s="35"/>
      <c r="MM48" s="35"/>
    </row>
    <row r="49" spans="1:351" ht="26" x14ac:dyDescent="0.4">
      <c r="A49" s="30">
        <v>43</v>
      </c>
      <c r="B49" s="366"/>
      <c r="C49" s="366" t="s">
        <v>79</v>
      </c>
      <c r="D49" s="43" t="s">
        <v>80</v>
      </c>
      <c r="E49" s="30">
        <f t="shared" si="18"/>
        <v>0</v>
      </c>
      <c r="F49" s="37">
        <f t="shared" si="19"/>
        <v>0</v>
      </c>
      <c r="G49" s="35"/>
      <c r="H49" s="35"/>
      <c r="I49" s="35"/>
      <c r="J49" s="35"/>
      <c r="K49" s="35"/>
      <c r="L49" s="35"/>
      <c r="M49" s="35"/>
      <c r="N49" s="49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39"/>
      <c r="IW49" s="39"/>
      <c r="IX49" s="39"/>
      <c r="IY49" s="39"/>
      <c r="IZ49" s="39"/>
      <c r="JA49" s="39"/>
      <c r="JB49" s="39"/>
      <c r="JC49" s="39"/>
      <c r="JD49" s="39"/>
      <c r="JE49" s="39"/>
      <c r="JF49" s="39"/>
      <c r="JG49" s="39"/>
      <c r="JH49" s="39"/>
      <c r="JI49" s="39"/>
      <c r="JJ49" s="39"/>
      <c r="JK49" s="39"/>
      <c r="JL49" s="39"/>
      <c r="JM49" s="39"/>
      <c r="JN49" s="39"/>
      <c r="JO49" s="39"/>
      <c r="JP49" s="39"/>
      <c r="JQ49" s="39"/>
      <c r="JR49" s="39"/>
      <c r="JS49" s="39"/>
      <c r="JT49" s="39"/>
      <c r="JU49" s="39"/>
      <c r="JV49" s="39"/>
      <c r="JW49" s="39"/>
      <c r="JX49" s="39"/>
      <c r="JY49" s="39"/>
      <c r="JZ49" s="39"/>
      <c r="KA49" s="39"/>
      <c r="KB49" s="39"/>
      <c r="KC49" s="39"/>
      <c r="KD49" s="39"/>
      <c r="KE49" s="39"/>
      <c r="KF49" s="39"/>
      <c r="KG49" s="39"/>
      <c r="KH49" s="39"/>
      <c r="KI49" s="39"/>
      <c r="KJ49" s="39"/>
      <c r="KK49" s="39"/>
      <c r="KL49" s="39"/>
      <c r="KM49" s="39"/>
      <c r="KN49" s="39"/>
      <c r="KO49" s="39"/>
      <c r="KP49" s="39"/>
      <c r="KQ49" s="39"/>
      <c r="KR49" s="39"/>
      <c r="KS49" s="39"/>
      <c r="KT49" s="39"/>
      <c r="KU49" s="39"/>
      <c r="KV49" s="39"/>
      <c r="KW49" s="39"/>
      <c r="KX49" s="39"/>
      <c r="KY49" s="39"/>
      <c r="KZ49" s="39"/>
      <c r="LA49" s="39"/>
      <c r="LB49" s="39"/>
      <c r="LC49" s="39"/>
      <c r="LD49" s="39"/>
      <c r="LE49" s="39"/>
      <c r="LF49" s="39"/>
      <c r="LG49" s="39"/>
      <c r="LH49" s="39"/>
      <c r="LI49" s="39"/>
      <c r="LJ49" s="39"/>
      <c r="LK49" s="39"/>
      <c r="LL49" s="39"/>
      <c r="LM49" s="39"/>
      <c r="LN49" s="39"/>
      <c r="LO49" s="39"/>
      <c r="LP49" s="39"/>
      <c r="LQ49" s="39"/>
      <c r="LR49" s="39"/>
      <c r="LS49" s="39"/>
      <c r="LT49" s="39"/>
      <c r="LU49" s="39"/>
      <c r="LV49" s="39"/>
      <c r="LW49" s="39"/>
      <c r="LX49" s="39"/>
      <c r="LY49" s="39"/>
      <c r="LZ49" s="39"/>
      <c r="MA49" s="39"/>
      <c r="MB49" s="39"/>
      <c r="MC49" s="39"/>
      <c r="MD49" s="39"/>
      <c r="ME49" s="39"/>
      <c r="MF49" s="39"/>
      <c r="MG49" s="39"/>
      <c r="MH49" s="39"/>
      <c r="MI49" s="39"/>
      <c r="MJ49" s="39"/>
      <c r="MK49" s="39"/>
      <c r="ML49" s="35"/>
      <c r="MM49" s="35"/>
    </row>
    <row r="50" spans="1:351" x14ac:dyDescent="0.4">
      <c r="A50" s="30">
        <v>44</v>
      </c>
      <c r="B50" s="366"/>
      <c r="C50" s="366"/>
      <c r="D50" s="43" t="s">
        <v>81</v>
      </c>
      <c r="E50" s="30">
        <f t="shared" si="18"/>
        <v>0</v>
      </c>
      <c r="F50" s="37">
        <f t="shared" si="19"/>
        <v>0</v>
      </c>
      <c r="G50" s="35"/>
      <c r="H50" s="35"/>
      <c r="I50" s="35"/>
      <c r="J50" s="35"/>
      <c r="K50" s="35"/>
      <c r="L50" s="35"/>
      <c r="M50" s="35"/>
      <c r="N50" s="49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39"/>
      <c r="IV50" s="39"/>
      <c r="IW50" s="39"/>
      <c r="IX50" s="39"/>
      <c r="IY50" s="39"/>
      <c r="IZ50" s="39"/>
      <c r="JA50" s="39"/>
      <c r="JB50" s="39"/>
      <c r="JC50" s="39"/>
      <c r="JD50" s="39"/>
      <c r="JE50" s="39"/>
      <c r="JF50" s="39"/>
      <c r="JG50" s="39"/>
      <c r="JH50" s="39"/>
      <c r="JI50" s="39"/>
      <c r="JJ50" s="39"/>
      <c r="JK50" s="39"/>
      <c r="JL50" s="39"/>
      <c r="JM50" s="39"/>
      <c r="JN50" s="39"/>
      <c r="JO50" s="39"/>
      <c r="JP50" s="39"/>
      <c r="JQ50" s="39"/>
      <c r="JR50" s="39"/>
      <c r="JS50" s="39"/>
      <c r="JT50" s="39"/>
      <c r="JU50" s="39"/>
      <c r="JV50" s="39"/>
      <c r="JW50" s="39"/>
      <c r="JX50" s="39"/>
      <c r="JY50" s="39"/>
      <c r="JZ50" s="39"/>
      <c r="KA50" s="39"/>
      <c r="KB50" s="39"/>
      <c r="KC50" s="39"/>
      <c r="KD50" s="39"/>
      <c r="KE50" s="39"/>
      <c r="KF50" s="39"/>
      <c r="KG50" s="39"/>
      <c r="KH50" s="39"/>
      <c r="KI50" s="39"/>
      <c r="KJ50" s="39"/>
      <c r="KK50" s="39"/>
      <c r="KL50" s="39"/>
      <c r="KM50" s="39"/>
      <c r="KN50" s="39"/>
      <c r="KO50" s="39"/>
      <c r="KP50" s="39"/>
      <c r="KQ50" s="39"/>
      <c r="KR50" s="39"/>
      <c r="KS50" s="39"/>
      <c r="KT50" s="39"/>
      <c r="KU50" s="39"/>
      <c r="KV50" s="39"/>
      <c r="KW50" s="39"/>
      <c r="KX50" s="39"/>
      <c r="KY50" s="39"/>
      <c r="KZ50" s="39"/>
      <c r="LA50" s="39"/>
      <c r="LB50" s="39"/>
      <c r="LC50" s="39"/>
      <c r="LD50" s="39"/>
      <c r="LE50" s="39"/>
      <c r="LF50" s="39"/>
      <c r="LG50" s="39"/>
      <c r="LH50" s="39"/>
      <c r="LI50" s="39"/>
      <c r="LJ50" s="39"/>
      <c r="LK50" s="39"/>
      <c r="LL50" s="39"/>
      <c r="LM50" s="39"/>
      <c r="LN50" s="39"/>
      <c r="LO50" s="39"/>
      <c r="LP50" s="39"/>
      <c r="LQ50" s="39"/>
      <c r="LR50" s="39"/>
      <c r="LS50" s="39"/>
      <c r="LT50" s="39"/>
      <c r="LU50" s="39"/>
      <c r="LV50" s="39"/>
      <c r="LW50" s="39"/>
      <c r="LX50" s="39"/>
      <c r="LY50" s="39"/>
      <c r="LZ50" s="39"/>
      <c r="MA50" s="39"/>
      <c r="MB50" s="39"/>
      <c r="MC50" s="39"/>
      <c r="MD50" s="39"/>
      <c r="ME50" s="39"/>
      <c r="MF50" s="39"/>
      <c r="MG50" s="39"/>
      <c r="MH50" s="39"/>
      <c r="MI50" s="39"/>
      <c r="MJ50" s="39"/>
      <c r="MK50" s="39"/>
      <c r="ML50" s="35"/>
      <c r="MM50" s="35"/>
    </row>
    <row r="51" spans="1:351" x14ac:dyDescent="0.4">
      <c r="A51" s="30">
        <v>45</v>
      </c>
      <c r="B51" s="366"/>
      <c r="C51" s="366"/>
      <c r="D51" s="43" t="s">
        <v>82</v>
      </c>
      <c r="E51" s="30">
        <f t="shared" si="18"/>
        <v>0</v>
      </c>
      <c r="F51" s="37">
        <f t="shared" si="19"/>
        <v>0</v>
      </c>
      <c r="G51" s="35"/>
      <c r="H51" s="35"/>
      <c r="I51" s="35"/>
      <c r="J51" s="35"/>
      <c r="K51" s="35"/>
      <c r="L51" s="35"/>
      <c r="M51" s="35"/>
      <c r="N51" s="49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  <c r="IS51" s="39"/>
      <c r="IT51" s="39"/>
      <c r="IU51" s="39"/>
      <c r="IV51" s="39"/>
      <c r="IW51" s="39"/>
      <c r="IX51" s="39"/>
      <c r="IY51" s="39"/>
      <c r="IZ51" s="39"/>
      <c r="JA51" s="39"/>
      <c r="JB51" s="39"/>
      <c r="JC51" s="39"/>
      <c r="JD51" s="39"/>
      <c r="JE51" s="39"/>
      <c r="JF51" s="39"/>
      <c r="JG51" s="39"/>
      <c r="JH51" s="39"/>
      <c r="JI51" s="39"/>
      <c r="JJ51" s="39"/>
      <c r="JK51" s="39"/>
      <c r="JL51" s="39"/>
      <c r="JM51" s="39"/>
      <c r="JN51" s="39"/>
      <c r="JO51" s="39"/>
      <c r="JP51" s="39"/>
      <c r="JQ51" s="39"/>
      <c r="JR51" s="39"/>
      <c r="JS51" s="39"/>
      <c r="JT51" s="39"/>
      <c r="JU51" s="39"/>
      <c r="JV51" s="39"/>
      <c r="JW51" s="39"/>
      <c r="JX51" s="39"/>
      <c r="JY51" s="39"/>
      <c r="JZ51" s="39"/>
      <c r="KA51" s="39"/>
      <c r="KB51" s="39"/>
      <c r="KC51" s="39"/>
      <c r="KD51" s="39"/>
      <c r="KE51" s="39"/>
      <c r="KF51" s="39"/>
      <c r="KG51" s="39"/>
      <c r="KH51" s="39"/>
      <c r="KI51" s="39"/>
      <c r="KJ51" s="39"/>
      <c r="KK51" s="39"/>
      <c r="KL51" s="39"/>
      <c r="KM51" s="39"/>
      <c r="KN51" s="39"/>
      <c r="KO51" s="39"/>
      <c r="KP51" s="39"/>
      <c r="KQ51" s="39"/>
      <c r="KR51" s="39"/>
      <c r="KS51" s="39"/>
      <c r="KT51" s="39"/>
      <c r="KU51" s="39"/>
      <c r="KV51" s="39"/>
      <c r="KW51" s="39"/>
      <c r="KX51" s="39"/>
      <c r="KY51" s="39"/>
      <c r="KZ51" s="39"/>
      <c r="LA51" s="39"/>
      <c r="LB51" s="39"/>
      <c r="LC51" s="39"/>
      <c r="LD51" s="39"/>
      <c r="LE51" s="39"/>
      <c r="LF51" s="39"/>
      <c r="LG51" s="39"/>
      <c r="LH51" s="39"/>
      <c r="LI51" s="39"/>
      <c r="LJ51" s="39"/>
      <c r="LK51" s="39"/>
      <c r="LL51" s="39"/>
      <c r="LM51" s="39"/>
      <c r="LN51" s="39"/>
      <c r="LO51" s="39"/>
      <c r="LP51" s="39"/>
      <c r="LQ51" s="39"/>
      <c r="LR51" s="39"/>
      <c r="LS51" s="39"/>
      <c r="LT51" s="39"/>
      <c r="LU51" s="39"/>
      <c r="LV51" s="39"/>
      <c r="LW51" s="39"/>
      <c r="LX51" s="39"/>
      <c r="LY51" s="39"/>
      <c r="LZ51" s="39"/>
      <c r="MA51" s="39"/>
      <c r="MB51" s="39"/>
      <c r="MC51" s="39"/>
      <c r="MD51" s="39"/>
      <c r="ME51" s="39"/>
      <c r="MF51" s="39"/>
      <c r="MG51" s="39"/>
      <c r="MH51" s="39"/>
      <c r="MI51" s="39"/>
      <c r="MJ51" s="39"/>
      <c r="MK51" s="39"/>
      <c r="ML51" s="35"/>
      <c r="MM51" s="35"/>
    </row>
    <row r="52" spans="1:351" x14ac:dyDescent="0.4">
      <c r="A52" s="30">
        <v>46</v>
      </c>
      <c r="B52" s="365"/>
      <c r="C52" s="365" t="s">
        <v>83</v>
      </c>
      <c r="D52" s="44" t="s">
        <v>75</v>
      </c>
      <c r="E52" s="30">
        <f t="shared" si="18"/>
        <v>0</v>
      </c>
      <c r="F52" s="37">
        <f t="shared" si="19"/>
        <v>0</v>
      </c>
      <c r="G52" s="35"/>
      <c r="H52" s="35"/>
      <c r="I52" s="35"/>
      <c r="J52" s="35"/>
      <c r="K52" s="35"/>
      <c r="L52" s="35"/>
      <c r="M52" s="35"/>
      <c r="N52" s="49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39"/>
      <c r="IW52" s="39"/>
      <c r="IX52" s="39"/>
      <c r="IY52" s="39"/>
      <c r="IZ52" s="39"/>
      <c r="JA52" s="39"/>
      <c r="JB52" s="39"/>
      <c r="JC52" s="39"/>
      <c r="JD52" s="39"/>
      <c r="JE52" s="39"/>
      <c r="JF52" s="39"/>
      <c r="JG52" s="39"/>
      <c r="JH52" s="39"/>
      <c r="JI52" s="39"/>
      <c r="JJ52" s="39"/>
      <c r="JK52" s="39"/>
      <c r="JL52" s="39"/>
      <c r="JM52" s="39"/>
      <c r="JN52" s="39"/>
      <c r="JO52" s="39"/>
      <c r="JP52" s="39"/>
      <c r="JQ52" s="39"/>
      <c r="JR52" s="39"/>
      <c r="JS52" s="39"/>
      <c r="JT52" s="39"/>
      <c r="JU52" s="39"/>
      <c r="JV52" s="39"/>
      <c r="JW52" s="39"/>
      <c r="JX52" s="39"/>
      <c r="JY52" s="39"/>
      <c r="JZ52" s="39"/>
      <c r="KA52" s="39"/>
      <c r="KB52" s="39"/>
      <c r="KC52" s="39"/>
      <c r="KD52" s="39"/>
      <c r="KE52" s="39"/>
      <c r="KF52" s="39"/>
      <c r="KG52" s="39"/>
      <c r="KH52" s="39"/>
      <c r="KI52" s="39"/>
      <c r="KJ52" s="39"/>
      <c r="KK52" s="39"/>
      <c r="KL52" s="39"/>
      <c r="KM52" s="39"/>
      <c r="KN52" s="39"/>
      <c r="KO52" s="39"/>
      <c r="KP52" s="39"/>
      <c r="KQ52" s="39"/>
      <c r="KR52" s="39"/>
      <c r="KS52" s="39"/>
      <c r="KT52" s="39"/>
      <c r="KU52" s="39"/>
      <c r="KV52" s="39"/>
      <c r="KW52" s="39"/>
      <c r="KX52" s="39"/>
      <c r="KY52" s="39"/>
      <c r="KZ52" s="39"/>
      <c r="LA52" s="39"/>
      <c r="LB52" s="39"/>
      <c r="LC52" s="39"/>
      <c r="LD52" s="39"/>
      <c r="LE52" s="39"/>
      <c r="LF52" s="39"/>
      <c r="LG52" s="39"/>
      <c r="LH52" s="39"/>
      <c r="LI52" s="39"/>
      <c r="LJ52" s="39"/>
      <c r="LK52" s="39"/>
      <c r="LL52" s="39"/>
      <c r="LM52" s="39"/>
      <c r="LN52" s="39"/>
      <c r="LO52" s="39"/>
      <c r="LP52" s="39"/>
      <c r="LQ52" s="39"/>
      <c r="LR52" s="39"/>
      <c r="LS52" s="39"/>
      <c r="LT52" s="39"/>
      <c r="LU52" s="39"/>
      <c r="LV52" s="39"/>
      <c r="LW52" s="39"/>
      <c r="LX52" s="39"/>
      <c r="LY52" s="39"/>
      <c r="LZ52" s="39"/>
      <c r="MA52" s="39"/>
      <c r="MB52" s="39"/>
      <c r="MC52" s="39"/>
      <c r="MD52" s="39"/>
      <c r="ME52" s="39"/>
      <c r="MF52" s="39"/>
      <c r="MG52" s="39"/>
      <c r="MH52" s="39"/>
      <c r="MI52" s="39"/>
      <c r="MJ52" s="39"/>
      <c r="MK52" s="39"/>
      <c r="ML52" s="35"/>
      <c r="MM52" s="35"/>
    </row>
    <row r="53" spans="1:351" x14ac:dyDescent="0.4">
      <c r="A53" s="30">
        <v>47</v>
      </c>
      <c r="B53" s="366"/>
      <c r="C53" s="366"/>
      <c r="D53" s="44" t="s">
        <v>84</v>
      </c>
      <c r="E53" s="30">
        <f t="shared" si="18"/>
        <v>0</v>
      </c>
      <c r="F53" s="37">
        <f t="shared" si="19"/>
        <v>0</v>
      </c>
      <c r="G53" s="35"/>
      <c r="H53" s="35"/>
      <c r="I53" s="35"/>
      <c r="J53" s="35"/>
      <c r="K53" s="35"/>
      <c r="L53" s="35"/>
      <c r="M53" s="35"/>
      <c r="N53" s="49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39"/>
      <c r="IV53" s="39"/>
      <c r="IW53" s="39"/>
      <c r="IX53" s="39"/>
      <c r="IY53" s="39"/>
      <c r="IZ53" s="39"/>
      <c r="JA53" s="39"/>
      <c r="JB53" s="39"/>
      <c r="JC53" s="39"/>
      <c r="JD53" s="39"/>
      <c r="JE53" s="39"/>
      <c r="JF53" s="39"/>
      <c r="JG53" s="39"/>
      <c r="JH53" s="39"/>
      <c r="JI53" s="39"/>
      <c r="JJ53" s="39"/>
      <c r="JK53" s="39"/>
      <c r="JL53" s="39"/>
      <c r="JM53" s="39"/>
      <c r="JN53" s="39"/>
      <c r="JO53" s="39"/>
      <c r="JP53" s="39"/>
      <c r="JQ53" s="39"/>
      <c r="JR53" s="39"/>
      <c r="JS53" s="39"/>
      <c r="JT53" s="39"/>
      <c r="JU53" s="39"/>
      <c r="JV53" s="39"/>
      <c r="JW53" s="39"/>
      <c r="JX53" s="39"/>
      <c r="JY53" s="39"/>
      <c r="JZ53" s="39"/>
      <c r="KA53" s="39"/>
      <c r="KB53" s="39"/>
      <c r="KC53" s="39"/>
      <c r="KD53" s="39"/>
      <c r="KE53" s="39"/>
      <c r="KF53" s="39"/>
      <c r="KG53" s="39"/>
      <c r="KH53" s="39"/>
      <c r="KI53" s="39"/>
      <c r="KJ53" s="39"/>
      <c r="KK53" s="39"/>
      <c r="KL53" s="39"/>
      <c r="KM53" s="39"/>
      <c r="KN53" s="39"/>
      <c r="KO53" s="39"/>
      <c r="KP53" s="39"/>
      <c r="KQ53" s="39"/>
      <c r="KR53" s="39"/>
      <c r="KS53" s="39"/>
      <c r="KT53" s="39"/>
      <c r="KU53" s="39"/>
      <c r="KV53" s="39"/>
      <c r="KW53" s="39"/>
      <c r="KX53" s="39"/>
      <c r="KY53" s="39"/>
      <c r="KZ53" s="39"/>
      <c r="LA53" s="39"/>
      <c r="LB53" s="39"/>
      <c r="LC53" s="39"/>
      <c r="LD53" s="39"/>
      <c r="LE53" s="39"/>
      <c r="LF53" s="39"/>
      <c r="LG53" s="39"/>
      <c r="LH53" s="39"/>
      <c r="LI53" s="39"/>
      <c r="LJ53" s="39"/>
      <c r="LK53" s="39"/>
      <c r="LL53" s="39"/>
      <c r="LM53" s="39"/>
      <c r="LN53" s="39"/>
      <c r="LO53" s="39"/>
      <c r="LP53" s="39"/>
      <c r="LQ53" s="39"/>
      <c r="LR53" s="39"/>
      <c r="LS53" s="39"/>
      <c r="LT53" s="39"/>
      <c r="LU53" s="39"/>
      <c r="LV53" s="39"/>
      <c r="LW53" s="39"/>
      <c r="LX53" s="39"/>
      <c r="LY53" s="39"/>
      <c r="LZ53" s="39"/>
      <c r="MA53" s="39"/>
      <c r="MB53" s="39"/>
      <c r="MC53" s="39"/>
      <c r="MD53" s="39"/>
      <c r="ME53" s="39"/>
      <c r="MF53" s="39"/>
      <c r="MG53" s="39"/>
      <c r="MH53" s="39"/>
      <c r="MI53" s="39"/>
      <c r="MJ53" s="39"/>
      <c r="MK53" s="39"/>
      <c r="ML53" s="35"/>
      <c r="MM53" s="35"/>
    </row>
    <row r="54" spans="1:351" x14ac:dyDescent="0.4">
      <c r="A54" s="30">
        <v>48</v>
      </c>
      <c r="B54" s="366"/>
      <c r="C54" s="367"/>
      <c r="D54" s="44" t="s">
        <v>85</v>
      </c>
      <c r="E54" s="30">
        <f t="shared" si="18"/>
        <v>0</v>
      </c>
      <c r="F54" s="37">
        <f t="shared" si="19"/>
        <v>0</v>
      </c>
      <c r="G54" s="35"/>
      <c r="H54" s="35"/>
      <c r="I54" s="35"/>
      <c r="J54" s="35"/>
      <c r="K54" s="35"/>
      <c r="L54" s="35"/>
      <c r="M54" s="35"/>
      <c r="N54" s="49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39"/>
      <c r="IN54" s="39"/>
      <c r="IO54" s="39"/>
      <c r="IP54" s="39"/>
      <c r="IQ54" s="39"/>
      <c r="IR54" s="39"/>
      <c r="IS54" s="39"/>
      <c r="IT54" s="39"/>
      <c r="IU54" s="39"/>
      <c r="IV54" s="39"/>
      <c r="IW54" s="39"/>
      <c r="IX54" s="39"/>
      <c r="IY54" s="39"/>
      <c r="IZ54" s="39"/>
      <c r="JA54" s="39"/>
      <c r="JB54" s="39"/>
      <c r="JC54" s="39"/>
      <c r="JD54" s="39"/>
      <c r="JE54" s="39"/>
      <c r="JF54" s="39"/>
      <c r="JG54" s="39"/>
      <c r="JH54" s="39"/>
      <c r="JI54" s="39"/>
      <c r="JJ54" s="39"/>
      <c r="JK54" s="39"/>
      <c r="JL54" s="39"/>
      <c r="JM54" s="39"/>
      <c r="JN54" s="39"/>
      <c r="JO54" s="39"/>
      <c r="JP54" s="39"/>
      <c r="JQ54" s="39"/>
      <c r="JR54" s="39"/>
      <c r="JS54" s="39"/>
      <c r="JT54" s="39"/>
      <c r="JU54" s="39"/>
      <c r="JV54" s="39"/>
      <c r="JW54" s="39"/>
      <c r="JX54" s="39"/>
      <c r="JY54" s="39"/>
      <c r="JZ54" s="39"/>
      <c r="KA54" s="39"/>
      <c r="KB54" s="39"/>
      <c r="KC54" s="39"/>
      <c r="KD54" s="39"/>
      <c r="KE54" s="39"/>
      <c r="KF54" s="39"/>
      <c r="KG54" s="39"/>
      <c r="KH54" s="39"/>
      <c r="KI54" s="39"/>
      <c r="KJ54" s="39"/>
      <c r="KK54" s="39"/>
      <c r="KL54" s="39"/>
      <c r="KM54" s="39"/>
      <c r="KN54" s="39"/>
      <c r="KO54" s="39"/>
      <c r="KP54" s="39"/>
      <c r="KQ54" s="39"/>
      <c r="KR54" s="39"/>
      <c r="KS54" s="39"/>
      <c r="KT54" s="39"/>
      <c r="KU54" s="39"/>
      <c r="KV54" s="39"/>
      <c r="KW54" s="39"/>
      <c r="KX54" s="39"/>
      <c r="KY54" s="39"/>
      <c r="KZ54" s="39"/>
      <c r="LA54" s="39"/>
      <c r="LB54" s="39"/>
      <c r="LC54" s="39"/>
      <c r="LD54" s="39"/>
      <c r="LE54" s="39"/>
      <c r="LF54" s="39"/>
      <c r="LG54" s="39"/>
      <c r="LH54" s="39"/>
      <c r="LI54" s="39"/>
      <c r="LJ54" s="39"/>
      <c r="LK54" s="39"/>
      <c r="LL54" s="39"/>
      <c r="LM54" s="39"/>
      <c r="LN54" s="39"/>
      <c r="LO54" s="39"/>
      <c r="LP54" s="39"/>
      <c r="LQ54" s="39"/>
      <c r="LR54" s="39"/>
      <c r="LS54" s="39"/>
      <c r="LT54" s="39"/>
      <c r="LU54" s="39"/>
      <c r="LV54" s="39"/>
      <c r="LW54" s="39"/>
      <c r="LX54" s="39"/>
      <c r="LY54" s="39"/>
      <c r="LZ54" s="39"/>
      <c r="MA54" s="39"/>
      <c r="MB54" s="39"/>
      <c r="MC54" s="39"/>
      <c r="MD54" s="39"/>
      <c r="ME54" s="39"/>
      <c r="MF54" s="39"/>
      <c r="MG54" s="39"/>
      <c r="MH54" s="39"/>
      <c r="MI54" s="39"/>
      <c r="MJ54" s="39"/>
      <c r="MK54" s="39"/>
      <c r="ML54" s="35"/>
      <c r="MM54" s="35"/>
    </row>
    <row r="55" spans="1:351" x14ac:dyDescent="0.4">
      <c r="A55" s="30">
        <v>49</v>
      </c>
      <c r="B55" s="365"/>
      <c r="C55" s="365" t="s">
        <v>86</v>
      </c>
      <c r="D55" s="44" t="s">
        <v>75</v>
      </c>
      <c r="E55" s="30">
        <f t="shared" si="18"/>
        <v>0</v>
      </c>
      <c r="F55" s="37">
        <f t="shared" si="19"/>
        <v>0</v>
      </c>
      <c r="G55" s="35"/>
      <c r="H55" s="35"/>
      <c r="I55" s="35"/>
      <c r="J55" s="35"/>
      <c r="K55" s="35"/>
      <c r="L55" s="35"/>
      <c r="M55" s="35"/>
      <c r="N55" s="49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9"/>
      <c r="HE55" s="39"/>
      <c r="HF55" s="39"/>
      <c r="HG55" s="39"/>
      <c r="HH55" s="39"/>
      <c r="HI55" s="39"/>
      <c r="HJ55" s="39"/>
      <c r="HK55" s="39"/>
      <c r="HL55" s="39"/>
      <c r="HM55" s="39"/>
      <c r="HN55" s="39"/>
      <c r="HO55" s="39"/>
      <c r="HP55" s="39"/>
      <c r="HQ55" s="39"/>
      <c r="HR55" s="39"/>
      <c r="HS55" s="39"/>
      <c r="HT55" s="39"/>
      <c r="HU55" s="39"/>
      <c r="HV55" s="39"/>
      <c r="HW55" s="39"/>
      <c r="HX55" s="39"/>
      <c r="HY55" s="39"/>
      <c r="HZ55" s="39"/>
      <c r="IA55" s="39"/>
      <c r="IB55" s="39"/>
      <c r="IC55" s="39"/>
      <c r="ID55" s="39"/>
      <c r="IE55" s="39"/>
      <c r="IF55" s="39"/>
      <c r="IG55" s="39"/>
      <c r="IH55" s="39"/>
      <c r="II55" s="39"/>
      <c r="IJ55" s="39"/>
      <c r="IK55" s="39"/>
      <c r="IL55" s="39"/>
      <c r="IM55" s="39"/>
      <c r="IN55" s="39"/>
      <c r="IO55" s="39"/>
      <c r="IP55" s="39"/>
      <c r="IQ55" s="39"/>
      <c r="IR55" s="39"/>
      <c r="IS55" s="39"/>
      <c r="IT55" s="39"/>
      <c r="IU55" s="39"/>
      <c r="IV55" s="39"/>
      <c r="IW55" s="39"/>
      <c r="IX55" s="39"/>
      <c r="IY55" s="39"/>
      <c r="IZ55" s="39"/>
      <c r="JA55" s="39"/>
      <c r="JB55" s="39"/>
      <c r="JC55" s="39"/>
      <c r="JD55" s="39"/>
      <c r="JE55" s="39"/>
      <c r="JF55" s="39"/>
      <c r="JG55" s="39"/>
      <c r="JH55" s="39"/>
      <c r="JI55" s="39"/>
      <c r="JJ55" s="39"/>
      <c r="JK55" s="39"/>
      <c r="JL55" s="39"/>
      <c r="JM55" s="39"/>
      <c r="JN55" s="39"/>
      <c r="JO55" s="39"/>
      <c r="JP55" s="39"/>
      <c r="JQ55" s="39"/>
      <c r="JR55" s="39"/>
      <c r="JS55" s="39"/>
      <c r="JT55" s="39"/>
      <c r="JU55" s="39"/>
      <c r="JV55" s="39"/>
      <c r="JW55" s="39"/>
      <c r="JX55" s="39"/>
      <c r="JY55" s="39"/>
      <c r="JZ55" s="39"/>
      <c r="KA55" s="39"/>
      <c r="KB55" s="39"/>
      <c r="KC55" s="39"/>
      <c r="KD55" s="39"/>
      <c r="KE55" s="39"/>
      <c r="KF55" s="39"/>
      <c r="KG55" s="39"/>
      <c r="KH55" s="39"/>
      <c r="KI55" s="39"/>
      <c r="KJ55" s="39"/>
      <c r="KK55" s="39"/>
      <c r="KL55" s="39"/>
      <c r="KM55" s="39"/>
      <c r="KN55" s="39"/>
      <c r="KO55" s="39"/>
      <c r="KP55" s="39"/>
      <c r="KQ55" s="39"/>
      <c r="KR55" s="39"/>
      <c r="KS55" s="39"/>
      <c r="KT55" s="39"/>
      <c r="KU55" s="39"/>
      <c r="KV55" s="39"/>
      <c r="KW55" s="39"/>
      <c r="KX55" s="39"/>
      <c r="KY55" s="39"/>
      <c r="KZ55" s="39"/>
      <c r="LA55" s="39"/>
      <c r="LB55" s="39"/>
      <c r="LC55" s="39"/>
      <c r="LD55" s="39"/>
      <c r="LE55" s="39"/>
      <c r="LF55" s="39"/>
      <c r="LG55" s="39"/>
      <c r="LH55" s="39"/>
      <c r="LI55" s="39"/>
      <c r="LJ55" s="39"/>
      <c r="LK55" s="39"/>
      <c r="LL55" s="39"/>
      <c r="LM55" s="39"/>
      <c r="LN55" s="39"/>
      <c r="LO55" s="39"/>
      <c r="LP55" s="39"/>
      <c r="LQ55" s="39"/>
      <c r="LR55" s="39"/>
      <c r="LS55" s="39"/>
      <c r="LT55" s="39"/>
      <c r="LU55" s="39"/>
      <c r="LV55" s="39"/>
      <c r="LW55" s="39"/>
      <c r="LX55" s="39"/>
      <c r="LY55" s="39"/>
      <c r="LZ55" s="39"/>
      <c r="MA55" s="39"/>
      <c r="MB55" s="39"/>
      <c r="MC55" s="39"/>
      <c r="MD55" s="39"/>
      <c r="ME55" s="39"/>
      <c r="MF55" s="39"/>
      <c r="MG55" s="39"/>
      <c r="MH55" s="39"/>
      <c r="MI55" s="39"/>
      <c r="MJ55" s="39"/>
      <c r="MK55" s="39"/>
      <c r="ML55" s="35"/>
      <c r="MM55" s="35"/>
    </row>
    <row r="56" spans="1:351" x14ac:dyDescent="0.4">
      <c r="A56" s="30">
        <v>50</v>
      </c>
      <c r="B56" s="366"/>
      <c r="C56" s="366"/>
      <c r="D56" s="44" t="s">
        <v>87</v>
      </c>
      <c r="E56" s="30">
        <f t="shared" si="18"/>
        <v>0</v>
      </c>
      <c r="F56" s="37">
        <f t="shared" si="19"/>
        <v>0</v>
      </c>
      <c r="G56" s="35"/>
      <c r="H56" s="35"/>
      <c r="I56" s="35"/>
      <c r="J56" s="35"/>
      <c r="K56" s="35"/>
      <c r="L56" s="35"/>
      <c r="M56" s="35"/>
      <c r="N56" s="49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5"/>
      <c r="MM56" s="35"/>
    </row>
    <row r="57" spans="1:351" x14ac:dyDescent="0.4">
      <c r="A57" s="30">
        <v>51</v>
      </c>
      <c r="B57" s="366"/>
      <c r="C57" s="366"/>
      <c r="D57" s="44" t="s">
        <v>88</v>
      </c>
      <c r="E57" s="30">
        <f t="shared" si="18"/>
        <v>0</v>
      </c>
      <c r="F57" s="37">
        <f t="shared" si="19"/>
        <v>0</v>
      </c>
      <c r="G57" s="35"/>
      <c r="H57" s="35"/>
      <c r="I57" s="35"/>
      <c r="J57" s="35"/>
      <c r="K57" s="35"/>
      <c r="L57" s="35"/>
      <c r="M57" s="35"/>
      <c r="N57" s="49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9"/>
      <c r="HE57" s="39"/>
      <c r="HF57" s="39"/>
      <c r="HG57" s="39"/>
      <c r="HH57" s="39"/>
      <c r="HI57" s="39"/>
      <c r="HJ57" s="39"/>
      <c r="HK57" s="39"/>
      <c r="HL57" s="39"/>
      <c r="HM57" s="39"/>
      <c r="HN57" s="39"/>
      <c r="HO57" s="39"/>
      <c r="HP57" s="39"/>
      <c r="HQ57" s="39"/>
      <c r="HR57" s="39"/>
      <c r="HS57" s="39"/>
      <c r="HT57" s="39"/>
      <c r="HU57" s="39"/>
      <c r="HV57" s="39"/>
      <c r="HW57" s="39"/>
      <c r="HX57" s="39"/>
      <c r="HY57" s="39"/>
      <c r="HZ57" s="39"/>
      <c r="IA57" s="39"/>
      <c r="IB57" s="39"/>
      <c r="IC57" s="39"/>
      <c r="ID57" s="39"/>
      <c r="IE57" s="39"/>
      <c r="IF57" s="39"/>
      <c r="IG57" s="39"/>
      <c r="IH57" s="39"/>
      <c r="II57" s="39"/>
      <c r="IJ57" s="39"/>
      <c r="IK57" s="39"/>
      <c r="IL57" s="39"/>
      <c r="IM57" s="39"/>
      <c r="IN57" s="39"/>
      <c r="IO57" s="39"/>
      <c r="IP57" s="39"/>
      <c r="IQ57" s="39"/>
      <c r="IR57" s="39"/>
      <c r="IS57" s="39"/>
      <c r="IT57" s="39"/>
      <c r="IU57" s="39"/>
      <c r="IV57" s="39"/>
      <c r="IW57" s="39"/>
      <c r="IX57" s="39"/>
      <c r="IY57" s="39"/>
      <c r="IZ57" s="39"/>
      <c r="JA57" s="39"/>
      <c r="JB57" s="39"/>
      <c r="JC57" s="39"/>
      <c r="JD57" s="39"/>
      <c r="JE57" s="39"/>
      <c r="JF57" s="39"/>
      <c r="JG57" s="39"/>
      <c r="JH57" s="39"/>
      <c r="JI57" s="39"/>
      <c r="JJ57" s="39"/>
      <c r="JK57" s="39"/>
      <c r="JL57" s="39"/>
      <c r="JM57" s="39"/>
      <c r="JN57" s="39"/>
      <c r="JO57" s="39"/>
      <c r="JP57" s="39"/>
      <c r="JQ57" s="39"/>
      <c r="JR57" s="39"/>
      <c r="JS57" s="39"/>
      <c r="JT57" s="39"/>
      <c r="JU57" s="39"/>
      <c r="JV57" s="39"/>
      <c r="JW57" s="39"/>
      <c r="JX57" s="39"/>
      <c r="JY57" s="39"/>
      <c r="JZ57" s="39"/>
      <c r="KA57" s="39"/>
      <c r="KB57" s="39"/>
      <c r="KC57" s="39"/>
      <c r="KD57" s="39"/>
      <c r="KE57" s="39"/>
      <c r="KF57" s="39"/>
      <c r="KG57" s="39"/>
      <c r="KH57" s="39"/>
      <c r="KI57" s="39"/>
      <c r="KJ57" s="39"/>
      <c r="KK57" s="39"/>
      <c r="KL57" s="39"/>
      <c r="KM57" s="39"/>
      <c r="KN57" s="39"/>
      <c r="KO57" s="39"/>
      <c r="KP57" s="39"/>
      <c r="KQ57" s="39"/>
      <c r="KR57" s="39"/>
      <c r="KS57" s="39"/>
      <c r="KT57" s="39"/>
      <c r="KU57" s="39"/>
      <c r="KV57" s="39"/>
      <c r="KW57" s="39"/>
      <c r="KX57" s="39"/>
      <c r="KY57" s="39"/>
      <c r="KZ57" s="39"/>
      <c r="LA57" s="39"/>
      <c r="LB57" s="39"/>
      <c r="LC57" s="39"/>
      <c r="LD57" s="39"/>
      <c r="LE57" s="39"/>
      <c r="LF57" s="39"/>
      <c r="LG57" s="39"/>
      <c r="LH57" s="39"/>
      <c r="LI57" s="39"/>
      <c r="LJ57" s="39"/>
      <c r="LK57" s="39"/>
      <c r="LL57" s="39"/>
      <c r="LM57" s="39"/>
      <c r="LN57" s="39"/>
      <c r="LO57" s="39"/>
      <c r="LP57" s="39"/>
      <c r="LQ57" s="39"/>
      <c r="LR57" s="39"/>
      <c r="LS57" s="39"/>
      <c r="LT57" s="39"/>
      <c r="LU57" s="39"/>
      <c r="LV57" s="39"/>
      <c r="LW57" s="39"/>
      <c r="LX57" s="39"/>
      <c r="LY57" s="39"/>
      <c r="LZ57" s="39"/>
      <c r="MA57" s="39"/>
      <c r="MB57" s="39"/>
      <c r="MC57" s="39"/>
      <c r="MD57" s="39"/>
      <c r="ME57" s="39"/>
      <c r="MF57" s="39"/>
      <c r="MG57" s="39"/>
      <c r="MH57" s="39"/>
      <c r="MI57" s="39"/>
      <c r="MJ57" s="39"/>
      <c r="MK57" s="39"/>
      <c r="ML57" s="35"/>
      <c r="MM57" s="35"/>
    </row>
    <row r="58" spans="1:351" x14ac:dyDescent="0.4">
      <c r="A58" s="30">
        <v>52</v>
      </c>
      <c r="B58" s="366"/>
      <c r="C58" s="366"/>
      <c r="D58" s="44" t="s">
        <v>89</v>
      </c>
      <c r="E58" s="30">
        <f t="shared" si="18"/>
        <v>0</v>
      </c>
      <c r="F58" s="37">
        <f t="shared" si="19"/>
        <v>0</v>
      </c>
      <c r="G58" s="35"/>
      <c r="H58" s="35"/>
      <c r="I58" s="35"/>
      <c r="J58" s="35"/>
      <c r="K58" s="35"/>
      <c r="L58" s="35"/>
      <c r="M58" s="35"/>
      <c r="N58" s="49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39"/>
      <c r="IV58" s="39"/>
      <c r="IW58" s="39"/>
      <c r="IX58" s="39"/>
      <c r="IY58" s="39"/>
      <c r="IZ58" s="39"/>
      <c r="JA58" s="39"/>
      <c r="JB58" s="39"/>
      <c r="JC58" s="39"/>
      <c r="JD58" s="39"/>
      <c r="JE58" s="39"/>
      <c r="JF58" s="39"/>
      <c r="JG58" s="39"/>
      <c r="JH58" s="39"/>
      <c r="JI58" s="39"/>
      <c r="JJ58" s="39"/>
      <c r="JK58" s="39"/>
      <c r="JL58" s="39"/>
      <c r="JM58" s="39"/>
      <c r="JN58" s="39"/>
      <c r="JO58" s="39"/>
      <c r="JP58" s="39"/>
      <c r="JQ58" s="39"/>
      <c r="JR58" s="39"/>
      <c r="JS58" s="39"/>
      <c r="JT58" s="39"/>
      <c r="JU58" s="39"/>
      <c r="JV58" s="39"/>
      <c r="JW58" s="39"/>
      <c r="JX58" s="39"/>
      <c r="JY58" s="39"/>
      <c r="JZ58" s="39"/>
      <c r="KA58" s="39"/>
      <c r="KB58" s="39"/>
      <c r="KC58" s="39"/>
      <c r="KD58" s="39"/>
      <c r="KE58" s="39"/>
      <c r="KF58" s="39"/>
      <c r="KG58" s="39"/>
      <c r="KH58" s="39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39"/>
      <c r="KV58" s="39"/>
      <c r="KW58" s="39"/>
      <c r="KX58" s="39"/>
      <c r="KY58" s="39"/>
      <c r="KZ58" s="39"/>
      <c r="LA58" s="39"/>
      <c r="LB58" s="39"/>
      <c r="LC58" s="39"/>
      <c r="LD58" s="39"/>
      <c r="LE58" s="39"/>
      <c r="LF58" s="39"/>
      <c r="LG58" s="39"/>
      <c r="LH58" s="39"/>
      <c r="LI58" s="39"/>
      <c r="LJ58" s="39"/>
      <c r="LK58" s="39"/>
      <c r="LL58" s="39"/>
      <c r="LM58" s="39"/>
      <c r="LN58" s="39"/>
      <c r="LO58" s="39"/>
      <c r="LP58" s="39"/>
      <c r="LQ58" s="39"/>
      <c r="LR58" s="39"/>
      <c r="LS58" s="39"/>
      <c r="LT58" s="39"/>
      <c r="LU58" s="39"/>
      <c r="LV58" s="39"/>
      <c r="LW58" s="39"/>
      <c r="LX58" s="39"/>
      <c r="LY58" s="39"/>
      <c r="LZ58" s="39"/>
      <c r="MA58" s="39"/>
      <c r="MB58" s="39"/>
      <c r="MC58" s="39"/>
      <c r="MD58" s="39"/>
      <c r="ME58" s="39"/>
      <c r="MF58" s="39"/>
      <c r="MG58" s="39"/>
      <c r="MH58" s="39"/>
      <c r="MI58" s="39"/>
      <c r="MJ58" s="39"/>
      <c r="MK58" s="39"/>
      <c r="ML58" s="35"/>
      <c r="MM58" s="35"/>
    </row>
    <row r="59" spans="1:351" x14ac:dyDescent="0.4">
      <c r="A59" s="30">
        <v>53</v>
      </c>
      <c r="B59" s="366"/>
      <c r="C59" s="366"/>
      <c r="D59" s="44" t="s">
        <v>90</v>
      </c>
      <c r="E59" s="30">
        <f t="shared" si="18"/>
        <v>0</v>
      </c>
      <c r="F59" s="37">
        <f t="shared" si="19"/>
        <v>0</v>
      </c>
      <c r="G59" s="35"/>
      <c r="H59" s="35"/>
      <c r="I59" s="35"/>
      <c r="J59" s="35"/>
      <c r="K59" s="35"/>
      <c r="L59" s="35"/>
      <c r="M59" s="35"/>
      <c r="N59" s="49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39"/>
      <c r="IV59" s="39"/>
      <c r="IW59" s="39"/>
      <c r="IX59" s="39"/>
      <c r="IY59" s="39"/>
      <c r="IZ59" s="39"/>
      <c r="JA59" s="39"/>
      <c r="JB59" s="39"/>
      <c r="JC59" s="39"/>
      <c r="JD59" s="39"/>
      <c r="JE59" s="39"/>
      <c r="JF59" s="39"/>
      <c r="JG59" s="39"/>
      <c r="JH59" s="39"/>
      <c r="JI59" s="39"/>
      <c r="JJ59" s="39"/>
      <c r="JK59" s="39"/>
      <c r="JL59" s="39"/>
      <c r="JM59" s="39"/>
      <c r="JN59" s="39"/>
      <c r="JO59" s="39"/>
      <c r="JP59" s="39"/>
      <c r="JQ59" s="39"/>
      <c r="JR59" s="39"/>
      <c r="JS59" s="39"/>
      <c r="JT59" s="39"/>
      <c r="JU59" s="39"/>
      <c r="JV59" s="39"/>
      <c r="JW59" s="39"/>
      <c r="JX59" s="39"/>
      <c r="JY59" s="39"/>
      <c r="JZ59" s="39"/>
      <c r="KA59" s="39"/>
      <c r="KB59" s="39"/>
      <c r="KC59" s="39"/>
      <c r="KD59" s="39"/>
      <c r="KE59" s="39"/>
      <c r="KF59" s="39"/>
      <c r="KG59" s="39"/>
      <c r="KH59" s="39"/>
      <c r="KI59" s="39"/>
      <c r="KJ59" s="39"/>
      <c r="KK59" s="39"/>
      <c r="KL59" s="39"/>
      <c r="KM59" s="39"/>
      <c r="KN59" s="39"/>
      <c r="KO59" s="39"/>
      <c r="KP59" s="39"/>
      <c r="KQ59" s="39"/>
      <c r="KR59" s="39"/>
      <c r="KS59" s="39"/>
      <c r="KT59" s="39"/>
      <c r="KU59" s="39"/>
      <c r="KV59" s="39"/>
      <c r="KW59" s="39"/>
      <c r="KX59" s="39"/>
      <c r="KY59" s="39"/>
      <c r="KZ59" s="39"/>
      <c r="LA59" s="39"/>
      <c r="LB59" s="39"/>
      <c r="LC59" s="39"/>
      <c r="LD59" s="39"/>
      <c r="LE59" s="39"/>
      <c r="LF59" s="39"/>
      <c r="LG59" s="39"/>
      <c r="LH59" s="39"/>
      <c r="LI59" s="39"/>
      <c r="LJ59" s="39"/>
      <c r="LK59" s="39"/>
      <c r="LL59" s="39"/>
      <c r="LM59" s="39"/>
      <c r="LN59" s="39"/>
      <c r="LO59" s="39"/>
      <c r="LP59" s="39"/>
      <c r="LQ59" s="39"/>
      <c r="LR59" s="39"/>
      <c r="LS59" s="39"/>
      <c r="LT59" s="39"/>
      <c r="LU59" s="39"/>
      <c r="LV59" s="39"/>
      <c r="LW59" s="39"/>
      <c r="LX59" s="39"/>
      <c r="LY59" s="39"/>
      <c r="LZ59" s="39"/>
      <c r="MA59" s="39"/>
      <c r="MB59" s="39"/>
      <c r="MC59" s="39"/>
      <c r="MD59" s="39"/>
      <c r="ME59" s="39"/>
      <c r="MF59" s="39"/>
      <c r="MG59" s="39"/>
      <c r="MH59" s="39"/>
      <c r="MI59" s="39"/>
      <c r="MJ59" s="39"/>
      <c r="MK59" s="39"/>
      <c r="ML59" s="35"/>
      <c r="MM59" s="35"/>
    </row>
    <row r="60" spans="1:351" x14ac:dyDescent="0.4">
      <c r="A60" s="30">
        <v>54</v>
      </c>
      <c r="B60" s="367"/>
      <c r="C60" s="367"/>
      <c r="D60" s="44" t="s">
        <v>91</v>
      </c>
      <c r="E60" s="30">
        <f t="shared" si="18"/>
        <v>0</v>
      </c>
      <c r="F60" s="37">
        <f t="shared" si="19"/>
        <v>0</v>
      </c>
      <c r="G60" s="35"/>
      <c r="H60" s="35"/>
      <c r="I60" s="35"/>
      <c r="J60" s="35"/>
      <c r="K60" s="35"/>
      <c r="L60" s="35"/>
      <c r="M60" s="35"/>
      <c r="N60" s="49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9"/>
      <c r="HE60" s="39"/>
      <c r="HF60" s="39"/>
      <c r="HG60" s="39"/>
      <c r="HH60" s="39"/>
      <c r="HI60" s="39"/>
      <c r="HJ60" s="39"/>
      <c r="HK60" s="39"/>
      <c r="HL60" s="39"/>
      <c r="HM60" s="39"/>
      <c r="HN60" s="39"/>
      <c r="HO60" s="39"/>
      <c r="HP60" s="39"/>
      <c r="HQ60" s="39"/>
      <c r="HR60" s="39"/>
      <c r="HS60" s="39"/>
      <c r="HT60" s="39"/>
      <c r="HU60" s="39"/>
      <c r="HV60" s="39"/>
      <c r="HW60" s="39"/>
      <c r="HX60" s="39"/>
      <c r="HY60" s="39"/>
      <c r="HZ60" s="39"/>
      <c r="IA60" s="39"/>
      <c r="IB60" s="39"/>
      <c r="IC60" s="39"/>
      <c r="ID60" s="39"/>
      <c r="IE60" s="39"/>
      <c r="IF60" s="39"/>
      <c r="IG60" s="39"/>
      <c r="IH60" s="39"/>
      <c r="II60" s="39"/>
      <c r="IJ60" s="39"/>
      <c r="IK60" s="39"/>
      <c r="IL60" s="39"/>
      <c r="IM60" s="39"/>
      <c r="IN60" s="39"/>
      <c r="IO60" s="39"/>
      <c r="IP60" s="39"/>
      <c r="IQ60" s="39"/>
      <c r="IR60" s="39"/>
      <c r="IS60" s="39"/>
      <c r="IT60" s="39"/>
      <c r="IU60" s="39"/>
      <c r="IV60" s="39"/>
      <c r="IW60" s="39"/>
      <c r="IX60" s="39"/>
      <c r="IY60" s="39"/>
      <c r="IZ60" s="39"/>
      <c r="JA60" s="39"/>
      <c r="JB60" s="39"/>
      <c r="JC60" s="39"/>
      <c r="JD60" s="39"/>
      <c r="JE60" s="39"/>
      <c r="JF60" s="39"/>
      <c r="JG60" s="39"/>
      <c r="JH60" s="39"/>
      <c r="JI60" s="39"/>
      <c r="JJ60" s="39"/>
      <c r="JK60" s="39"/>
      <c r="JL60" s="39"/>
      <c r="JM60" s="39"/>
      <c r="JN60" s="39"/>
      <c r="JO60" s="39"/>
      <c r="JP60" s="39"/>
      <c r="JQ60" s="39"/>
      <c r="JR60" s="39"/>
      <c r="JS60" s="39"/>
      <c r="JT60" s="39"/>
      <c r="JU60" s="39"/>
      <c r="JV60" s="39"/>
      <c r="JW60" s="39"/>
      <c r="JX60" s="39"/>
      <c r="JY60" s="39"/>
      <c r="JZ60" s="39"/>
      <c r="KA60" s="39"/>
      <c r="KB60" s="39"/>
      <c r="KC60" s="39"/>
      <c r="KD60" s="39"/>
      <c r="KE60" s="39"/>
      <c r="KF60" s="39"/>
      <c r="KG60" s="39"/>
      <c r="KH60" s="39"/>
      <c r="KI60" s="39"/>
      <c r="KJ60" s="39"/>
      <c r="KK60" s="39"/>
      <c r="KL60" s="39"/>
      <c r="KM60" s="39"/>
      <c r="KN60" s="39"/>
      <c r="KO60" s="39"/>
      <c r="KP60" s="39"/>
      <c r="KQ60" s="39"/>
      <c r="KR60" s="39"/>
      <c r="KS60" s="39"/>
      <c r="KT60" s="39"/>
      <c r="KU60" s="39"/>
      <c r="KV60" s="39"/>
      <c r="KW60" s="39"/>
      <c r="KX60" s="39"/>
      <c r="KY60" s="39"/>
      <c r="KZ60" s="39"/>
      <c r="LA60" s="39"/>
      <c r="LB60" s="39"/>
      <c r="LC60" s="39"/>
      <c r="LD60" s="39"/>
      <c r="LE60" s="39"/>
      <c r="LF60" s="39"/>
      <c r="LG60" s="39"/>
      <c r="LH60" s="39"/>
      <c r="LI60" s="39"/>
      <c r="LJ60" s="39"/>
      <c r="LK60" s="39"/>
      <c r="LL60" s="39"/>
      <c r="LM60" s="39"/>
      <c r="LN60" s="39"/>
      <c r="LO60" s="39"/>
      <c r="LP60" s="39"/>
      <c r="LQ60" s="39"/>
      <c r="LR60" s="39"/>
      <c r="LS60" s="39"/>
      <c r="LT60" s="39"/>
      <c r="LU60" s="39"/>
      <c r="LV60" s="39"/>
      <c r="LW60" s="39"/>
      <c r="LX60" s="39"/>
      <c r="LY60" s="39"/>
      <c r="LZ60" s="39"/>
      <c r="MA60" s="39"/>
      <c r="MB60" s="39"/>
      <c r="MC60" s="39"/>
      <c r="MD60" s="39"/>
      <c r="ME60" s="39"/>
      <c r="MF60" s="39"/>
      <c r="MG60" s="39"/>
      <c r="MH60" s="39"/>
      <c r="MI60" s="39"/>
      <c r="MJ60" s="39"/>
      <c r="MK60" s="39"/>
      <c r="ML60" s="35"/>
      <c r="MM60" s="35"/>
    </row>
    <row r="61" spans="1:351" x14ac:dyDescent="0.4">
      <c r="A61" s="30">
        <v>55</v>
      </c>
      <c r="B61" s="365"/>
      <c r="C61" s="365" t="s">
        <v>86</v>
      </c>
      <c r="D61" s="44" t="s">
        <v>75</v>
      </c>
      <c r="E61" s="30">
        <f t="shared" si="18"/>
        <v>0</v>
      </c>
      <c r="F61" s="37">
        <f t="shared" si="19"/>
        <v>0</v>
      </c>
      <c r="G61" s="35"/>
      <c r="H61" s="35"/>
      <c r="I61" s="35"/>
      <c r="J61" s="35"/>
      <c r="K61" s="35"/>
      <c r="L61" s="35"/>
      <c r="M61" s="35"/>
      <c r="N61" s="49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9"/>
      <c r="HE61" s="39"/>
      <c r="HF61" s="39"/>
      <c r="HG61" s="39"/>
      <c r="HH61" s="39"/>
      <c r="HI61" s="39"/>
      <c r="HJ61" s="39"/>
      <c r="HK61" s="39"/>
      <c r="HL61" s="39"/>
      <c r="HM61" s="39"/>
      <c r="HN61" s="39"/>
      <c r="HO61" s="39"/>
      <c r="HP61" s="39"/>
      <c r="HQ61" s="39"/>
      <c r="HR61" s="39"/>
      <c r="HS61" s="39"/>
      <c r="HT61" s="39"/>
      <c r="HU61" s="39"/>
      <c r="HV61" s="39"/>
      <c r="HW61" s="39"/>
      <c r="HX61" s="39"/>
      <c r="HY61" s="39"/>
      <c r="HZ61" s="39"/>
      <c r="IA61" s="39"/>
      <c r="IB61" s="39"/>
      <c r="IC61" s="39"/>
      <c r="ID61" s="39"/>
      <c r="IE61" s="39"/>
      <c r="IF61" s="39"/>
      <c r="IG61" s="39"/>
      <c r="IH61" s="39"/>
      <c r="II61" s="39"/>
      <c r="IJ61" s="39"/>
      <c r="IK61" s="39"/>
      <c r="IL61" s="39"/>
      <c r="IM61" s="39"/>
      <c r="IN61" s="39"/>
      <c r="IO61" s="39"/>
      <c r="IP61" s="39"/>
      <c r="IQ61" s="39"/>
      <c r="IR61" s="39"/>
      <c r="IS61" s="39"/>
      <c r="IT61" s="39"/>
      <c r="IU61" s="39"/>
      <c r="IV61" s="39"/>
      <c r="IW61" s="39"/>
      <c r="IX61" s="39"/>
      <c r="IY61" s="39"/>
      <c r="IZ61" s="39"/>
      <c r="JA61" s="39"/>
      <c r="JB61" s="39"/>
      <c r="JC61" s="39"/>
      <c r="JD61" s="39"/>
      <c r="JE61" s="39"/>
      <c r="JF61" s="39"/>
      <c r="JG61" s="39"/>
      <c r="JH61" s="39"/>
      <c r="JI61" s="39"/>
      <c r="JJ61" s="39"/>
      <c r="JK61" s="39"/>
      <c r="JL61" s="39"/>
      <c r="JM61" s="39"/>
      <c r="JN61" s="39"/>
      <c r="JO61" s="39"/>
      <c r="JP61" s="39"/>
      <c r="JQ61" s="39"/>
      <c r="JR61" s="39"/>
      <c r="JS61" s="39"/>
      <c r="JT61" s="39"/>
      <c r="JU61" s="39"/>
      <c r="JV61" s="39"/>
      <c r="JW61" s="39"/>
      <c r="JX61" s="39"/>
      <c r="JY61" s="39"/>
      <c r="JZ61" s="39"/>
      <c r="KA61" s="39"/>
      <c r="KB61" s="39"/>
      <c r="KC61" s="39"/>
      <c r="KD61" s="39"/>
      <c r="KE61" s="39"/>
      <c r="KF61" s="39"/>
      <c r="KG61" s="39"/>
      <c r="KH61" s="39"/>
      <c r="KI61" s="39"/>
      <c r="KJ61" s="39"/>
      <c r="KK61" s="39"/>
      <c r="KL61" s="39"/>
      <c r="KM61" s="39"/>
      <c r="KN61" s="39"/>
      <c r="KO61" s="39"/>
      <c r="KP61" s="39"/>
      <c r="KQ61" s="39"/>
      <c r="KR61" s="39"/>
      <c r="KS61" s="39"/>
      <c r="KT61" s="39"/>
      <c r="KU61" s="39"/>
      <c r="KV61" s="39"/>
      <c r="KW61" s="39"/>
      <c r="KX61" s="39"/>
      <c r="KY61" s="39"/>
      <c r="KZ61" s="39"/>
      <c r="LA61" s="39"/>
      <c r="LB61" s="39"/>
      <c r="LC61" s="39"/>
      <c r="LD61" s="39"/>
      <c r="LE61" s="39"/>
      <c r="LF61" s="39"/>
      <c r="LG61" s="39"/>
      <c r="LH61" s="39"/>
      <c r="LI61" s="39"/>
      <c r="LJ61" s="39"/>
      <c r="LK61" s="39"/>
      <c r="LL61" s="39"/>
      <c r="LM61" s="39"/>
      <c r="LN61" s="39"/>
      <c r="LO61" s="39"/>
      <c r="LP61" s="39"/>
      <c r="LQ61" s="39"/>
      <c r="LR61" s="39"/>
      <c r="LS61" s="39"/>
      <c r="LT61" s="39"/>
      <c r="LU61" s="39"/>
      <c r="LV61" s="39"/>
      <c r="LW61" s="39"/>
      <c r="LX61" s="39"/>
      <c r="LY61" s="39"/>
      <c r="LZ61" s="39"/>
      <c r="MA61" s="39"/>
      <c r="MB61" s="39"/>
      <c r="MC61" s="39"/>
      <c r="MD61" s="39"/>
      <c r="ME61" s="39"/>
      <c r="MF61" s="39"/>
      <c r="MG61" s="39"/>
      <c r="MH61" s="39"/>
      <c r="MI61" s="39"/>
      <c r="MJ61" s="39"/>
      <c r="MK61" s="39"/>
      <c r="ML61" s="35"/>
      <c r="MM61" s="35"/>
    </row>
    <row r="62" spans="1:351" x14ac:dyDescent="0.4">
      <c r="A62" s="30">
        <v>56</v>
      </c>
      <c r="B62" s="366"/>
      <c r="C62" s="366"/>
      <c r="D62" s="44" t="s">
        <v>87</v>
      </c>
      <c r="E62" s="30">
        <f t="shared" si="18"/>
        <v>0</v>
      </c>
      <c r="F62" s="37">
        <f t="shared" si="19"/>
        <v>0</v>
      </c>
      <c r="G62" s="35"/>
      <c r="H62" s="35"/>
      <c r="I62" s="35"/>
      <c r="J62" s="35"/>
      <c r="K62" s="35"/>
      <c r="L62" s="35"/>
      <c r="M62" s="35"/>
      <c r="N62" s="49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9"/>
      <c r="HE62" s="39"/>
      <c r="HF62" s="39"/>
      <c r="HG62" s="39"/>
      <c r="HH62" s="39"/>
      <c r="HI62" s="39"/>
      <c r="HJ62" s="39"/>
      <c r="HK62" s="39"/>
      <c r="HL62" s="39"/>
      <c r="HM62" s="39"/>
      <c r="HN62" s="39"/>
      <c r="HO62" s="39"/>
      <c r="HP62" s="39"/>
      <c r="HQ62" s="39"/>
      <c r="HR62" s="39"/>
      <c r="HS62" s="39"/>
      <c r="HT62" s="39"/>
      <c r="HU62" s="39"/>
      <c r="HV62" s="39"/>
      <c r="HW62" s="39"/>
      <c r="HX62" s="39"/>
      <c r="HY62" s="39"/>
      <c r="HZ62" s="39"/>
      <c r="IA62" s="39"/>
      <c r="IB62" s="39"/>
      <c r="IC62" s="39"/>
      <c r="ID62" s="39"/>
      <c r="IE62" s="39"/>
      <c r="IF62" s="39"/>
      <c r="IG62" s="39"/>
      <c r="IH62" s="39"/>
      <c r="II62" s="39"/>
      <c r="IJ62" s="39"/>
      <c r="IK62" s="39"/>
      <c r="IL62" s="39"/>
      <c r="IM62" s="39"/>
      <c r="IN62" s="39"/>
      <c r="IO62" s="39"/>
      <c r="IP62" s="39"/>
      <c r="IQ62" s="39"/>
      <c r="IR62" s="39"/>
      <c r="IS62" s="39"/>
      <c r="IT62" s="39"/>
      <c r="IU62" s="39"/>
      <c r="IV62" s="39"/>
      <c r="IW62" s="39"/>
      <c r="IX62" s="39"/>
      <c r="IY62" s="39"/>
      <c r="IZ62" s="39"/>
      <c r="JA62" s="39"/>
      <c r="JB62" s="39"/>
      <c r="JC62" s="39"/>
      <c r="JD62" s="39"/>
      <c r="JE62" s="39"/>
      <c r="JF62" s="39"/>
      <c r="JG62" s="39"/>
      <c r="JH62" s="39"/>
      <c r="JI62" s="39"/>
      <c r="JJ62" s="39"/>
      <c r="JK62" s="39"/>
      <c r="JL62" s="39"/>
      <c r="JM62" s="39"/>
      <c r="JN62" s="39"/>
      <c r="JO62" s="39"/>
      <c r="JP62" s="39"/>
      <c r="JQ62" s="39"/>
      <c r="JR62" s="39"/>
      <c r="JS62" s="39"/>
      <c r="JT62" s="39"/>
      <c r="JU62" s="39"/>
      <c r="JV62" s="39"/>
      <c r="JW62" s="39"/>
      <c r="JX62" s="39"/>
      <c r="JY62" s="39"/>
      <c r="JZ62" s="39"/>
      <c r="KA62" s="39"/>
      <c r="KB62" s="39"/>
      <c r="KC62" s="39"/>
      <c r="KD62" s="39"/>
      <c r="KE62" s="39"/>
      <c r="KF62" s="39"/>
      <c r="KG62" s="39"/>
      <c r="KH62" s="39"/>
      <c r="KI62" s="39"/>
      <c r="KJ62" s="39"/>
      <c r="KK62" s="39"/>
      <c r="KL62" s="39"/>
      <c r="KM62" s="39"/>
      <c r="KN62" s="39"/>
      <c r="KO62" s="39"/>
      <c r="KP62" s="39"/>
      <c r="KQ62" s="39"/>
      <c r="KR62" s="39"/>
      <c r="KS62" s="39"/>
      <c r="KT62" s="39"/>
      <c r="KU62" s="39"/>
      <c r="KV62" s="39"/>
      <c r="KW62" s="39"/>
      <c r="KX62" s="39"/>
      <c r="KY62" s="39"/>
      <c r="KZ62" s="39"/>
      <c r="LA62" s="39"/>
      <c r="LB62" s="39"/>
      <c r="LC62" s="39"/>
      <c r="LD62" s="39"/>
      <c r="LE62" s="39"/>
      <c r="LF62" s="39"/>
      <c r="LG62" s="39"/>
      <c r="LH62" s="39"/>
      <c r="LI62" s="39"/>
      <c r="LJ62" s="39"/>
      <c r="LK62" s="39"/>
      <c r="LL62" s="39"/>
      <c r="LM62" s="39"/>
      <c r="LN62" s="39"/>
      <c r="LO62" s="39"/>
      <c r="LP62" s="39"/>
      <c r="LQ62" s="39"/>
      <c r="LR62" s="39"/>
      <c r="LS62" s="39"/>
      <c r="LT62" s="39"/>
      <c r="LU62" s="39"/>
      <c r="LV62" s="39"/>
      <c r="LW62" s="39"/>
      <c r="LX62" s="39"/>
      <c r="LY62" s="39"/>
      <c r="LZ62" s="39"/>
      <c r="MA62" s="39"/>
      <c r="MB62" s="39"/>
      <c r="MC62" s="39"/>
      <c r="MD62" s="39"/>
      <c r="ME62" s="39"/>
      <c r="MF62" s="39"/>
      <c r="MG62" s="39"/>
      <c r="MH62" s="39"/>
      <c r="MI62" s="39"/>
      <c r="MJ62" s="39"/>
      <c r="MK62" s="39"/>
      <c r="ML62" s="35"/>
      <c r="MM62" s="35"/>
    </row>
    <row r="63" spans="1:351" x14ac:dyDescent="0.4">
      <c r="A63" s="30">
        <v>57</v>
      </c>
      <c r="B63" s="366"/>
      <c r="C63" s="366"/>
      <c r="D63" s="44" t="s">
        <v>88</v>
      </c>
      <c r="E63" s="30">
        <f t="shared" si="18"/>
        <v>0</v>
      </c>
      <c r="F63" s="37">
        <f t="shared" si="19"/>
        <v>0</v>
      </c>
      <c r="G63" s="35"/>
      <c r="H63" s="35"/>
      <c r="I63" s="35"/>
      <c r="J63" s="35"/>
      <c r="K63" s="35"/>
      <c r="L63" s="35"/>
      <c r="M63" s="35"/>
      <c r="N63" s="49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9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9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39"/>
      <c r="KV63" s="39"/>
      <c r="KW63" s="39"/>
      <c r="KX63" s="39"/>
      <c r="KY63" s="39"/>
      <c r="KZ63" s="39"/>
      <c r="LA63" s="39"/>
      <c r="LB63" s="39"/>
      <c r="LC63" s="39"/>
      <c r="LD63" s="39"/>
      <c r="LE63" s="39"/>
      <c r="LF63" s="39"/>
      <c r="LG63" s="39"/>
      <c r="LH63" s="39"/>
      <c r="LI63" s="39"/>
      <c r="LJ63" s="39"/>
      <c r="LK63" s="39"/>
      <c r="LL63" s="39"/>
      <c r="LM63" s="39"/>
      <c r="LN63" s="39"/>
      <c r="LO63" s="39"/>
      <c r="LP63" s="39"/>
      <c r="LQ63" s="39"/>
      <c r="LR63" s="39"/>
      <c r="LS63" s="39"/>
      <c r="LT63" s="39"/>
      <c r="LU63" s="39"/>
      <c r="LV63" s="39"/>
      <c r="LW63" s="39"/>
      <c r="LX63" s="39"/>
      <c r="LY63" s="39"/>
      <c r="LZ63" s="39"/>
      <c r="MA63" s="39"/>
      <c r="MB63" s="39"/>
      <c r="MC63" s="39"/>
      <c r="MD63" s="39"/>
      <c r="ME63" s="39"/>
      <c r="MF63" s="39"/>
      <c r="MG63" s="39"/>
      <c r="MH63" s="39"/>
      <c r="MI63" s="39"/>
      <c r="MJ63" s="39"/>
      <c r="MK63" s="39"/>
      <c r="ML63" s="35"/>
      <c r="MM63" s="35"/>
    </row>
    <row r="64" spans="1:351" x14ac:dyDescent="0.4">
      <c r="A64" s="30">
        <v>58</v>
      </c>
      <c r="B64" s="366"/>
      <c r="C64" s="366"/>
      <c r="D64" s="44" t="s">
        <v>89</v>
      </c>
      <c r="E64" s="30">
        <f t="shared" si="18"/>
        <v>0</v>
      </c>
      <c r="F64" s="37">
        <f t="shared" si="19"/>
        <v>0</v>
      </c>
      <c r="G64" s="35"/>
      <c r="H64" s="35"/>
      <c r="I64" s="35"/>
      <c r="J64" s="35"/>
      <c r="K64" s="35"/>
      <c r="L64" s="35"/>
      <c r="M64" s="35"/>
      <c r="N64" s="49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9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9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9"/>
      <c r="LO64" s="39"/>
      <c r="LP64" s="39"/>
      <c r="LQ64" s="39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5"/>
      <c r="MM64" s="35"/>
    </row>
    <row r="65" spans="1:351" x14ac:dyDescent="0.4">
      <c r="A65" s="30">
        <v>59</v>
      </c>
      <c r="B65" s="366"/>
      <c r="C65" s="366"/>
      <c r="D65" s="44" t="s">
        <v>90</v>
      </c>
      <c r="E65" s="30">
        <f t="shared" si="18"/>
        <v>0</v>
      </c>
      <c r="F65" s="37">
        <f t="shared" si="19"/>
        <v>0</v>
      </c>
      <c r="G65" s="35"/>
      <c r="H65" s="35"/>
      <c r="I65" s="35"/>
      <c r="J65" s="35"/>
      <c r="K65" s="35"/>
      <c r="L65" s="35"/>
      <c r="M65" s="35"/>
      <c r="N65" s="49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9"/>
      <c r="HE65" s="39"/>
      <c r="HF65" s="39"/>
      <c r="HG65" s="39"/>
      <c r="HH65" s="39"/>
      <c r="HI65" s="39"/>
      <c r="HJ65" s="39"/>
      <c r="HK65" s="39"/>
      <c r="HL65" s="39"/>
      <c r="HM65" s="39"/>
      <c r="HN65" s="39"/>
      <c r="HO65" s="39"/>
      <c r="HP65" s="39"/>
      <c r="HQ65" s="39"/>
      <c r="HR65" s="39"/>
      <c r="HS65" s="39"/>
      <c r="HT65" s="39"/>
      <c r="HU65" s="39"/>
      <c r="HV65" s="39"/>
      <c r="HW65" s="39"/>
      <c r="HX65" s="39"/>
      <c r="HY65" s="39"/>
      <c r="HZ65" s="39"/>
      <c r="IA65" s="39"/>
      <c r="IB65" s="39"/>
      <c r="IC65" s="39"/>
      <c r="ID65" s="39"/>
      <c r="IE65" s="39"/>
      <c r="IF65" s="39"/>
      <c r="IG65" s="39"/>
      <c r="IH65" s="39"/>
      <c r="II65" s="39"/>
      <c r="IJ65" s="39"/>
      <c r="IK65" s="39"/>
      <c r="IL65" s="39"/>
      <c r="IM65" s="39"/>
      <c r="IN65" s="39"/>
      <c r="IO65" s="39"/>
      <c r="IP65" s="39"/>
      <c r="IQ65" s="39"/>
      <c r="IR65" s="39"/>
      <c r="IS65" s="39"/>
      <c r="IT65" s="39"/>
      <c r="IU65" s="39"/>
      <c r="IV65" s="39"/>
      <c r="IW65" s="39"/>
      <c r="IX65" s="39"/>
      <c r="IY65" s="39"/>
      <c r="IZ65" s="39"/>
      <c r="JA65" s="39"/>
      <c r="JB65" s="39"/>
      <c r="JC65" s="39"/>
      <c r="JD65" s="39"/>
      <c r="JE65" s="39"/>
      <c r="JF65" s="39"/>
      <c r="JG65" s="39"/>
      <c r="JH65" s="39"/>
      <c r="JI65" s="39"/>
      <c r="JJ65" s="39"/>
      <c r="JK65" s="39"/>
      <c r="JL65" s="39"/>
      <c r="JM65" s="39"/>
      <c r="JN65" s="39"/>
      <c r="JO65" s="39"/>
      <c r="JP65" s="39"/>
      <c r="JQ65" s="39"/>
      <c r="JR65" s="39"/>
      <c r="JS65" s="39"/>
      <c r="JT65" s="39"/>
      <c r="JU65" s="39"/>
      <c r="JV65" s="39"/>
      <c r="JW65" s="39"/>
      <c r="JX65" s="39"/>
      <c r="JY65" s="39"/>
      <c r="JZ65" s="39"/>
      <c r="KA65" s="39"/>
      <c r="KB65" s="39"/>
      <c r="KC65" s="39"/>
      <c r="KD65" s="39"/>
      <c r="KE65" s="39"/>
      <c r="KF65" s="39"/>
      <c r="KG65" s="39"/>
      <c r="KH65" s="39"/>
      <c r="KI65" s="39"/>
      <c r="KJ65" s="39"/>
      <c r="KK65" s="39"/>
      <c r="KL65" s="39"/>
      <c r="KM65" s="39"/>
      <c r="KN65" s="39"/>
      <c r="KO65" s="39"/>
      <c r="KP65" s="39"/>
      <c r="KQ65" s="39"/>
      <c r="KR65" s="39"/>
      <c r="KS65" s="39"/>
      <c r="KT65" s="39"/>
      <c r="KU65" s="39"/>
      <c r="KV65" s="39"/>
      <c r="KW65" s="39"/>
      <c r="KX65" s="39"/>
      <c r="KY65" s="39"/>
      <c r="KZ65" s="39"/>
      <c r="LA65" s="39"/>
      <c r="LB65" s="39"/>
      <c r="LC65" s="39"/>
      <c r="LD65" s="39"/>
      <c r="LE65" s="39"/>
      <c r="LF65" s="39"/>
      <c r="LG65" s="39"/>
      <c r="LH65" s="39"/>
      <c r="LI65" s="39"/>
      <c r="LJ65" s="39"/>
      <c r="LK65" s="39"/>
      <c r="LL65" s="39"/>
      <c r="LM65" s="39"/>
      <c r="LN65" s="39"/>
      <c r="LO65" s="39"/>
      <c r="LP65" s="39"/>
      <c r="LQ65" s="39"/>
      <c r="LR65" s="39"/>
      <c r="LS65" s="39"/>
      <c r="LT65" s="39"/>
      <c r="LU65" s="39"/>
      <c r="LV65" s="39"/>
      <c r="LW65" s="39"/>
      <c r="LX65" s="39"/>
      <c r="LY65" s="39"/>
      <c r="LZ65" s="39"/>
      <c r="MA65" s="39"/>
      <c r="MB65" s="39"/>
      <c r="MC65" s="39"/>
      <c r="MD65" s="39"/>
      <c r="ME65" s="39"/>
      <c r="MF65" s="39"/>
      <c r="MG65" s="39"/>
      <c r="MH65" s="39"/>
      <c r="MI65" s="39"/>
      <c r="MJ65" s="39"/>
      <c r="MK65" s="39"/>
      <c r="ML65" s="35"/>
      <c r="MM65" s="35"/>
    </row>
    <row r="66" spans="1:351" x14ac:dyDescent="0.4">
      <c r="A66" s="30">
        <v>60</v>
      </c>
      <c r="B66" s="367"/>
      <c r="C66" s="367"/>
      <c r="D66" s="44" t="s">
        <v>91</v>
      </c>
      <c r="E66" s="30">
        <f t="shared" si="18"/>
        <v>0</v>
      </c>
      <c r="F66" s="37">
        <f t="shared" si="19"/>
        <v>0</v>
      </c>
      <c r="G66" s="35"/>
      <c r="H66" s="35"/>
      <c r="I66" s="35"/>
      <c r="J66" s="35"/>
      <c r="K66" s="35"/>
      <c r="L66" s="35"/>
      <c r="M66" s="35"/>
      <c r="N66" s="49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39"/>
      <c r="IN66" s="39"/>
      <c r="IO66" s="39"/>
      <c r="IP66" s="39"/>
      <c r="IQ66" s="39"/>
      <c r="IR66" s="39"/>
      <c r="IS66" s="39"/>
      <c r="IT66" s="39"/>
      <c r="IU66" s="39"/>
      <c r="IV66" s="39"/>
      <c r="IW66" s="39"/>
      <c r="IX66" s="39"/>
      <c r="IY66" s="39"/>
      <c r="IZ66" s="39"/>
      <c r="JA66" s="39"/>
      <c r="JB66" s="39"/>
      <c r="JC66" s="39"/>
      <c r="JD66" s="39"/>
      <c r="JE66" s="39"/>
      <c r="JF66" s="39"/>
      <c r="JG66" s="39"/>
      <c r="JH66" s="39"/>
      <c r="JI66" s="39"/>
      <c r="JJ66" s="39"/>
      <c r="JK66" s="39"/>
      <c r="JL66" s="39"/>
      <c r="JM66" s="39"/>
      <c r="JN66" s="39"/>
      <c r="JO66" s="39"/>
      <c r="JP66" s="39"/>
      <c r="JQ66" s="39"/>
      <c r="JR66" s="39"/>
      <c r="JS66" s="39"/>
      <c r="JT66" s="39"/>
      <c r="JU66" s="39"/>
      <c r="JV66" s="39"/>
      <c r="JW66" s="39"/>
      <c r="JX66" s="39"/>
      <c r="JY66" s="39"/>
      <c r="JZ66" s="39"/>
      <c r="KA66" s="39"/>
      <c r="KB66" s="39"/>
      <c r="KC66" s="39"/>
      <c r="KD66" s="39"/>
      <c r="KE66" s="39"/>
      <c r="KF66" s="39"/>
      <c r="KG66" s="39"/>
      <c r="KH66" s="39"/>
      <c r="KI66" s="39"/>
      <c r="KJ66" s="39"/>
      <c r="KK66" s="39"/>
      <c r="KL66" s="39"/>
      <c r="KM66" s="39"/>
      <c r="KN66" s="39"/>
      <c r="KO66" s="39"/>
      <c r="KP66" s="39"/>
      <c r="KQ66" s="39"/>
      <c r="KR66" s="39"/>
      <c r="KS66" s="39"/>
      <c r="KT66" s="39"/>
      <c r="KU66" s="39"/>
      <c r="KV66" s="39"/>
      <c r="KW66" s="39"/>
      <c r="KX66" s="39"/>
      <c r="KY66" s="39"/>
      <c r="KZ66" s="39"/>
      <c r="LA66" s="39"/>
      <c r="LB66" s="39"/>
      <c r="LC66" s="39"/>
      <c r="LD66" s="39"/>
      <c r="LE66" s="39"/>
      <c r="LF66" s="39"/>
      <c r="LG66" s="39"/>
      <c r="LH66" s="39"/>
      <c r="LI66" s="39"/>
      <c r="LJ66" s="39"/>
      <c r="LK66" s="39"/>
      <c r="LL66" s="39"/>
      <c r="LM66" s="39"/>
      <c r="LN66" s="39"/>
      <c r="LO66" s="39"/>
      <c r="LP66" s="39"/>
      <c r="LQ66" s="39"/>
      <c r="LR66" s="39"/>
      <c r="LS66" s="39"/>
      <c r="LT66" s="39"/>
      <c r="LU66" s="39"/>
      <c r="LV66" s="39"/>
      <c r="LW66" s="39"/>
      <c r="LX66" s="39"/>
      <c r="LY66" s="39"/>
      <c r="LZ66" s="39"/>
      <c r="MA66" s="39"/>
      <c r="MB66" s="39"/>
      <c r="MC66" s="39"/>
      <c r="MD66" s="39"/>
      <c r="ME66" s="39"/>
      <c r="MF66" s="39"/>
      <c r="MG66" s="39"/>
      <c r="MH66" s="39"/>
      <c r="MI66" s="39"/>
      <c r="MJ66" s="39"/>
      <c r="MK66" s="39"/>
      <c r="ML66" s="35"/>
      <c r="MM66" s="35"/>
    </row>
    <row r="67" spans="1:351" ht="14.5" customHeight="1" x14ac:dyDescent="0.4">
      <c r="A67" s="30">
        <v>61</v>
      </c>
      <c r="B67" s="365"/>
      <c r="C67" s="40"/>
      <c r="D67" s="44" t="s">
        <v>75</v>
      </c>
      <c r="E67" s="30">
        <f t="shared" si="18"/>
        <v>0</v>
      </c>
      <c r="F67" s="37">
        <f t="shared" si="19"/>
        <v>0</v>
      </c>
      <c r="G67" s="35"/>
      <c r="H67" s="35"/>
      <c r="I67" s="35"/>
      <c r="J67" s="35"/>
      <c r="K67" s="35"/>
      <c r="L67" s="35"/>
      <c r="M67" s="35"/>
      <c r="N67" s="49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  <c r="IS67" s="39"/>
      <c r="IT67" s="39"/>
      <c r="IU67" s="39"/>
      <c r="IV67" s="39"/>
      <c r="IW67" s="39"/>
      <c r="IX67" s="39"/>
      <c r="IY67" s="39"/>
      <c r="IZ67" s="39"/>
      <c r="JA67" s="39"/>
      <c r="JB67" s="39"/>
      <c r="JC67" s="39"/>
      <c r="JD67" s="39"/>
      <c r="JE67" s="39"/>
      <c r="JF67" s="39"/>
      <c r="JG67" s="39"/>
      <c r="JH67" s="39"/>
      <c r="JI67" s="39"/>
      <c r="JJ67" s="39"/>
      <c r="JK67" s="39"/>
      <c r="JL67" s="39"/>
      <c r="JM67" s="39"/>
      <c r="JN67" s="39"/>
      <c r="JO67" s="39"/>
      <c r="JP67" s="39"/>
      <c r="JQ67" s="39"/>
      <c r="JR67" s="39"/>
      <c r="JS67" s="39"/>
      <c r="JT67" s="39"/>
      <c r="JU67" s="39"/>
      <c r="JV67" s="39"/>
      <c r="JW67" s="39"/>
      <c r="JX67" s="39"/>
      <c r="JY67" s="39"/>
      <c r="JZ67" s="39"/>
      <c r="KA67" s="39"/>
      <c r="KB67" s="39"/>
      <c r="KC67" s="39"/>
      <c r="KD67" s="39"/>
      <c r="KE67" s="39"/>
      <c r="KF67" s="39"/>
      <c r="KG67" s="39"/>
      <c r="KH67" s="39"/>
      <c r="KI67" s="39"/>
      <c r="KJ67" s="39"/>
      <c r="KK67" s="39"/>
      <c r="KL67" s="39"/>
      <c r="KM67" s="39"/>
      <c r="KN67" s="39"/>
      <c r="KO67" s="39"/>
      <c r="KP67" s="39"/>
      <c r="KQ67" s="39"/>
      <c r="KR67" s="39"/>
      <c r="KS67" s="39"/>
      <c r="KT67" s="39"/>
      <c r="KU67" s="39"/>
      <c r="KV67" s="39"/>
      <c r="KW67" s="39"/>
      <c r="KX67" s="39"/>
      <c r="KY67" s="39"/>
      <c r="KZ67" s="39"/>
      <c r="LA67" s="39"/>
      <c r="LB67" s="39"/>
      <c r="LC67" s="39"/>
      <c r="LD67" s="39"/>
      <c r="LE67" s="39"/>
      <c r="LF67" s="39"/>
      <c r="LG67" s="39"/>
      <c r="LH67" s="39"/>
      <c r="LI67" s="39"/>
      <c r="LJ67" s="39"/>
      <c r="LK67" s="39"/>
      <c r="LL67" s="39"/>
      <c r="LM67" s="39"/>
      <c r="LN67" s="39"/>
      <c r="LO67" s="39"/>
      <c r="LP67" s="39"/>
      <c r="LQ67" s="39"/>
      <c r="LR67" s="39"/>
      <c r="LS67" s="39"/>
      <c r="LT67" s="39"/>
      <c r="LU67" s="39"/>
      <c r="LV67" s="39"/>
      <c r="LW67" s="39"/>
      <c r="LX67" s="39"/>
      <c r="LY67" s="39"/>
      <c r="LZ67" s="39"/>
      <c r="MA67" s="39"/>
      <c r="MB67" s="39"/>
      <c r="MC67" s="39"/>
      <c r="MD67" s="39"/>
      <c r="ME67" s="39"/>
      <c r="MF67" s="39"/>
      <c r="MG67" s="39"/>
      <c r="MH67" s="39"/>
      <c r="MI67" s="39"/>
      <c r="MJ67" s="39"/>
      <c r="MK67" s="39"/>
      <c r="ML67" s="35"/>
      <c r="MM67" s="35"/>
    </row>
    <row r="68" spans="1:351" x14ac:dyDescent="0.4">
      <c r="A68" s="30">
        <v>62</v>
      </c>
      <c r="B68" s="366"/>
      <c r="C68" s="41"/>
      <c r="D68" s="44" t="s">
        <v>87</v>
      </c>
      <c r="E68" s="30">
        <f t="shared" si="18"/>
        <v>0</v>
      </c>
      <c r="F68" s="37">
        <f t="shared" si="19"/>
        <v>0</v>
      </c>
      <c r="G68" s="35"/>
      <c r="H68" s="35"/>
      <c r="I68" s="35"/>
      <c r="J68" s="35"/>
      <c r="K68" s="35"/>
      <c r="L68" s="35"/>
      <c r="M68" s="35"/>
      <c r="N68" s="49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9"/>
      <c r="HE68" s="39"/>
      <c r="HF68" s="39"/>
      <c r="HG68" s="39"/>
      <c r="HH68" s="39"/>
      <c r="HI68" s="39"/>
      <c r="HJ68" s="39"/>
      <c r="HK68" s="39"/>
      <c r="HL68" s="39"/>
      <c r="HM68" s="39"/>
      <c r="HN68" s="39"/>
      <c r="HO68" s="39"/>
      <c r="HP68" s="39"/>
      <c r="HQ68" s="39"/>
      <c r="HR68" s="39"/>
      <c r="HS68" s="39"/>
      <c r="HT68" s="39"/>
      <c r="HU68" s="39"/>
      <c r="HV68" s="39"/>
      <c r="HW68" s="39"/>
      <c r="HX68" s="39"/>
      <c r="HY68" s="39"/>
      <c r="HZ68" s="39"/>
      <c r="IA68" s="39"/>
      <c r="IB68" s="39"/>
      <c r="IC68" s="39"/>
      <c r="ID68" s="39"/>
      <c r="IE68" s="39"/>
      <c r="IF68" s="39"/>
      <c r="IG68" s="39"/>
      <c r="IH68" s="39"/>
      <c r="II68" s="39"/>
      <c r="IJ68" s="39"/>
      <c r="IK68" s="39"/>
      <c r="IL68" s="39"/>
      <c r="IM68" s="39"/>
      <c r="IN68" s="39"/>
      <c r="IO68" s="39"/>
      <c r="IP68" s="39"/>
      <c r="IQ68" s="39"/>
      <c r="IR68" s="39"/>
      <c r="IS68" s="39"/>
      <c r="IT68" s="39"/>
      <c r="IU68" s="39"/>
      <c r="IV68" s="39"/>
      <c r="IW68" s="39"/>
      <c r="IX68" s="39"/>
      <c r="IY68" s="39"/>
      <c r="IZ68" s="39"/>
      <c r="JA68" s="39"/>
      <c r="JB68" s="39"/>
      <c r="JC68" s="39"/>
      <c r="JD68" s="39"/>
      <c r="JE68" s="39"/>
      <c r="JF68" s="39"/>
      <c r="JG68" s="39"/>
      <c r="JH68" s="39"/>
      <c r="JI68" s="39"/>
      <c r="JJ68" s="39"/>
      <c r="JK68" s="39"/>
      <c r="JL68" s="39"/>
      <c r="JM68" s="39"/>
      <c r="JN68" s="39"/>
      <c r="JO68" s="39"/>
      <c r="JP68" s="39"/>
      <c r="JQ68" s="39"/>
      <c r="JR68" s="39"/>
      <c r="JS68" s="39"/>
      <c r="JT68" s="39"/>
      <c r="JU68" s="39"/>
      <c r="JV68" s="39"/>
      <c r="JW68" s="39"/>
      <c r="JX68" s="39"/>
      <c r="JY68" s="39"/>
      <c r="JZ68" s="39"/>
      <c r="KA68" s="39"/>
      <c r="KB68" s="39"/>
      <c r="KC68" s="39"/>
      <c r="KD68" s="39"/>
      <c r="KE68" s="39"/>
      <c r="KF68" s="39"/>
      <c r="KG68" s="39"/>
      <c r="KH68" s="39"/>
      <c r="KI68" s="39"/>
      <c r="KJ68" s="39"/>
      <c r="KK68" s="39"/>
      <c r="KL68" s="39"/>
      <c r="KM68" s="39"/>
      <c r="KN68" s="39"/>
      <c r="KO68" s="39"/>
      <c r="KP68" s="39"/>
      <c r="KQ68" s="39"/>
      <c r="KR68" s="39"/>
      <c r="KS68" s="39"/>
      <c r="KT68" s="39"/>
      <c r="KU68" s="39"/>
      <c r="KV68" s="39"/>
      <c r="KW68" s="39"/>
      <c r="KX68" s="39"/>
      <c r="KY68" s="39"/>
      <c r="KZ68" s="39"/>
      <c r="LA68" s="39"/>
      <c r="LB68" s="39"/>
      <c r="LC68" s="39"/>
      <c r="LD68" s="39"/>
      <c r="LE68" s="39"/>
      <c r="LF68" s="39"/>
      <c r="LG68" s="39"/>
      <c r="LH68" s="39"/>
      <c r="LI68" s="39"/>
      <c r="LJ68" s="39"/>
      <c r="LK68" s="39"/>
      <c r="LL68" s="39"/>
      <c r="LM68" s="39"/>
      <c r="LN68" s="39"/>
      <c r="LO68" s="39"/>
      <c r="LP68" s="39"/>
      <c r="LQ68" s="39"/>
      <c r="LR68" s="39"/>
      <c r="LS68" s="39"/>
      <c r="LT68" s="39"/>
      <c r="LU68" s="39"/>
      <c r="LV68" s="39"/>
      <c r="LW68" s="39"/>
      <c r="LX68" s="39"/>
      <c r="LY68" s="39"/>
      <c r="LZ68" s="39"/>
      <c r="MA68" s="39"/>
      <c r="MB68" s="39"/>
      <c r="MC68" s="39"/>
      <c r="MD68" s="39"/>
      <c r="ME68" s="39"/>
      <c r="MF68" s="39"/>
      <c r="MG68" s="39"/>
      <c r="MH68" s="39"/>
      <c r="MI68" s="39"/>
      <c r="MJ68" s="39"/>
      <c r="MK68" s="39"/>
      <c r="ML68" s="35"/>
      <c r="MM68" s="35"/>
    </row>
    <row r="69" spans="1:351" x14ac:dyDescent="0.4">
      <c r="A69" s="30">
        <v>63</v>
      </c>
      <c r="B69" s="366"/>
      <c r="C69" s="41"/>
      <c r="D69" s="44" t="s">
        <v>88</v>
      </c>
      <c r="E69" s="30">
        <f t="shared" si="18"/>
        <v>0</v>
      </c>
      <c r="F69" s="37">
        <f t="shared" si="19"/>
        <v>0</v>
      </c>
      <c r="G69" s="35"/>
      <c r="H69" s="35"/>
      <c r="I69" s="35"/>
      <c r="J69" s="35"/>
      <c r="K69" s="35"/>
      <c r="L69" s="35"/>
      <c r="M69" s="35"/>
      <c r="N69" s="49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39"/>
      <c r="IV69" s="39"/>
      <c r="IW69" s="39"/>
      <c r="IX69" s="39"/>
      <c r="IY69" s="39"/>
      <c r="IZ69" s="39"/>
      <c r="JA69" s="39"/>
      <c r="JB69" s="39"/>
      <c r="JC69" s="39"/>
      <c r="JD69" s="39"/>
      <c r="JE69" s="39"/>
      <c r="JF69" s="39"/>
      <c r="JG69" s="39"/>
      <c r="JH69" s="39"/>
      <c r="JI69" s="39"/>
      <c r="JJ69" s="39"/>
      <c r="JK69" s="39"/>
      <c r="JL69" s="39"/>
      <c r="JM69" s="39"/>
      <c r="JN69" s="39"/>
      <c r="JO69" s="39"/>
      <c r="JP69" s="39"/>
      <c r="JQ69" s="39"/>
      <c r="JR69" s="39"/>
      <c r="JS69" s="39"/>
      <c r="JT69" s="39"/>
      <c r="JU69" s="39"/>
      <c r="JV69" s="39"/>
      <c r="JW69" s="39"/>
      <c r="JX69" s="39"/>
      <c r="JY69" s="39"/>
      <c r="JZ69" s="39"/>
      <c r="KA69" s="39"/>
      <c r="KB69" s="39"/>
      <c r="KC69" s="39"/>
      <c r="KD69" s="39"/>
      <c r="KE69" s="39"/>
      <c r="KF69" s="39"/>
      <c r="KG69" s="39"/>
      <c r="KH69" s="39"/>
      <c r="KI69" s="39"/>
      <c r="KJ69" s="39"/>
      <c r="KK69" s="39"/>
      <c r="KL69" s="39"/>
      <c r="KM69" s="39"/>
      <c r="KN69" s="39"/>
      <c r="KO69" s="39"/>
      <c r="KP69" s="39"/>
      <c r="KQ69" s="39"/>
      <c r="KR69" s="39"/>
      <c r="KS69" s="39"/>
      <c r="KT69" s="39"/>
      <c r="KU69" s="39"/>
      <c r="KV69" s="39"/>
      <c r="KW69" s="39"/>
      <c r="KX69" s="39"/>
      <c r="KY69" s="39"/>
      <c r="KZ69" s="39"/>
      <c r="LA69" s="39"/>
      <c r="LB69" s="39"/>
      <c r="LC69" s="39"/>
      <c r="LD69" s="39"/>
      <c r="LE69" s="39"/>
      <c r="LF69" s="39"/>
      <c r="LG69" s="39"/>
      <c r="LH69" s="39"/>
      <c r="LI69" s="39"/>
      <c r="LJ69" s="39"/>
      <c r="LK69" s="39"/>
      <c r="LL69" s="39"/>
      <c r="LM69" s="39"/>
      <c r="LN69" s="39"/>
      <c r="LO69" s="39"/>
      <c r="LP69" s="39"/>
      <c r="LQ69" s="39"/>
      <c r="LR69" s="39"/>
      <c r="LS69" s="39"/>
      <c r="LT69" s="39"/>
      <c r="LU69" s="39"/>
      <c r="LV69" s="39"/>
      <c r="LW69" s="39"/>
      <c r="LX69" s="39"/>
      <c r="LY69" s="39"/>
      <c r="LZ69" s="39"/>
      <c r="MA69" s="39"/>
      <c r="MB69" s="39"/>
      <c r="MC69" s="39"/>
      <c r="MD69" s="39"/>
      <c r="ME69" s="39"/>
      <c r="MF69" s="39"/>
      <c r="MG69" s="39"/>
      <c r="MH69" s="39"/>
      <c r="MI69" s="39"/>
      <c r="MJ69" s="39"/>
      <c r="MK69" s="39"/>
      <c r="ML69" s="35"/>
      <c r="MM69" s="35"/>
    </row>
    <row r="70" spans="1:351" x14ac:dyDescent="0.4">
      <c r="A70" s="30">
        <v>64</v>
      </c>
      <c r="B70" s="366"/>
      <c r="C70" s="41"/>
      <c r="D70" s="44" t="s">
        <v>89</v>
      </c>
      <c r="E70" s="30">
        <f t="shared" si="18"/>
        <v>0</v>
      </c>
      <c r="F70" s="37">
        <f t="shared" si="19"/>
        <v>0</v>
      </c>
      <c r="G70" s="35"/>
      <c r="H70" s="35"/>
      <c r="I70" s="35"/>
      <c r="J70" s="35"/>
      <c r="K70" s="35"/>
      <c r="L70" s="35"/>
      <c r="M70" s="35"/>
      <c r="N70" s="49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39"/>
      <c r="IV70" s="39"/>
      <c r="IW70" s="39"/>
      <c r="IX70" s="39"/>
      <c r="IY70" s="39"/>
      <c r="IZ70" s="39"/>
      <c r="JA70" s="39"/>
      <c r="JB70" s="39"/>
      <c r="JC70" s="39"/>
      <c r="JD70" s="39"/>
      <c r="JE70" s="39"/>
      <c r="JF70" s="39"/>
      <c r="JG70" s="39"/>
      <c r="JH70" s="39"/>
      <c r="JI70" s="39"/>
      <c r="JJ70" s="39"/>
      <c r="JK70" s="39"/>
      <c r="JL70" s="39"/>
      <c r="JM70" s="39"/>
      <c r="JN70" s="39"/>
      <c r="JO70" s="39"/>
      <c r="JP70" s="39"/>
      <c r="JQ70" s="39"/>
      <c r="JR70" s="39"/>
      <c r="JS70" s="39"/>
      <c r="JT70" s="39"/>
      <c r="JU70" s="39"/>
      <c r="JV70" s="39"/>
      <c r="JW70" s="39"/>
      <c r="JX70" s="39"/>
      <c r="JY70" s="39"/>
      <c r="JZ70" s="39"/>
      <c r="KA70" s="39"/>
      <c r="KB70" s="39"/>
      <c r="KC70" s="39"/>
      <c r="KD70" s="39"/>
      <c r="KE70" s="39"/>
      <c r="KF70" s="39"/>
      <c r="KG70" s="39"/>
      <c r="KH70" s="39"/>
      <c r="KI70" s="39"/>
      <c r="KJ70" s="39"/>
      <c r="KK70" s="39"/>
      <c r="KL70" s="39"/>
      <c r="KM70" s="39"/>
      <c r="KN70" s="39"/>
      <c r="KO70" s="39"/>
      <c r="KP70" s="39"/>
      <c r="KQ70" s="39"/>
      <c r="KR70" s="39"/>
      <c r="KS70" s="39"/>
      <c r="KT70" s="39"/>
      <c r="KU70" s="39"/>
      <c r="KV70" s="39"/>
      <c r="KW70" s="39"/>
      <c r="KX70" s="39"/>
      <c r="KY70" s="39"/>
      <c r="KZ70" s="39"/>
      <c r="LA70" s="39"/>
      <c r="LB70" s="39"/>
      <c r="LC70" s="39"/>
      <c r="LD70" s="39"/>
      <c r="LE70" s="39"/>
      <c r="LF70" s="39"/>
      <c r="LG70" s="39"/>
      <c r="LH70" s="39"/>
      <c r="LI70" s="39"/>
      <c r="LJ70" s="39"/>
      <c r="LK70" s="39"/>
      <c r="LL70" s="39"/>
      <c r="LM70" s="39"/>
      <c r="LN70" s="39"/>
      <c r="LO70" s="39"/>
      <c r="LP70" s="39"/>
      <c r="LQ70" s="39"/>
      <c r="LR70" s="39"/>
      <c r="LS70" s="39"/>
      <c r="LT70" s="39"/>
      <c r="LU70" s="39"/>
      <c r="LV70" s="39"/>
      <c r="LW70" s="39"/>
      <c r="LX70" s="39"/>
      <c r="LY70" s="39"/>
      <c r="LZ70" s="39"/>
      <c r="MA70" s="39"/>
      <c r="MB70" s="39"/>
      <c r="MC70" s="39"/>
      <c r="MD70" s="39"/>
      <c r="ME70" s="39"/>
      <c r="MF70" s="39"/>
      <c r="MG70" s="39"/>
      <c r="MH70" s="39"/>
      <c r="MI70" s="39"/>
      <c r="MJ70" s="39"/>
      <c r="MK70" s="39"/>
      <c r="ML70" s="35"/>
      <c r="MM70" s="35"/>
    </row>
    <row r="71" spans="1:351" x14ac:dyDescent="0.4">
      <c r="A71" s="30">
        <v>65</v>
      </c>
      <c r="B71" s="366"/>
      <c r="C71" s="41"/>
      <c r="D71" s="44" t="s">
        <v>90</v>
      </c>
      <c r="E71" s="30">
        <f t="shared" ref="E71:E102" si="20">SUMIFS(G71:XFD71,$G$5:$XFD$5,$E$5)</f>
        <v>0</v>
      </c>
      <c r="F71" s="37">
        <f t="shared" si="19"/>
        <v>0</v>
      </c>
      <c r="G71" s="35"/>
      <c r="H71" s="35"/>
      <c r="I71" s="35"/>
      <c r="J71" s="35"/>
      <c r="K71" s="35"/>
      <c r="L71" s="35"/>
      <c r="M71" s="35"/>
      <c r="N71" s="49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39"/>
      <c r="IV71" s="39"/>
      <c r="IW71" s="39"/>
      <c r="IX71" s="39"/>
      <c r="IY71" s="39"/>
      <c r="IZ71" s="39"/>
      <c r="JA71" s="39"/>
      <c r="JB71" s="39"/>
      <c r="JC71" s="39"/>
      <c r="JD71" s="39"/>
      <c r="JE71" s="39"/>
      <c r="JF71" s="39"/>
      <c r="JG71" s="39"/>
      <c r="JH71" s="39"/>
      <c r="JI71" s="39"/>
      <c r="JJ71" s="39"/>
      <c r="JK71" s="39"/>
      <c r="JL71" s="39"/>
      <c r="JM71" s="39"/>
      <c r="JN71" s="39"/>
      <c r="JO71" s="39"/>
      <c r="JP71" s="39"/>
      <c r="JQ71" s="39"/>
      <c r="JR71" s="39"/>
      <c r="JS71" s="39"/>
      <c r="JT71" s="39"/>
      <c r="JU71" s="39"/>
      <c r="JV71" s="39"/>
      <c r="JW71" s="39"/>
      <c r="JX71" s="39"/>
      <c r="JY71" s="39"/>
      <c r="JZ71" s="39"/>
      <c r="KA71" s="39"/>
      <c r="KB71" s="39"/>
      <c r="KC71" s="39"/>
      <c r="KD71" s="39"/>
      <c r="KE71" s="39"/>
      <c r="KF71" s="39"/>
      <c r="KG71" s="39"/>
      <c r="KH71" s="39"/>
      <c r="KI71" s="39"/>
      <c r="KJ71" s="39"/>
      <c r="KK71" s="39"/>
      <c r="KL71" s="39"/>
      <c r="KM71" s="39"/>
      <c r="KN71" s="39"/>
      <c r="KO71" s="39"/>
      <c r="KP71" s="39"/>
      <c r="KQ71" s="39"/>
      <c r="KR71" s="39"/>
      <c r="KS71" s="39"/>
      <c r="KT71" s="39"/>
      <c r="KU71" s="39"/>
      <c r="KV71" s="39"/>
      <c r="KW71" s="39"/>
      <c r="KX71" s="39"/>
      <c r="KY71" s="39"/>
      <c r="KZ71" s="39"/>
      <c r="LA71" s="39"/>
      <c r="LB71" s="39"/>
      <c r="LC71" s="39"/>
      <c r="LD71" s="39"/>
      <c r="LE71" s="39"/>
      <c r="LF71" s="39"/>
      <c r="LG71" s="39"/>
      <c r="LH71" s="39"/>
      <c r="LI71" s="39"/>
      <c r="LJ71" s="39"/>
      <c r="LK71" s="39"/>
      <c r="LL71" s="39"/>
      <c r="LM71" s="39"/>
      <c r="LN71" s="39"/>
      <c r="LO71" s="39"/>
      <c r="LP71" s="39"/>
      <c r="LQ71" s="39"/>
      <c r="LR71" s="39"/>
      <c r="LS71" s="39"/>
      <c r="LT71" s="39"/>
      <c r="LU71" s="39"/>
      <c r="LV71" s="39"/>
      <c r="LW71" s="39"/>
      <c r="LX71" s="39"/>
      <c r="LY71" s="39"/>
      <c r="LZ71" s="39"/>
      <c r="MA71" s="39"/>
      <c r="MB71" s="39"/>
      <c r="MC71" s="39"/>
      <c r="MD71" s="39"/>
      <c r="ME71" s="39"/>
      <c r="MF71" s="39"/>
      <c r="MG71" s="39"/>
      <c r="MH71" s="39"/>
      <c r="MI71" s="39"/>
      <c r="MJ71" s="39"/>
      <c r="MK71" s="39"/>
      <c r="ML71" s="35"/>
      <c r="MM71" s="35"/>
    </row>
    <row r="72" spans="1:351" x14ac:dyDescent="0.4">
      <c r="A72" s="30">
        <v>66</v>
      </c>
      <c r="B72" s="367"/>
      <c r="C72" s="42"/>
      <c r="D72" s="44" t="s">
        <v>91</v>
      </c>
      <c r="E72" s="30">
        <f t="shared" si="20"/>
        <v>0</v>
      </c>
      <c r="F72" s="37">
        <f t="shared" si="19"/>
        <v>0</v>
      </c>
      <c r="G72" s="35"/>
      <c r="H72" s="35"/>
      <c r="I72" s="35"/>
      <c r="J72" s="35"/>
      <c r="K72" s="35"/>
      <c r="L72" s="35"/>
      <c r="M72" s="35"/>
      <c r="N72" s="49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9"/>
      <c r="HE72" s="39"/>
      <c r="HF72" s="39"/>
      <c r="HG72" s="39"/>
      <c r="HH72" s="39"/>
      <c r="HI72" s="39"/>
      <c r="HJ72" s="39"/>
      <c r="HK72" s="39"/>
      <c r="HL72" s="39"/>
      <c r="HM72" s="39"/>
      <c r="HN72" s="39"/>
      <c r="HO72" s="39"/>
      <c r="HP72" s="39"/>
      <c r="HQ72" s="39"/>
      <c r="HR72" s="39"/>
      <c r="HS72" s="39"/>
      <c r="HT72" s="39"/>
      <c r="HU72" s="39"/>
      <c r="HV72" s="39"/>
      <c r="HW72" s="39"/>
      <c r="HX72" s="39"/>
      <c r="HY72" s="39"/>
      <c r="HZ72" s="39"/>
      <c r="IA72" s="39"/>
      <c r="IB72" s="39"/>
      <c r="IC72" s="39"/>
      <c r="ID72" s="39"/>
      <c r="IE72" s="39"/>
      <c r="IF72" s="39"/>
      <c r="IG72" s="39"/>
      <c r="IH72" s="39"/>
      <c r="II72" s="39"/>
      <c r="IJ72" s="39"/>
      <c r="IK72" s="39"/>
      <c r="IL72" s="39"/>
      <c r="IM72" s="39"/>
      <c r="IN72" s="39"/>
      <c r="IO72" s="39"/>
      <c r="IP72" s="39"/>
      <c r="IQ72" s="39"/>
      <c r="IR72" s="39"/>
      <c r="IS72" s="39"/>
      <c r="IT72" s="39"/>
      <c r="IU72" s="39"/>
      <c r="IV72" s="39"/>
      <c r="IW72" s="39"/>
      <c r="IX72" s="39"/>
      <c r="IY72" s="39"/>
      <c r="IZ72" s="39"/>
      <c r="JA72" s="39"/>
      <c r="JB72" s="39"/>
      <c r="JC72" s="39"/>
      <c r="JD72" s="39"/>
      <c r="JE72" s="39"/>
      <c r="JF72" s="39"/>
      <c r="JG72" s="39"/>
      <c r="JH72" s="39"/>
      <c r="JI72" s="39"/>
      <c r="JJ72" s="39"/>
      <c r="JK72" s="39"/>
      <c r="JL72" s="39"/>
      <c r="JM72" s="39"/>
      <c r="JN72" s="39"/>
      <c r="JO72" s="39"/>
      <c r="JP72" s="39"/>
      <c r="JQ72" s="39"/>
      <c r="JR72" s="39"/>
      <c r="JS72" s="39"/>
      <c r="JT72" s="39"/>
      <c r="JU72" s="39"/>
      <c r="JV72" s="39"/>
      <c r="JW72" s="39"/>
      <c r="JX72" s="39"/>
      <c r="JY72" s="39"/>
      <c r="JZ72" s="39"/>
      <c r="KA72" s="39"/>
      <c r="KB72" s="39"/>
      <c r="KC72" s="39"/>
      <c r="KD72" s="39"/>
      <c r="KE72" s="39"/>
      <c r="KF72" s="39"/>
      <c r="KG72" s="39"/>
      <c r="KH72" s="39"/>
      <c r="KI72" s="39"/>
      <c r="KJ72" s="39"/>
      <c r="KK72" s="39"/>
      <c r="KL72" s="39"/>
      <c r="KM72" s="39"/>
      <c r="KN72" s="39"/>
      <c r="KO72" s="39"/>
      <c r="KP72" s="39"/>
      <c r="KQ72" s="39"/>
      <c r="KR72" s="39"/>
      <c r="KS72" s="39"/>
      <c r="KT72" s="39"/>
      <c r="KU72" s="39"/>
      <c r="KV72" s="39"/>
      <c r="KW72" s="39"/>
      <c r="KX72" s="39"/>
      <c r="KY72" s="39"/>
      <c r="KZ72" s="39"/>
      <c r="LA72" s="39"/>
      <c r="LB72" s="39"/>
      <c r="LC72" s="39"/>
      <c r="LD72" s="39"/>
      <c r="LE72" s="39"/>
      <c r="LF72" s="39"/>
      <c r="LG72" s="39"/>
      <c r="LH72" s="39"/>
      <c r="LI72" s="39"/>
      <c r="LJ72" s="39"/>
      <c r="LK72" s="39"/>
      <c r="LL72" s="39"/>
      <c r="LM72" s="39"/>
      <c r="LN72" s="39"/>
      <c r="LO72" s="39"/>
      <c r="LP72" s="39"/>
      <c r="LQ72" s="39"/>
      <c r="LR72" s="39"/>
      <c r="LS72" s="39"/>
      <c r="LT72" s="39"/>
      <c r="LU72" s="39"/>
      <c r="LV72" s="39"/>
      <c r="LW72" s="39"/>
      <c r="LX72" s="39"/>
      <c r="LY72" s="39"/>
      <c r="LZ72" s="39"/>
      <c r="MA72" s="39"/>
      <c r="MB72" s="39"/>
      <c r="MC72" s="39"/>
      <c r="MD72" s="39"/>
      <c r="ME72" s="39"/>
      <c r="MF72" s="39"/>
      <c r="MG72" s="39"/>
      <c r="MH72" s="39"/>
      <c r="MI72" s="39"/>
      <c r="MJ72" s="39"/>
      <c r="MK72" s="39"/>
      <c r="ML72" s="35"/>
      <c r="MM72" s="35"/>
    </row>
    <row r="73" spans="1:351" x14ac:dyDescent="0.4">
      <c r="A73" s="30">
        <v>67</v>
      </c>
      <c r="B73" s="365"/>
      <c r="C73" s="40"/>
      <c r="D73" s="44" t="s">
        <v>75</v>
      </c>
      <c r="E73" s="30">
        <f t="shared" si="20"/>
        <v>0</v>
      </c>
      <c r="F73" s="37">
        <f t="shared" ref="F73:F104" si="21">SUM(G73:MM73)</f>
        <v>0</v>
      </c>
      <c r="G73" s="35"/>
      <c r="H73" s="35"/>
      <c r="I73" s="35"/>
      <c r="J73" s="35"/>
      <c r="K73" s="35"/>
      <c r="L73" s="35"/>
      <c r="M73" s="35"/>
      <c r="N73" s="49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  <c r="LE73" s="35"/>
      <c r="LF73" s="35"/>
      <c r="LG73" s="35"/>
      <c r="LH73" s="35"/>
      <c r="LI73" s="35"/>
      <c r="LJ73" s="35"/>
      <c r="LK73" s="35"/>
      <c r="LL73" s="35"/>
      <c r="LM73" s="35"/>
      <c r="LN73" s="35"/>
      <c r="LO73" s="35"/>
      <c r="LP73" s="35"/>
      <c r="LQ73" s="35"/>
      <c r="LR73" s="35"/>
      <c r="LS73" s="35"/>
      <c r="LT73" s="35"/>
      <c r="LU73" s="35"/>
      <c r="LV73" s="35"/>
      <c r="LW73" s="35"/>
      <c r="LX73" s="35"/>
      <c r="LY73" s="35"/>
      <c r="LZ73" s="35"/>
      <c r="MA73" s="35"/>
      <c r="MB73" s="35"/>
      <c r="MC73" s="35"/>
      <c r="MD73" s="35"/>
      <c r="ME73" s="35"/>
      <c r="MF73" s="35"/>
      <c r="MG73" s="35"/>
      <c r="MH73" s="35"/>
      <c r="MI73" s="35"/>
      <c r="MJ73" s="35"/>
      <c r="MK73" s="35"/>
      <c r="ML73" s="35"/>
      <c r="MM73" s="35"/>
    </row>
    <row r="74" spans="1:351" x14ac:dyDescent="0.4">
      <c r="A74" s="30">
        <v>68</v>
      </c>
      <c r="B74" s="366"/>
      <c r="C74" s="41"/>
      <c r="D74" s="44" t="s">
        <v>87</v>
      </c>
      <c r="E74" s="30">
        <f t="shared" si="20"/>
        <v>0</v>
      </c>
      <c r="F74" s="37">
        <f t="shared" si="21"/>
        <v>0</v>
      </c>
      <c r="G74" s="35"/>
      <c r="H74" s="35"/>
      <c r="I74" s="35"/>
      <c r="J74" s="35"/>
      <c r="K74" s="35"/>
      <c r="L74" s="35"/>
      <c r="M74" s="35"/>
      <c r="N74" s="49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  <c r="LE74" s="35"/>
      <c r="LF74" s="35"/>
      <c r="LG74" s="35"/>
      <c r="LH74" s="35"/>
      <c r="LI74" s="35"/>
      <c r="LJ74" s="35"/>
      <c r="LK74" s="35"/>
      <c r="LL74" s="35"/>
      <c r="LM74" s="35"/>
      <c r="LN74" s="35"/>
      <c r="LO74" s="35"/>
      <c r="LP74" s="35"/>
      <c r="LQ74" s="35"/>
      <c r="LR74" s="35"/>
      <c r="LS74" s="35"/>
      <c r="LT74" s="35"/>
      <c r="LU74" s="35"/>
      <c r="LV74" s="35"/>
      <c r="LW74" s="35"/>
      <c r="LX74" s="35"/>
      <c r="LY74" s="35"/>
      <c r="LZ74" s="35"/>
      <c r="MA74" s="35"/>
      <c r="MB74" s="35"/>
      <c r="MC74" s="35"/>
      <c r="MD74" s="35"/>
      <c r="ME74" s="35"/>
      <c r="MF74" s="35"/>
      <c r="MG74" s="35"/>
      <c r="MH74" s="35"/>
      <c r="MI74" s="35"/>
      <c r="MJ74" s="35"/>
      <c r="MK74" s="35"/>
      <c r="ML74" s="35"/>
      <c r="MM74" s="35"/>
    </row>
    <row r="75" spans="1:351" x14ac:dyDescent="0.4">
      <c r="A75" s="30">
        <v>69</v>
      </c>
      <c r="B75" s="366"/>
      <c r="C75" s="41"/>
      <c r="D75" s="44" t="s">
        <v>88</v>
      </c>
      <c r="E75" s="30">
        <f t="shared" si="20"/>
        <v>0</v>
      </c>
      <c r="F75" s="37">
        <f t="shared" si="21"/>
        <v>0</v>
      </c>
      <c r="G75" s="35"/>
      <c r="H75" s="35"/>
      <c r="I75" s="35"/>
      <c r="J75" s="35"/>
      <c r="K75" s="35"/>
      <c r="L75" s="35"/>
      <c r="M75" s="35"/>
      <c r="N75" s="49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  <c r="LE75" s="35"/>
      <c r="LF75" s="35"/>
      <c r="LG75" s="35"/>
      <c r="LH75" s="35"/>
      <c r="LI75" s="35"/>
      <c r="LJ75" s="35"/>
      <c r="LK75" s="35"/>
      <c r="LL75" s="35"/>
      <c r="LM75" s="35"/>
      <c r="LN75" s="35"/>
      <c r="LO75" s="35"/>
      <c r="LP75" s="35"/>
      <c r="LQ75" s="35"/>
      <c r="LR75" s="35"/>
      <c r="LS75" s="35"/>
      <c r="LT75" s="35"/>
      <c r="LU75" s="35"/>
      <c r="LV75" s="35"/>
      <c r="LW75" s="35"/>
      <c r="LX75" s="35"/>
      <c r="LY75" s="35"/>
      <c r="LZ75" s="35"/>
      <c r="MA75" s="35"/>
      <c r="MB75" s="35"/>
      <c r="MC75" s="35"/>
      <c r="MD75" s="35"/>
      <c r="ME75" s="35"/>
      <c r="MF75" s="35"/>
      <c r="MG75" s="35"/>
      <c r="MH75" s="35"/>
      <c r="MI75" s="35"/>
      <c r="MJ75" s="35"/>
      <c r="MK75" s="35"/>
      <c r="ML75" s="35"/>
      <c r="MM75" s="35"/>
    </row>
    <row r="76" spans="1:351" x14ac:dyDescent="0.4">
      <c r="A76" s="30">
        <v>70</v>
      </c>
      <c r="B76" s="366"/>
      <c r="C76" s="41"/>
      <c r="D76" s="44" t="s">
        <v>89</v>
      </c>
      <c r="E76" s="30">
        <f t="shared" si="20"/>
        <v>0</v>
      </c>
      <c r="F76" s="37">
        <f t="shared" si="21"/>
        <v>0</v>
      </c>
      <c r="G76" s="35"/>
      <c r="H76" s="35"/>
      <c r="I76" s="35"/>
      <c r="J76" s="35"/>
      <c r="K76" s="35"/>
      <c r="L76" s="35"/>
      <c r="M76" s="35"/>
      <c r="N76" s="49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  <c r="LE76" s="35"/>
      <c r="LF76" s="35"/>
      <c r="LG76" s="35"/>
      <c r="LH76" s="35"/>
      <c r="LI76" s="35"/>
      <c r="LJ76" s="35"/>
      <c r="LK76" s="35"/>
      <c r="LL76" s="35"/>
      <c r="LM76" s="35"/>
      <c r="LN76" s="35"/>
      <c r="LO76" s="35"/>
      <c r="LP76" s="35"/>
      <c r="LQ76" s="35"/>
      <c r="LR76" s="35"/>
      <c r="LS76" s="35"/>
      <c r="LT76" s="35"/>
      <c r="LU76" s="35"/>
      <c r="LV76" s="35"/>
      <c r="LW76" s="35"/>
      <c r="LX76" s="35"/>
      <c r="LY76" s="35"/>
      <c r="LZ76" s="35"/>
      <c r="MA76" s="35"/>
      <c r="MB76" s="35"/>
      <c r="MC76" s="35"/>
      <c r="MD76" s="35"/>
      <c r="ME76" s="35"/>
      <c r="MF76" s="35"/>
      <c r="MG76" s="35"/>
      <c r="MH76" s="35"/>
      <c r="MI76" s="35"/>
      <c r="MJ76" s="35"/>
      <c r="MK76" s="35"/>
      <c r="ML76" s="35"/>
      <c r="MM76" s="35"/>
    </row>
    <row r="77" spans="1:351" x14ac:dyDescent="0.4">
      <c r="A77" s="30">
        <v>71</v>
      </c>
      <c r="B77" s="366"/>
      <c r="C77" s="41"/>
      <c r="D77" s="44" t="s">
        <v>90</v>
      </c>
      <c r="E77" s="30">
        <f t="shared" si="20"/>
        <v>0</v>
      </c>
      <c r="F77" s="37">
        <f t="shared" si="21"/>
        <v>0</v>
      </c>
      <c r="G77" s="35"/>
      <c r="H77" s="35"/>
      <c r="I77" s="35"/>
      <c r="J77" s="35"/>
      <c r="K77" s="35"/>
      <c r="L77" s="35"/>
      <c r="M77" s="35"/>
      <c r="N77" s="49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  <c r="LE77" s="35"/>
      <c r="LF77" s="35"/>
      <c r="LG77" s="35"/>
      <c r="LH77" s="35"/>
      <c r="LI77" s="35"/>
      <c r="LJ77" s="35"/>
      <c r="LK77" s="35"/>
      <c r="LL77" s="35"/>
      <c r="LM77" s="35"/>
      <c r="LN77" s="35"/>
      <c r="LO77" s="35"/>
      <c r="LP77" s="35"/>
      <c r="LQ77" s="35"/>
      <c r="LR77" s="35"/>
      <c r="LS77" s="35"/>
      <c r="LT77" s="35"/>
      <c r="LU77" s="35"/>
      <c r="LV77" s="35"/>
      <c r="LW77" s="35"/>
      <c r="LX77" s="35"/>
      <c r="LY77" s="35"/>
      <c r="LZ77" s="35"/>
      <c r="MA77" s="35"/>
      <c r="MB77" s="35"/>
      <c r="MC77" s="35"/>
      <c r="MD77" s="35"/>
      <c r="ME77" s="35"/>
      <c r="MF77" s="35"/>
      <c r="MG77" s="35"/>
      <c r="MH77" s="35"/>
      <c r="MI77" s="35"/>
      <c r="MJ77" s="35"/>
      <c r="MK77" s="35"/>
      <c r="ML77" s="35"/>
      <c r="MM77" s="35"/>
    </row>
    <row r="78" spans="1:351" x14ac:dyDescent="0.4">
      <c r="A78" s="30">
        <v>72</v>
      </c>
      <c r="B78" s="367"/>
      <c r="C78" s="42"/>
      <c r="D78" s="44" t="s">
        <v>91</v>
      </c>
      <c r="E78" s="30">
        <f t="shared" si="20"/>
        <v>0</v>
      </c>
      <c r="F78" s="37">
        <f t="shared" si="21"/>
        <v>0</v>
      </c>
      <c r="G78" s="35"/>
      <c r="H78" s="35"/>
      <c r="I78" s="35"/>
      <c r="J78" s="35"/>
      <c r="K78" s="35"/>
      <c r="L78" s="35"/>
      <c r="M78" s="35"/>
      <c r="N78" s="49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  <c r="LE78" s="35"/>
      <c r="LF78" s="35"/>
      <c r="LG78" s="35"/>
      <c r="LH78" s="35"/>
      <c r="LI78" s="35"/>
      <c r="LJ78" s="35"/>
      <c r="LK78" s="35"/>
      <c r="LL78" s="35"/>
      <c r="LM78" s="35"/>
      <c r="LN78" s="35"/>
      <c r="LO78" s="35"/>
      <c r="LP78" s="35"/>
      <c r="LQ78" s="35"/>
      <c r="LR78" s="35"/>
      <c r="LS78" s="35"/>
      <c r="LT78" s="35"/>
      <c r="LU78" s="35"/>
      <c r="LV78" s="35"/>
      <c r="LW78" s="35"/>
      <c r="LX78" s="35"/>
      <c r="LY78" s="35"/>
      <c r="LZ78" s="35"/>
      <c r="MA78" s="35"/>
      <c r="MB78" s="35"/>
      <c r="MC78" s="35"/>
      <c r="MD78" s="35"/>
      <c r="ME78" s="35"/>
      <c r="MF78" s="35"/>
      <c r="MG78" s="35"/>
      <c r="MH78" s="35"/>
      <c r="MI78" s="35"/>
      <c r="MJ78" s="35"/>
      <c r="MK78" s="35"/>
      <c r="ML78" s="35"/>
      <c r="MM78" s="35"/>
    </row>
    <row r="79" spans="1:351" x14ac:dyDescent="0.4">
      <c r="A79" s="30">
        <v>73</v>
      </c>
      <c r="B79" s="365"/>
      <c r="C79" s="40"/>
      <c r="D79" s="44" t="s">
        <v>75</v>
      </c>
      <c r="E79" s="30">
        <f t="shared" si="20"/>
        <v>0</v>
      </c>
      <c r="F79" s="37">
        <f t="shared" si="21"/>
        <v>0</v>
      </c>
      <c r="G79" s="35"/>
      <c r="H79" s="35"/>
      <c r="I79" s="35"/>
      <c r="J79" s="35"/>
      <c r="K79" s="35"/>
      <c r="L79" s="35"/>
      <c r="M79" s="35"/>
      <c r="N79" s="49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  <c r="JZ79" s="35"/>
      <c r="KA79" s="35"/>
      <c r="KB79" s="35"/>
      <c r="KC79" s="35"/>
      <c r="KD79" s="35"/>
      <c r="KE79" s="35"/>
      <c r="KF79" s="35"/>
      <c r="KG79" s="35"/>
      <c r="KH79" s="35"/>
      <c r="KI79" s="35"/>
      <c r="KJ79" s="35"/>
      <c r="KK79" s="35"/>
      <c r="KL79" s="35"/>
      <c r="KM79" s="35"/>
      <c r="KN79" s="35"/>
      <c r="KO79" s="35"/>
      <c r="KP79" s="35"/>
      <c r="KQ79" s="35"/>
      <c r="KR79" s="35"/>
      <c r="KS79" s="35"/>
      <c r="KT79" s="35"/>
      <c r="KU79" s="35"/>
      <c r="KV79" s="35"/>
      <c r="KW79" s="35"/>
      <c r="KX79" s="35"/>
      <c r="KY79" s="35"/>
      <c r="KZ79" s="35"/>
      <c r="LA79" s="35"/>
      <c r="LB79" s="35"/>
      <c r="LC79" s="35"/>
      <c r="LD79" s="35"/>
      <c r="LE79" s="35"/>
      <c r="LF79" s="35"/>
      <c r="LG79" s="35"/>
      <c r="LH79" s="35"/>
      <c r="LI79" s="35"/>
      <c r="LJ79" s="35"/>
      <c r="LK79" s="35"/>
      <c r="LL79" s="35"/>
      <c r="LM79" s="35"/>
      <c r="LN79" s="35"/>
      <c r="LO79" s="35"/>
      <c r="LP79" s="35"/>
      <c r="LQ79" s="35"/>
      <c r="LR79" s="35"/>
      <c r="LS79" s="35"/>
      <c r="LT79" s="35"/>
      <c r="LU79" s="35"/>
      <c r="LV79" s="35"/>
      <c r="LW79" s="35"/>
      <c r="LX79" s="35"/>
      <c r="LY79" s="35"/>
      <c r="LZ79" s="35"/>
      <c r="MA79" s="35"/>
      <c r="MB79" s="35"/>
      <c r="MC79" s="35"/>
      <c r="MD79" s="35"/>
      <c r="ME79" s="35"/>
      <c r="MF79" s="35"/>
      <c r="MG79" s="35"/>
      <c r="MH79" s="35"/>
      <c r="MI79" s="35"/>
      <c r="MJ79" s="35"/>
      <c r="MK79" s="35"/>
      <c r="ML79" s="35"/>
      <c r="MM79" s="35"/>
    </row>
    <row r="80" spans="1:351" x14ac:dyDescent="0.4">
      <c r="A80" s="30">
        <v>74</v>
      </c>
      <c r="B80" s="366"/>
      <c r="C80" s="41"/>
      <c r="D80" s="44" t="s">
        <v>87</v>
      </c>
      <c r="E80" s="30">
        <f t="shared" si="20"/>
        <v>0</v>
      </c>
      <c r="F80" s="37">
        <f t="shared" si="21"/>
        <v>0</v>
      </c>
      <c r="G80" s="35"/>
      <c r="H80" s="35"/>
      <c r="I80" s="35"/>
      <c r="J80" s="35"/>
      <c r="K80" s="35"/>
      <c r="L80" s="35"/>
      <c r="M80" s="35"/>
      <c r="N80" s="49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  <c r="JZ80" s="35"/>
      <c r="KA80" s="35"/>
      <c r="KB80" s="35"/>
      <c r="KC80" s="35"/>
      <c r="KD80" s="35"/>
      <c r="KE80" s="35"/>
      <c r="KF80" s="35"/>
      <c r="KG80" s="35"/>
      <c r="KH80" s="35"/>
      <c r="KI80" s="35"/>
      <c r="KJ80" s="35"/>
      <c r="KK80" s="35"/>
      <c r="KL80" s="35"/>
      <c r="KM80" s="35"/>
      <c r="KN80" s="35"/>
      <c r="KO80" s="35"/>
      <c r="KP80" s="35"/>
      <c r="KQ80" s="35"/>
      <c r="KR80" s="35"/>
      <c r="KS80" s="35"/>
      <c r="KT80" s="35"/>
      <c r="KU80" s="35"/>
      <c r="KV80" s="35"/>
      <c r="KW80" s="35"/>
      <c r="KX80" s="35"/>
      <c r="KY80" s="35"/>
      <c r="KZ80" s="35"/>
      <c r="LA80" s="35"/>
      <c r="LB80" s="35"/>
      <c r="LC80" s="35"/>
      <c r="LD80" s="35"/>
      <c r="LE80" s="35"/>
      <c r="LF80" s="35"/>
      <c r="LG80" s="35"/>
      <c r="LH80" s="35"/>
      <c r="LI80" s="35"/>
      <c r="LJ80" s="35"/>
      <c r="LK80" s="35"/>
      <c r="LL80" s="35"/>
      <c r="LM80" s="35"/>
      <c r="LN80" s="35"/>
      <c r="LO80" s="35"/>
      <c r="LP80" s="35"/>
      <c r="LQ80" s="35"/>
      <c r="LR80" s="35"/>
      <c r="LS80" s="35"/>
      <c r="LT80" s="35"/>
      <c r="LU80" s="35"/>
      <c r="LV80" s="35"/>
      <c r="LW80" s="35"/>
      <c r="LX80" s="35"/>
      <c r="LY80" s="35"/>
      <c r="LZ80" s="35"/>
      <c r="MA80" s="35"/>
      <c r="MB80" s="35"/>
      <c r="MC80" s="35"/>
      <c r="MD80" s="35"/>
      <c r="ME80" s="35"/>
      <c r="MF80" s="35"/>
      <c r="MG80" s="35"/>
      <c r="MH80" s="35"/>
      <c r="MI80" s="35"/>
      <c r="MJ80" s="35"/>
      <c r="MK80" s="35"/>
      <c r="ML80" s="35"/>
      <c r="MM80" s="35"/>
    </row>
    <row r="81" spans="1:351" x14ac:dyDescent="0.4">
      <c r="A81" s="30">
        <v>75</v>
      </c>
      <c r="B81" s="366"/>
      <c r="C81" s="41"/>
      <c r="D81" s="44" t="s">
        <v>88</v>
      </c>
      <c r="E81" s="30">
        <f t="shared" si="20"/>
        <v>0</v>
      </c>
      <c r="F81" s="37">
        <f t="shared" si="21"/>
        <v>0</v>
      </c>
      <c r="G81" s="35"/>
      <c r="H81" s="35"/>
      <c r="I81" s="35"/>
      <c r="J81" s="35"/>
      <c r="K81" s="35"/>
      <c r="L81" s="35"/>
      <c r="M81" s="35"/>
      <c r="N81" s="49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  <c r="LE81" s="35"/>
      <c r="LF81" s="35"/>
      <c r="LG81" s="35"/>
      <c r="LH81" s="35"/>
      <c r="LI81" s="35"/>
      <c r="LJ81" s="35"/>
      <c r="LK81" s="35"/>
      <c r="LL81" s="35"/>
      <c r="LM81" s="35"/>
      <c r="LN81" s="35"/>
      <c r="LO81" s="35"/>
      <c r="LP81" s="35"/>
      <c r="LQ81" s="35"/>
      <c r="LR81" s="35"/>
      <c r="LS81" s="35"/>
      <c r="LT81" s="35"/>
      <c r="LU81" s="35"/>
      <c r="LV81" s="35"/>
      <c r="LW81" s="35"/>
      <c r="LX81" s="35"/>
      <c r="LY81" s="35"/>
      <c r="LZ81" s="35"/>
      <c r="MA81" s="35"/>
      <c r="MB81" s="35"/>
      <c r="MC81" s="35"/>
      <c r="MD81" s="35"/>
      <c r="ME81" s="35"/>
      <c r="MF81" s="35"/>
      <c r="MG81" s="35"/>
      <c r="MH81" s="35"/>
      <c r="MI81" s="35"/>
      <c r="MJ81" s="35"/>
      <c r="MK81" s="35"/>
      <c r="ML81" s="35"/>
      <c r="MM81" s="35"/>
    </row>
    <row r="82" spans="1:351" x14ac:dyDescent="0.4">
      <c r="A82" s="30">
        <v>76</v>
      </c>
      <c r="B82" s="366"/>
      <c r="C82" s="41"/>
      <c r="D82" s="44" t="s">
        <v>89</v>
      </c>
      <c r="E82" s="30">
        <f t="shared" si="20"/>
        <v>0</v>
      </c>
      <c r="F82" s="37">
        <f t="shared" si="21"/>
        <v>0</v>
      </c>
      <c r="G82" s="35"/>
      <c r="H82" s="35"/>
      <c r="I82" s="35"/>
      <c r="J82" s="35"/>
      <c r="K82" s="35"/>
      <c r="L82" s="35"/>
      <c r="M82" s="35"/>
      <c r="N82" s="49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  <c r="JZ82" s="35"/>
      <c r="KA82" s="35"/>
      <c r="KB82" s="35"/>
      <c r="KC82" s="35"/>
      <c r="KD82" s="35"/>
      <c r="KE82" s="35"/>
      <c r="KF82" s="35"/>
      <c r="KG82" s="35"/>
      <c r="KH82" s="35"/>
      <c r="KI82" s="35"/>
      <c r="KJ82" s="35"/>
      <c r="KK82" s="35"/>
      <c r="KL82" s="35"/>
      <c r="KM82" s="35"/>
      <c r="KN82" s="35"/>
      <c r="KO82" s="35"/>
      <c r="KP82" s="35"/>
      <c r="KQ82" s="35"/>
      <c r="KR82" s="35"/>
      <c r="KS82" s="35"/>
      <c r="KT82" s="35"/>
      <c r="KU82" s="35"/>
      <c r="KV82" s="35"/>
      <c r="KW82" s="35"/>
      <c r="KX82" s="35"/>
      <c r="KY82" s="35"/>
      <c r="KZ82" s="35"/>
      <c r="LA82" s="35"/>
      <c r="LB82" s="35"/>
      <c r="LC82" s="35"/>
      <c r="LD82" s="35"/>
      <c r="LE82" s="35"/>
      <c r="LF82" s="35"/>
      <c r="LG82" s="35"/>
      <c r="LH82" s="35"/>
      <c r="LI82" s="35"/>
      <c r="LJ82" s="35"/>
      <c r="LK82" s="35"/>
      <c r="LL82" s="35"/>
      <c r="LM82" s="35"/>
      <c r="LN82" s="35"/>
      <c r="LO82" s="35"/>
      <c r="LP82" s="35"/>
      <c r="LQ82" s="35"/>
      <c r="LR82" s="35"/>
      <c r="LS82" s="35"/>
      <c r="LT82" s="35"/>
      <c r="LU82" s="35"/>
      <c r="LV82" s="35"/>
      <c r="LW82" s="35"/>
      <c r="LX82" s="35"/>
      <c r="LY82" s="35"/>
      <c r="LZ82" s="35"/>
      <c r="MA82" s="35"/>
      <c r="MB82" s="35"/>
      <c r="MC82" s="35"/>
      <c r="MD82" s="35"/>
      <c r="ME82" s="35"/>
      <c r="MF82" s="35"/>
      <c r="MG82" s="35"/>
      <c r="MH82" s="35"/>
      <c r="MI82" s="35"/>
      <c r="MJ82" s="35"/>
      <c r="MK82" s="35"/>
      <c r="ML82" s="35"/>
      <c r="MM82" s="35"/>
    </row>
    <row r="83" spans="1:351" x14ac:dyDescent="0.4">
      <c r="A83" s="30">
        <v>77</v>
      </c>
      <c r="B83" s="366"/>
      <c r="C83" s="41"/>
      <c r="D83" s="44" t="s">
        <v>90</v>
      </c>
      <c r="E83" s="30">
        <f t="shared" si="20"/>
        <v>0</v>
      </c>
      <c r="F83" s="37">
        <f t="shared" si="21"/>
        <v>0</v>
      </c>
      <c r="G83" s="35"/>
      <c r="H83" s="35"/>
      <c r="I83" s="35"/>
      <c r="J83" s="35"/>
      <c r="K83" s="35"/>
      <c r="L83" s="35"/>
      <c r="M83" s="35"/>
      <c r="N83" s="49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  <c r="JZ83" s="35"/>
      <c r="KA83" s="35"/>
      <c r="KB83" s="35"/>
      <c r="KC83" s="35"/>
      <c r="KD83" s="35"/>
      <c r="KE83" s="35"/>
      <c r="KF83" s="35"/>
      <c r="KG83" s="35"/>
      <c r="KH83" s="35"/>
      <c r="KI83" s="35"/>
      <c r="KJ83" s="35"/>
      <c r="KK83" s="35"/>
      <c r="KL83" s="35"/>
      <c r="KM83" s="35"/>
      <c r="KN83" s="35"/>
      <c r="KO83" s="35"/>
      <c r="KP83" s="35"/>
      <c r="KQ83" s="35"/>
      <c r="KR83" s="35"/>
      <c r="KS83" s="35"/>
      <c r="KT83" s="35"/>
      <c r="KU83" s="35"/>
      <c r="KV83" s="35"/>
      <c r="KW83" s="35"/>
      <c r="KX83" s="35"/>
      <c r="KY83" s="35"/>
      <c r="KZ83" s="35"/>
      <c r="LA83" s="35"/>
      <c r="LB83" s="35"/>
      <c r="LC83" s="35"/>
      <c r="LD83" s="35"/>
      <c r="LE83" s="35"/>
      <c r="LF83" s="35"/>
      <c r="LG83" s="35"/>
      <c r="LH83" s="35"/>
      <c r="LI83" s="35"/>
      <c r="LJ83" s="35"/>
      <c r="LK83" s="35"/>
      <c r="LL83" s="35"/>
      <c r="LM83" s="35"/>
      <c r="LN83" s="35"/>
      <c r="LO83" s="35"/>
      <c r="LP83" s="35"/>
      <c r="LQ83" s="35"/>
      <c r="LR83" s="35"/>
      <c r="LS83" s="35"/>
      <c r="LT83" s="35"/>
      <c r="LU83" s="35"/>
      <c r="LV83" s="35"/>
      <c r="LW83" s="35"/>
      <c r="LX83" s="35"/>
      <c r="LY83" s="35"/>
      <c r="LZ83" s="35"/>
      <c r="MA83" s="35"/>
      <c r="MB83" s="35"/>
      <c r="MC83" s="35"/>
      <c r="MD83" s="35"/>
      <c r="ME83" s="35"/>
      <c r="MF83" s="35"/>
      <c r="MG83" s="35"/>
      <c r="MH83" s="35"/>
      <c r="MI83" s="35"/>
      <c r="MJ83" s="35"/>
      <c r="MK83" s="35"/>
      <c r="ML83" s="35"/>
      <c r="MM83" s="35"/>
    </row>
    <row r="84" spans="1:351" x14ac:dyDescent="0.4">
      <c r="A84" s="30">
        <v>78</v>
      </c>
      <c r="B84" s="367"/>
      <c r="C84" s="42"/>
      <c r="D84" s="44" t="s">
        <v>91</v>
      </c>
      <c r="E84" s="30">
        <f t="shared" si="20"/>
        <v>0</v>
      </c>
      <c r="F84" s="37">
        <f t="shared" si="21"/>
        <v>0</v>
      </c>
      <c r="G84" s="35"/>
      <c r="H84" s="35"/>
      <c r="I84" s="35"/>
      <c r="J84" s="35"/>
      <c r="K84" s="35"/>
      <c r="L84" s="35"/>
      <c r="M84" s="35"/>
      <c r="N84" s="49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  <c r="HG84" s="35"/>
      <c r="HH84" s="35"/>
      <c r="HI84" s="35"/>
      <c r="HJ84" s="35"/>
      <c r="HK84" s="35"/>
      <c r="HL84" s="35"/>
      <c r="HM84" s="35"/>
      <c r="HN84" s="35"/>
      <c r="HO84" s="35"/>
      <c r="HP84" s="35"/>
      <c r="HQ84" s="35"/>
      <c r="HR84" s="35"/>
      <c r="HS84" s="35"/>
      <c r="HT84" s="35"/>
      <c r="HU84" s="35"/>
      <c r="HV84" s="35"/>
      <c r="HW84" s="35"/>
      <c r="HX84" s="35"/>
      <c r="HY84" s="35"/>
      <c r="HZ84" s="35"/>
      <c r="IA84" s="35"/>
      <c r="IB84" s="35"/>
      <c r="IC84" s="35"/>
      <c r="ID84" s="35"/>
      <c r="IE84" s="35"/>
      <c r="IF84" s="35"/>
      <c r="IG84" s="35"/>
      <c r="IH84" s="35"/>
      <c r="II84" s="35"/>
      <c r="IJ84" s="35"/>
      <c r="IK84" s="35"/>
      <c r="IL84" s="35"/>
      <c r="IM84" s="35"/>
      <c r="IN84" s="35"/>
      <c r="IO84" s="35"/>
      <c r="IP84" s="35"/>
      <c r="IQ84" s="35"/>
      <c r="IR84" s="35"/>
      <c r="IS84" s="35"/>
      <c r="IT84" s="35"/>
      <c r="IU84" s="35"/>
      <c r="IV84" s="35"/>
      <c r="IW84" s="35"/>
      <c r="IX84" s="35"/>
      <c r="IY84" s="35"/>
      <c r="IZ84" s="35"/>
      <c r="JA84" s="35"/>
      <c r="JB84" s="35"/>
      <c r="JC84" s="35"/>
      <c r="JD84" s="35"/>
      <c r="JE84" s="35"/>
      <c r="JF84" s="35"/>
      <c r="JG84" s="35"/>
      <c r="JH84" s="35"/>
      <c r="JI84" s="35"/>
      <c r="JJ84" s="35"/>
      <c r="JK84" s="35"/>
      <c r="JL84" s="35"/>
      <c r="JM84" s="35"/>
      <c r="JN84" s="35"/>
      <c r="JO84" s="35"/>
      <c r="JP84" s="35"/>
      <c r="JQ84" s="35"/>
      <c r="JR84" s="35"/>
      <c r="JS84" s="35"/>
      <c r="JT84" s="35"/>
      <c r="JU84" s="35"/>
      <c r="JV84" s="35"/>
      <c r="JW84" s="35"/>
      <c r="JX84" s="35"/>
      <c r="JY84" s="35"/>
      <c r="JZ84" s="35"/>
      <c r="KA84" s="35"/>
      <c r="KB84" s="35"/>
      <c r="KC84" s="35"/>
      <c r="KD84" s="35"/>
      <c r="KE84" s="35"/>
      <c r="KF84" s="35"/>
      <c r="KG84" s="35"/>
      <c r="KH84" s="35"/>
      <c r="KI84" s="35"/>
      <c r="KJ84" s="35"/>
      <c r="KK84" s="35"/>
      <c r="KL84" s="35"/>
      <c r="KM84" s="35"/>
      <c r="KN84" s="35"/>
      <c r="KO84" s="35"/>
      <c r="KP84" s="35"/>
      <c r="KQ84" s="35"/>
      <c r="KR84" s="35"/>
      <c r="KS84" s="35"/>
      <c r="KT84" s="35"/>
      <c r="KU84" s="35"/>
      <c r="KV84" s="35"/>
      <c r="KW84" s="35"/>
      <c r="KX84" s="35"/>
      <c r="KY84" s="35"/>
      <c r="KZ84" s="35"/>
      <c r="LA84" s="35"/>
      <c r="LB84" s="35"/>
      <c r="LC84" s="35"/>
      <c r="LD84" s="35"/>
      <c r="LE84" s="35"/>
      <c r="LF84" s="35"/>
      <c r="LG84" s="35"/>
      <c r="LH84" s="35"/>
      <c r="LI84" s="35"/>
      <c r="LJ84" s="35"/>
      <c r="LK84" s="35"/>
      <c r="LL84" s="35"/>
      <c r="LM84" s="35"/>
      <c r="LN84" s="35"/>
      <c r="LO84" s="35"/>
      <c r="LP84" s="35"/>
      <c r="LQ84" s="35"/>
      <c r="LR84" s="35"/>
      <c r="LS84" s="35"/>
      <c r="LT84" s="35"/>
      <c r="LU84" s="35"/>
      <c r="LV84" s="35"/>
      <c r="LW84" s="35"/>
      <c r="LX84" s="35"/>
      <c r="LY84" s="35"/>
      <c r="LZ84" s="35"/>
      <c r="MA84" s="35"/>
      <c r="MB84" s="35"/>
      <c r="MC84" s="35"/>
      <c r="MD84" s="35"/>
      <c r="ME84" s="35"/>
      <c r="MF84" s="35"/>
      <c r="MG84" s="35"/>
      <c r="MH84" s="35"/>
      <c r="MI84" s="35"/>
      <c r="MJ84" s="35"/>
      <c r="MK84" s="35"/>
      <c r="ML84" s="35"/>
      <c r="MM84" s="35"/>
    </row>
    <row r="85" spans="1:351" x14ac:dyDescent="0.4">
      <c r="A85" s="30">
        <v>79</v>
      </c>
      <c r="B85" s="365"/>
      <c r="C85" s="40"/>
      <c r="D85" s="44" t="s">
        <v>75</v>
      </c>
      <c r="E85" s="30">
        <f t="shared" si="20"/>
        <v>0</v>
      </c>
      <c r="F85" s="37">
        <f t="shared" si="21"/>
        <v>0</v>
      </c>
      <c r="G85" s="35"/>
      <c r="H85" s="35"/>
      <c r="I85" s="35"/>
      <c r="J85" s="35"/>
      <c r="K85" s="35"/>
      <c r="L85" s="35"/>
      <c r="M85" s="35"/>
      <c r="N85" s="49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  <c r="HO85" s="35"/>
      <c r="HP85" s="35"/>
      <c r="HQ85" s="35"/>
      <c r="HR85" s="35"/>
      <c r="HS85" s="35"/>
      <c r="HT85" s="35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35"/>
      <c r="IF85" s="35"/>
      <c r="IG85" s="35"/>
      <c r="IH85" s="35"/>
      <c r="II85" s="35"/>
      <c r="IJ85" s="35"/>
      <c r="IK85" s="35"/>
      <c r="IL85" s="35"/>
      <c r="IM85" s="35"/>
      <c r="IN85" s="35"/>
      <c r="IO85" s="35"/>
      <c r="IP85" s="35"/>
      <c r="IQ85" s="35"/>
      <c r="IR85" s="35"/>
      <c r="IS85" s="35"/>
      <c r="IT85" s="35"/>
      <c r="IU85" s="35"/>
      <c r="IV85" s="35"/>
      <c r="IW85" s="35"/>
      <c r="IX85" s="35"/>
      <c r="IY85" s="35"/>
      <c r="IZ85" s="35"/>
      <c r="JA85" s="35"/>
      <c r="JB85" s="35"/>
      <c r="JC85" s="35"/>
      <c r="JD85" s="35"/>
      <c r="JE85" s="35"/>
      <c r="JF85" s="35"/>
      <c r="JG85" s="35"/>
      <c r="JH85" s="35"/>
      <c r="JI85" s="35"/>
      <c r="JJ85" s="35"/>
      <c r="JK85" s="35"/>
      <c r="JL85" s="35"/>
      <c r="JM85" s="35"/>
      <c r="JN85" s="35"/>
      <c r="JO85" s="35"/>
      <c r="JP85" s="35"/>
      <c r="JQ85" s="35"/>
      <c r="JR85" s="35"/>
      <c r="JS85" s="35"/>
      <c r="JT85" s="35"/>
      <c r="JU85" s="35"/>
      <c r="JV85" s="35"/>
      <c r="JW85" s="35"/>
      <c r="JX85" s="35"/>
      <c r="JY85" s="35"/>
      <c r="JZ85" s="35"/>
      <c r="KA85" s="35"/>
      <c r="KB85" s="35"/>
      <c r="KC85" s="35"/>
      <c r="KD85" s="35"/>
      <c r="KE85" s="35"/>
      <c r="KF85" s="35"/>
      <c r="KG85" s="35"/>
      <c r="KH85" s="35"/>
      <c r="KI85" s="35"/>
      <c r="KJ85" s="35"/>
      <c r="KK85" s="35"/>
      <c r="KL85" s="35"/>
      <c r="KM85" s="35"/>
      <c r="KN85" s="35"/>
      <c r="KO85" s="35"/>
      <c r="KP85" s="35"/>
      <c r="KQ85" s="35"/>
      <c r="KR85" s="35"/>
      <c r="KS85" s="35"/>
      <c r="KT85" s="35"/>
      <c r="KU85" s="35"/>
      <c r="KV85" s="35"/>
      <c r="KW85" s="35"/>
      <c r="KX85" s="35"/>
      <c r="KY85" s="35"/>
      <c r="KZ85" s="35"/>
      <c r="LA85" s="35"/>
      <c r="LB85" s="35"/>
      <c r="LC85" s="35"/>
      <c r="LD85" s="35"/>
      <c r="LE85" s="35"/>
      <c r="LF85" s="35"/>
      <c r="LG85" s="35"/>
      <c r="LH85" s="35"/>
      <c r="LI85" s="35"/>
      <c r="LJ85" s="35"/>
      <c r="LK85" s="35"/>
      <c r="LL85" s="35"/>
      <c r="LM85" s="35"/>
      <c r="LN85" s="35"/>
      <c r="LO85" s="35"/>
      <c r="LP85" s="35"/>
      <c r="LQ85" s="35"/>
      <c r="LR85" s="35"/>
      <c r="LS85" s="35"/>
      <c r="LT85" s="35"/>
      <c r="LU85" s="35"/>
      <c r="LV85" s="35"/>
      <c r="LW85" s="35"/>
      <c r="LX85" s="35"/>
      <c r="LY85" s="35"/>
      <c r="LZ85" s="35"/>
      <c r="MA85" s="35"/>
      <c r="MB85" s="35"/>
      <c r="MC85" s="35"/>
      <c r="MD85" s="35"/>
      <c r="ME85" s="35"/>
      <c r="MF85" s="35"/>
      <c r="MG85" s="35"/>
      <c r="MH85" s="35"/>
      <c r="MI85" s="35"/>
      <c r="MJ85" s="35"/>
      <c r="MK85" s="35"/>
      <c r="ML85" s="35"/>
      <c r="MM85" s="35"/>
    </row>
    <row r="86" spans="1:351" x14ac:dyDescent="0.4">
      <c r="A86" s="30">
        <v>80</v>
      </c>
      <c r="B86" s="366"/>
      <c r="C86" s="41"/>
      <c r="D86" s="44" t="s">
        <v>87</v>
      </c>
      <c r="E86" s="30">
        <f t="shared" si="20"/>
        <v>0</v>
      </c>
      <c r="F86" s="37">
        <f t="shared" si="21"/>
        <v>0</v>
      </c>
      <c r="G86" s="35"/>
      <c r="H86" s="35"/>
      <c r="I86" s="35"/>
      <c r="J86" s="35"/>
      <c r="K86" s="35"/>
      <c r="L86" s="35"/>
      <c r="M86" s="35"/>
      <c r="N86" s="49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5"/>
      <c r="HD86" s="35"/>
      <c r="HE86" s="35"/>
      <c r="HF86" s="35"/>
      <c r="HG86" s="35"/>
      <c r="HH86" s="35"/>
      <c r="HI86" s="35"/>
      <c r="HJ86" s="35"/>
      <c r="HK86" s="35"/>
      <c r="HL86" s="35"/>
      <c r="HM86" s="35"/>
      <c r="HN86" s="35"/>
      <c r="HO86" s="35"/>
      <c r="HP86" s="35"/>
      <c r="HQ86" s="35"/>
      <c r="HR86" s="35"/>
      <c r="HS86" s="35"/>
      <c r="HT86" s="35"/>
      <c r="HU86" s="35"/>
      <c r="HV86" s="35"/>
      <c r="HW86" s="35"/>
      <c r="HX86" s="35"/>
      <c r="HY86" s="35"/>
      <c r="HZ86" s="35"/>
      <c r="IA86" s="35"/>
      <c r="IB86" s="35"/>
      <c r="IC86" s="35"/>
      <c r="ID86" s="35"/>
      <c r="IE86" s="35"/>
      <c r="IF86" s="35"/>
      <c r="IG86" s="35"/>
      <c r="IH86" s="35"/>
      <c r="II86" s="35"/>
      <c r="IJ86" s="35"/>
      <c r="IK86" s="35"/>
      <c r="IL86" s="35"/>
      <c r="IM86" s="35"/>
      <c r="IN86" s="35"/>
      <c r="IO86" s="35"/>
      <c r="IP86" s="35"/>
      <c r="IQ86" s="35"/>
      <c r="IR86" s="35"/>
      <c r="IS86" s="35"/>
      <c r="IT86" s="35"/>
      <c r="IU86" s="35"/>
      <c r="IV86" s="35"/>
      <c r="IW86" s="35"/>
      <c r="IX86" s="35"/>
      <c r="IY86" s="35"/>
      <c r="IZ86" s="35"/>
      <c r="JA86" s="35"/>
      <c r="JB86" s="35"/>
      <c r="JC86" s="35"/>
      <c r="JD86" s="35"/>
      <c r="JE86" s="35"/>
      <c r="JF86" s="35"/>
      <c r="JG86" s="35"/>
      <c r="JH86" s="35"/>
      <c r="JI86" s="35"/>
      <c r="JJ86" s="35"/>
      <c r="JK86" s="35"/>
      <c r="JL86" s="35"/>
      <c r="JM86" s="35"/>
      <c r="JN86" s="35"/>
      <c r="JO86" s="35"/>
      <c r="JP86" s="35"/>
      <c r="JQ86" s="35"/>
      <c r="JR86" s="35"/>
      <c r="JS86" s="35"/>
      <c r="JT86" s="35"/>
      <c r="JU86" s="35"/>
      <c r="JV86" s="35"/>
      <c r="JW86" s="35"/>
      <c r="JX86" s="35"/>
      <c r="JY86" s="35"/>
      <c r="JZ86" s="35"/>
      <c r="KA86" s="35"/>
      <c r="KB86" s="35"/>
      <c r="KC86" s="35"/>
      <c r="KD86" s="35"/>
      <c r="KE86" s="35"/>
      <c r="KF86" s="35"/>
      <c r="KG86" s="35"/>
      <c r="KH86" s="35"/>
      <c r="KI86" s="35"/>
      <c r="KJ86" s="35"/>
      <c r="KK86" s="35"/>
      <c r="KL86" s="35"/>
      <c r="KM86" s="35"/>
      <c r="KN86" s="35"/>
      <c r="KO86" s="35"/>
      <c r="KP86" s="35"/>
      <c r="KQ86" s="35"/>
      <c r="KR86" s="35"/>
      <c r="KS86" s="35"/>
      <c r="KT86" s="35"/>
      <c r="KU86" s="35"/>
      <c r="KV86" s="35"/>
      <c r="KW86" s="35"/>
      <c r="KX86" s="35"/>
      <c r="KY86" s="35"/>
      <c r="KZ86" s="35"/>
      <c r="LA86" s="35"/>
      <c r="LB86" s="35"/>
      <c r="LC86" s="35"/>
      <c r="LD86" s="35"/>
      <c r="LE86" s="35"/>
      <c r="LF86" s="35"/>
      <c r="LG86" s="35"/>
      <c r="LH86" s="35"/>
      <c r="LI86" s="35"/>
      <c r="LJ86" s="35"/>
      <c r="LK86" s="35"/>
      <c r="LL86" s="35"/>
      <c r="LM86" s="35"/>
      <c r="LN86" s="35"/>
      <c r="LO86" s="35"/>
      <c r="LP86" s="35"/>
      <c r="LQ86" s="35"/>
      <c r="LR86" s="35"/>
      <c r="LS86" s="35"/>
      <c r="LT86" s="35"/>
      <c r="LU86" s="35"/>
      <c r="LV86" s="35"/>
      <c r="LW86" s="35"/>
      <c r="LX86" s="35"/>
      <c r="LY86" s="35"/>
      <c r="LZ86" s="35"/>
      <c r="MA86" s="35"/>
      <c r="MB86" s="35"/>
      <c r="MC86" s="35"/>
      <c r="MD86" s="35"/>
      <c r="ME86" s="35"/>
      <c r="MF86" s="35"/>
      <c r="MG86" s="35"/>
      <c r="MH86" s="35"/>
      <c r="MI86" s="35"/>
      <c r="MJ86" s="35"/>
      <c r="MK86" s="35"/>
      <c r="ML86" s="35"/>
      <c r="MM86" s="35"/>
    </row>
    <row r="87" spans="1:351" x14ac:dyDescent="0.4">
      <c r="A87" s="30">
        <v>81</v>
      </c>
      <c r="B87" s="366"/>
      <c r="C87" s="41"/>
      <c r="D87" s="44" t="s">
        <v>88</v>
      </c>
      <c r="E87" s="30">
        <f t="shared" si="20"/>
        <v>0</v>
      </c>
      <c r="F87" s="37">
        <f t="shared" si="21"/>
        <v>0</v>
      </c>
      <c r="G87" s="35"/>
      <c r="H87" s="35"/>
      <c r="I87" s="35"/>
      <c r="J87" s="35"/>
      <c r="K87" s="35"/>
      <c r="L87" s="35"/>
      <c r="M87" s="35"/>
      <c r="N87" s="49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5"/>
      <c r="HD87" s="35"/>
      <c r="HE87" s="35"/>
      <c r="HF87" s="35"/>
      <c r="HG87" s="35"/>
      <c r="HH87" s="35"/>
      <c r="HI87" s="35"/>
      <c r="HJ87" s="35"/>
      <c r="HK87" s="35"/>
      <c r="HL87" s="35"/>
      <c r="HM87" s="35"/>
      <c r="HN87" s="35"/>
      <c r="HO87" s="35"/>
      <c r="HP87" s="35"/>
      <c r="HQ87" s="35"/>
      <c r="HR87" s="35"/>
      <c r="HS87" s="35"/>
      <c r="HT87" s="35"/>
      <c r="HU87" s="35"/>
      <c r="HV87" s="35"/>
      <c r="HW87" s="35"/>
      <c r="HX87" s="35"/>
      <c r="HY87" s="35"/>
      <c r="HZ87" s="35"/>
      <c r="IA87" s="35"/>
      <c r="IB87" s="35"/>
      <c r="IC87" s="35"/>
      <c r="ID87" s="35"/>
      <c r="IE87" s="35"/>
      <c r="IF87" s="35"/>
      <c r="IG87" s="35"/>
      <c r="IH87" s="35"/>
      <c r="II87" s="35"/>
      <c r="IJ87" s="35"/>
      <c r="IK87" s="35"/>
      <c r="IL87" s="35"/>
      <c r="IM87" s="35"/>
      <c r="IN87" s="35"/>
      <c r="IO87" s="35"/>
      <c r="IP87" s="35"/>
      <c r="IQ87" s="35"/>
      <c r="IR87" s="35"/>
      <c r="IS87" s="35"/>
      <c r="IT87" s="35"/>
      <c r="IU87" s="35"/>
      <c r="IV87" s="35"/>
      <c r="IW87" s="35"/>
      <c r="IX87" s="35"/>
      <c r="IY87" s="35"/>
      <c r="IZ87" s="35"/>
      <c r="JA87" s="35"/>
      <c r="JB87" s="35"/>
      <c r="JC87" s="35"/>
      <c r="JD87" s="35"/>
      <c r="JE87" s="35"/>
      <c r="JF87" s="35"/>
      <c r="JG87" s="35"/>
      <c r="JH87" s="35"/>
      <c r="JI87" s="35"/>
      <c r="JJ87" s="35"/>
      <c r="JK87" s="35"/>
      <c r="JL87" s="35"/>
      <c r="JM87" s="35"/>
      <c r="JN87" s="35"/>
      <c r="JO87" s="35"/>
      <c r="JP87" s="35"/>
      <c r="JQ87" s="35"/>
      <c r="JR87" s="35"/>
      <c r="JS87" s="35"/>
      <c r="JT87" s="35"/>
      <c r="JU87" s="35"/>
      <c r="JV87" s="35"/>
      <c r="JW87" s="35"/>
      <c r="JX87" s="35"/>
      <c r="JY87" s="35"/>
      <c r="JZ87" s="35"/>
      <c r="KA87" s="35"/>
      <c r="KB87" s="35"/>
      <c r="KC87" s="35"/>
      <c r="KD87" s="35"/>
      <c r="KE87" s="35"/>
      <c r="KF87" s="35"/>
      <c r="KG87" s="35"/>
      <c r="KH87" s="35"/>
      <c r="KI87" s="35"/>
      <c r="KJ87" s="35"/>
      <c r="KK87" s="35"/>
      <c r="KL87" s="35"/>
      <c r="KM87" s="35"/>
      <c r="KN87" s="35"/>
      <c r="KO87" s="35"/>
      <c r="KP87" s="35"/>
      <c r="KQ87" s="35"/>
      <c r="KR87" s="35"/>
      <c r="KS87" s="35"/>
      <c r="KT87" s="35"/>
      <c r="KU87" s="35"/>
      <c r="KV87" s="35"/>
      <c r="KW87" s="35"/>
      <c r="KX87" s="35"/>
      <c r="KY87" s="35"/>
      <c r="KZ87" s="35"/>
      <c r="LA87" s="35"/>
      <c r="LB87" s="35"/>
      <c r="LC87" s="35"/>
      <c r="LD87" s="35"/>
      <c r="LE87" s="35"/>
      <c r="LF87" s="35"/>
      <c r="LG87" s="35"/>
      <c r="LH87" s="35"/>
      <c r="LI87" s="35"/>
      <c r="LJ87" s="35"/>
      <c r="LK87" s="35"/>
      <c r="LL87" s="35"/>
      <c r="LM87" s="35"/>
      <c r="LN87" s="35"/>
      <c r="LO87" s="35"/>
      <c r="LP87" s="35"/>
      <c r="LQ87" s="35"/>
      <c r="LR87" s="35"/>
      <c r="LS87" s="35"/>
      <c r="LT87" s="35"/>
      <c r="LU87" s="35"/>
      <c r="LV87" s="35"/>
      <c r="LW87" s="35"/>
      <c r="LX87" s="35"/>
      <c r="LY87" s="35"/>
      <c r="LZ87" s="35"/>
      <c r="MA87" s="35"/>
      <c r="MB87" s="35"/>
      <c r="MC87" s="35"/>
      <c r="MD87" s="35"/>
      <c r="ME87" s="35"/>
      <c r="MF87" s="35"/>
      <c r="MG87" s="35"/>
      <c r="MH87" s="35"/>
      <c r="MI87" s="35"/>
      <c r="MJ87" s="35"/>
      <c r="MK87" s="35"/>
      <c r="ML87" s="35"/>
      <c r="MM87" s="35"/>
    </row>
    <row r="88" spans="1:351" x14ac:dyDescent="0.4">
      <c r="A88" s="30">
        <v>82</v>
      </c>
      <c r="B88" s="366"/>
      <c r="C88" s="41"/>
      <c r="D88" s="44" t="s">
        <v>89</v>
      </c>
      <c r="E88" s="30">
        <f t="shared" si="20"/>
        <v>0</v>
      </c>
      <c r="F88" s="37">
        <f t="shared" si="21"/>
        <v>0</v>
      </c>
      <c r="G88" s="35"/>
      <c r="H88" s="35"/>
      <c r="I88" s="35"/>
      <c r="J88" s="35"/>
      <c r="K88" s="35"/>
      <c r="L88" s="35"/>
      <c r="M88" s="35"/>
      <c r="N88" s="49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  <c r="HG88" s="35"/>
      <c r="HH88" s="35"/>
      <c r="HI88" s="35"/>
      <c r="HJ88" s="35"/>
      <c r="HK88" s="35"/>
      <c r="HL88" s="35"/>
      <c r="HM88" s="35"/>
      <c r="HN88" s="35"/>
      <c r="HO88" s="35"/>
      <c r="HP88" s="35"/>
      <c r="HQ88" s="35"/>
      <c r="HR88" s="35"/>
      <c r="HS88" s="35"/>
      <c r="HT88" s="35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35"/>
      <c r="IF88" s="35"/>
      <c r="IG88" s="35"/>
      <c r="IH88" s="35"/>
      <c r="II88" s="35"/>
      <c r="IJ88" s="35"/>
      <c r="IK88" s="35"/>
      <c r="IL88" s="35"/>
      <c r="IM88" s="35"/>
      <c r="IN88" s="35"/>
      <c r="IO88" s="35"/>
      <c r="IP88" s="35"/>
      <c r="IQ88" s="35"/>
      <c r="IR88" s="35"/>
      <c r="IS88" s="35"/>
      <c r="IT88" s="35"/>
      <c r="IU88" s="35"/>
      <c r="IV88" s="35"/>
      <c r="IW88" s="35"/>
      <c r="IX88" s="35"/>
      <c r="IY88" s="35"/>
      <c r="IZ88" s="35"/>
      <c r="JA88" s="35"/>
      <c r="JB88" s="35"/>
      <c r="JC88" s="35"/>
      <c r="JD88" s="35"/>
      <c r="JE88" s="35"/>
      <c r="JF88" s="35"/>
      <c r="JG88" s="35"/>
      <c r="JH88" s="35"/>
      <c r="JI88" s="35"/>
      <c r="JJ88" s="35"/>
      <c r="JK88" s="35"/>
      <c r="JL88" s="35"/>
      <c r="JM88" s="35"/>
      <c r="JN88" s="35"/>
      <c r="JO88" s="35"/>
      <c r="JP88" s="35"/>
      <c r="JQ88" s="35"/>
      <c r="JR88" s="35"/>
      <c r="JS88" s="35"/>
      <c r="JT88" s="35"/>
      <c r="JU88" s="35"/>
      <c r="JV88" s="35"/>
      <c r="JW88" s="35"/>
      <c r="JX88" s="35"/>
      <c r="JY88" s="35"/>
      <c r="JZ88" s="35"/>
      <c r="KA88" s="35"/>
      <c r="KB88" s="35"/>
      <c r="KC88" s="35"/>
      <c r="KD88" s="35"/>
      <c r="KE88" s="35"/>
      <c r="KF88" s="35"/>
      <c r="KG88" s="35"/>
      <c r="KH88" s="35"/>
      <c r="KI88" s="35"/>
      <c r="KJ88" s="35"/>
      <c r="KK88" s="35"/>
      <c r="KL88" s="35"/>
      <c r="KM88" s="35"/>
      <c r="KN88" s="35"/>
      <c r="KO88" s="35"/>
      <c r="KP88" s="35"/>
      <c r="KQ88" s="35"/>
      <c r="KR88" s="35"/>
      <c r="KS88" s="35"/>
      <c r="KT88" s="35"/>
      <c r="KU88" s="35"/>
      <c r="KV88" s="35"/>
      <c r="KW88" s="35"/>
      <c r="KX88" s="35"/>
      <c r="KY88" s="35"/>
      <c r="KZ88" s="35"/>
      <c r="LA88" s="35"/>
      <c r="LB88" s="35"/>
      <c r="LC88" s="35"/>
      <c r="LD88" s="35"/>
      <c r="LE88" s="35"/>
      <c r="LF88" s="35"/>
      <c r="LG88" s="35"/>
      <c r="LH88" s="35"/>
      <c r="LI88" s="35"/>
      <c r="LJ88" s="35"/>
      <c r="LK88" s="35"/>
      <c r="LL88" s="35"/>
      <c r="LM88" s="35"/>
      <c r="LN88" s="35"/>
      <c r="LO88" s="35"/>
      <c r="LP88" s="35"/>
      <c r="LQ88" s="35"/>
      <c r="LR88" s="35"/>
      <c r="LS88" s="35"/>
      <c r="LT88" s="35"/>
      <c r="LU88" s="35"/>
      <c r="LV88" s="35"/>
      <c r="LW88" s="35"/>
      <c r="LX88" s="35"/>
      <c r="LY88" s="35"/>
      <c r="LZ88" s="35"/>
      <c r="MA88" s="35"/>
      <c r="MB88" s="35"/>
      <c r="MC88" s="35"/>
      <c r="MD88" s="35"/>
      <c r="ME88" s="35"/>
      <c r="MF88" s="35"/>
      <c r="MG88" s="35"/>
      <c r="MH88" s="35"/>
      <c r="MI88" s="35"/>
      <c r="MJ88" s="35"/>
      <c r="MK88" s="35"/>
      <c r="ML88" s="35"/>
      <c r="MM88" s="35"/>
    </row>
    <row r="89" spans="1:351" x14ac:dyDescent="0.4">
      <c r="A89" s="30">
        <v>83</v>
      </c>
      <c r="B89" s="366"/>
      <c r="C89" s="41"/>
      <c r="D89" s="44" t="s">
        <v>90</v>
      </c>
      <c r="E89" s="30">
        <f t="shared" si="20"/>
        <v>0</v>
      </c>
      <c r="F89" s="37">
        <f t="shared" si="21"/>
        <v>0</v>
      </c>
      <c r="G89" s="35"/>
      <c r="H89" s="35"/>
      <c r="I89" s="35"/>
      <c r="J89" s="35"/>
      <c r="K89" s="35"/>
      <c r="L89" s="35"/>
      <c r="M89" s="35"/>
      <c r="N89" s="49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  <c r="HG89" s="35"/>
      <c r="HH89" s="35"/>
      <c r="HI89" s="35"/>
      <c r="HJ89" s="35"/>
      <c r="HK89" s="35"/>
      <c r="HL89" s="35"/>
      <c r="HM89" s="35"/>
      <c r="HN89" s="35"/>
      <c r="HO89" s="35"/>
      <c r="HP89" s="35"/>
      <c r="HQ89" s="35"/>
      <c r="HR89" s="35"/>
      <c r="HS89" s="35"/>
      <c r="HT89" s="35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35"/>
      <c r="IF89" s="35"/>
      <c r="IG89" s="35"/>
      <c r="IH89" s="35"/>
      <c r="II89" s="35"/>
      <c r="IJ89" s="35"/>
      <c r="IK89" s="35"/>
      <c r="IL89" s="35"/>
      <c r="IM89" s="35"/>
      <c r="IN89" s="35"/>
      <c r="IO89" s="35"/>
      <c r="IP89" s="35"/>
      <c r="IQ89" s="35"/>
      <c r="IR89" s="35"/>
      <c r="IS89" s="35"/>
      <c r="IT89" s="35"/>
      <c r="IU89" s="35"/>
      <c r="IV89" s="35"/>
      <c r="IW89" s="35"/>
      <c r="IX89" s="35"/>
      <c r="IY89" s="35"/>
      <c r="IZ89" s="35"/>
      <c r="JA89" s="35"/>
      <c r="JB89" s="35"/>
      <c r="JC89" s="35"/>
      <c r="JD89" s="35"/>
      <c r="JE89" s="35"/>
      <c r="JF89" s="35"/>
      <c r="JG89" s="35"/>
      <c r="JH89" s="35"/>
      <c r="JI89" s="35"/>
      <c r="JJ89" s="35"/>
      <c r="JK89" s="35"/>
      <c r="JL89" s="35"/>
      <c r="JM89" s="35"/>
      <c r="JN89" s="35"/>
      <c r="JO89" s="35"/>
      <c r="JP89" s="35"/>
      <c r="JQ89" s="35"/>
      <c r="JR89" s="35"/>
      <c r="JS89" s="35"/>
      <c r="JT89" s="35"/>
      <c r="JU89" s="35"/>
      <c r="JV89" s="35"/>
      <c r="JW89" s="35"/>
      <c r="JX89" s="35"/>
      <c r="JY89" s="35"/>
      <c r="JZ89" s="35"/>
      <c r="KA89" s="35"/>
      <c r="KB89" s="35"/>
      <c r="KC89" s="35"/>
      <c r="KD89" s="35"/>
      <c r="KE89" s="35"/>
      <c r="KF89" s="35"/>
      <c r="KG89" s="35"/>
      <c r="KH89" s="35"/>
      <c r="KI89" s="35"/>
      <c r="KJ89" s="35"/>
      <c r="KK89" s="35"/>
      <c r="KL89" s="35"/>
      <c r="KM89" s="35"/>
      <c r="KN89" s="35"/>
      <c r="KO89" s="35"/>
      <c r="KP89" s="35"/>
      <c r="KQ89" s="35"/>
      <c r="KR89" s="35"/>
      <c r="KS89" s="35"/>
      <c r="KT89" s="35"/>
      <c r="KU89" s="35"/>
      <c r="KV89" s="35"/>
      <c r="KW89" s="35"/>
      <c r="KX89" s="35"/>
      <c r="KY89" s="35"/>
      <c r="KZ89" s="35"/>
      <c r="LA89" s="35"/>
      <c r="LB89" s="35"/>
      <c r="LC89" s="35"/>
      <c r="LD89" s="35"/>
      <c r="LE89" s="35"/>
      <c r="LF89" s="35"/>
      <c r="LG89" s="35"/>
      <c r="LH89" s="35"/>
      <c r="LI89" s="35"/>
      <c r="LJ89" s="35"/>
      <c r="LK89" s="35"/>
      <c r="LL89" s="35"/>
      <c r="LM89" s="35"/>
      <c r="LN89" s="35"/>
      <c r="LO89" s="35"/>
      <c r="LP89" s="35"/>
      <c r="LQ89" s="35"/>
      <c r="LR89" s="35"/>
      <c r="LS89" s="35"/>
      <c r="LT89" s="35"/>
      <c r="LU89" s="35"/>
      <c r="LV89" s="35"/>
      <c r="LW89" s="35"/>
      <c r="LX89" s="35"/>
      <c r="LY89" s="35"/>
      <c r="LZ89" s="35"/>
      <c r="MA89" s="35"/>
      <c r="MB89" s="35"/>
      <c r="MC89" s="35"/>
      <c r="MD89" s="35"/>
      <c r="ME89" s="35"/>
      <c r="MF89" s="35"/>
      <c r="MG89" s="35"/>
      <c r="MH89" s="35"/>
      <c r="MI89" s="35"/>
      <c r="MJ89" s="35"/>
      <c r="MK89" s="35"/>
      <c r="ML89" s="35"/>
      <c r="MM89" s="35"/>
    </row>
    <row r="90" spans="1:351" x14ac:dyDescent="0.4">
      <c r="A90" s="30">
        <v>84</v>
      </c>
      <c r="B90" s="367"/>
      <c r="C90" s="42"/>
      <c r="D90" s="44" t="s">
        <v>91</v>
      </c>
      <c r="E90" s="30">
        <f t="shared" si="20"/>
        <v>0</v>
      </c>
      <c r="F90" s="37">
        <f t="shared" si="21"/>
        <v>0</v>
      </c>
      <c r="G90" s="35"/>
      <c r="H90" s="35"/>
      <c r="I90" s="35"/>
      <c r="J90" s="35"/>
      <c r="K90" s="35"/>
      <c r="L90" s="35"/>
      <c r="M90" s="35"/>
      <c r="N90" s="49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  <c r="JF90" s="35"/>
      <c r="JG90" s="35"/>
      <c r="JH90" s="35"/>
      <c r="JI90" s="35"/>
      <c r="JJ90" s="35"/>
      <c r="JK90" s="35"/>
      <c r="JL90" s="35"/>
      <c r="JM90" s="35"/>
      <c r="JN90" s="35"/>
      <c r="JO90" s="35"/>
      <c r="JP90" s="35"/>
      <c r="JQ90" s="35"/>
      <c r="JR90" s="35"/>
      <c r="JS90" s="35"/>
      <c r="JT90" s="35"/>
      <c r="JU90" s="35"/>
      <c r="JV90" s="35"/>
      <c r="JW90" s="35"/>
      <c r="JX90" s="35"/>
      <c r="JY90" s="35"/>
      <c r="JZ90" s="35"/>
      <c r="KA90" s="35"/>
      <c r="KB90" s="35"/>
      <c r="KC90" s="35"/>
      <c r="KD90" s="35"/>
      <c r="KE90" s="35"/>
      <c r="KF90" s="35"/>
      <c r="KG90" s="35"/>
      <c r="KH90" s="35"/>
      <c r="KI90" s="35"/>
      <c r="KJ90" s="35"/>
      <c r="KK90" s="35"/>
      <c r="KL90" s="35"/>
      <c r="KM90" s="35"/>
      <c r="KN90" s="35"/>
      <c r="KO90" s="35"/>
      <c r="KP90" s="35"/>
      <c r="KQ90" s="35"/>
      <c r="KR90" s="35"/>
      <c r="KS90" s="35"/>
      <c r="KT90" s="35"/>
      <c r="KU90" s="35"/>
      <c r="KV90" s="35"/>
      <c r="KW90" s="35"/>
      <c r="KX90" s="35"/>
      <c r="KY90" s="35"/>
      <c r="KZ90" s="35"/>
      <c r="LA90" s="35"/>
      <c r="LB90" s="35"/>
      <c r="LC90" s="35"/>
      <c r="LD90" s="35"/>
      <c r="LE90" s="35"/>
      <c r="LF90" s="35"/>
      <c r="LG90" s="35"/>
      <c r="LH90" s="35"/>
      <c r="LI90" s="35"/>
      <c r="LJ90" s="35"/>
      <c r="LK90" s="35"/>
      <c r="LL90" s="35"/>
      <c r="LM90" s="35"/>
      <c r="LN90" s="35"/>
      <c r="LO90" s="35"/>
      <c r="LP90" s="35"/>
      <c r="LQ90" s="35"/>
      <c r="LR90" s="35"/>
      <c r="LS90" s="35"/>
      <c r="LT90" s="35"/>
      <c r="LU90" s="35"/>
      <c r="LV90" s="35"/>
      <c r="LW90" s="35"/>
      <c r="LX90" s="35"/>
      <c r="LY90" s="35"/>
      <c r="LZ90" s="35"/>
      <c r="MA90" s="35"/>
      <c r="MB90" s="35"/>
      <c r="MC90" s="35"/>
      <c r="MD90" s="35"/>
      <c r="ME90" s="35"/>
      <c r="MF90" s="35"/>
      <c r="MG90" s="35"/>
      <c r="MH90" s="35"/>
      <c r="MI90" s="35"/>
      <c r="MJ90" s="35"/>
      <c r="MK90" s="35"/>
      <c r="ML90" s="35"/>
      <c r="MM90" s="35"/>
    </row>
    <row r="91" spans="1:351" x14ac:dyDescent="0.4">
      <c r="A91" s="30">
        <v>85</v>
      </c>
      <c r="B91" s="365"/>
      <c r="C91" s="40"/>
      <c r="D91" s="44" t="s">
        <v>75</v>
      </c>
      <c r="E91" s="30">
        <f t="shared" si="20"/>
        <v>0</v>
      </c>
      <c r="F91" s="37">
        <f t="shared" si="21"/>
        <v>0</v>
      </c>
      <c r="G91" s="35"/>
      <c r="H91" s="35"/>
      <c r="I91" s="35"/>
      <c r="J91" s="35"/>
      <c r="K91" s="35"/>
      <c r="L91" s="35"/>
      <c r="M91" s="35"/>
      <c r="N91" s="49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  <c r="JZ91" s="35"/>
      <c r="KA91" s="35"/>
      <c r="KB91" s="35"/>
      <c r="KC91" s="35"/>
      <c r="KD91" s="35"/>
      <c r="KE91" s="35"/>
      <c r="KF91" s="35"/>
      <c r="KG91" s="35"/>
      <c r="KH91" s="35"/>
      <c r="KI91" s="35"/>
      <c r="KJ91" s="35"/>
      <c r="KK91" s="35"/>
      <c r="KL91" s="35"/>
      <c r="KM91" s="35"/>
      <c r="KN91" s="35"/>
      <c r="KO91" s="35"/>
      <c r="KP91" s="35"/>
      <c r="KQ91" s="35"/>
      <c r="KR91" s="35"/>
      <c r="KS91" s="35"/>
      <c r="KT91" s="35"/>
      <c r="KU91" s="35"/>
      <c r="KV91" s="35"/>
      <c r="KW91" s="35"/>
      <c r="KX91" s="35"/>
      <c r="KY91" s="35"/>
      <c r="KZ91" s="35"/>
      <c r="LA91" s="35"/>
      <c r="LB91" s="35"/>
      <c r="LC91" s="35"/>
      <c r="LD91" s="35"/>
      <c r="LE91" s="35"/>
      <c r="LF91" s="35"/>
      <c r="LG91" s="35"/>
      <c r="LH91" s="35"/>
      <c r="LI91" s="35"/>
      <c r="LJ91" s="35"/>
      <c r="LK91" s="35"/>
      <c r="LL91" s="35"/>
      <c r="LM91" s="35"/>
      <c r="LN91" s="35"/>
      <c r="LO91" s="35"/>
      <c r="LP91" s="35"/>
      <c r="LQ91" s="35"/>
      <c r="LR91" s="35"/>
      <c r="LS91" s="35"/>
      <c r="LT91" s="35"/>
      <c r="LU91" s="35"/>
      <c r="LV91" s="35"/>
      <c r="LW91" s="35"/>
      <c r="LX91" s="35"/>
      <c r="LY91" s="35"/>
      <c r="LZ91" s="35"/>
      <c r="MA91" s="35"/>
      <c r="MB91" s="35"/>
      <c r="MC91" s="35"/>
      <c r="MD91" s="35"/>
      <c r="ME91" s="35"/>
      <c r="MF91" s="35"/>
      <c r="MG91" s="35"/>
      <c r="MH91" s="35"/>
      <c r="MI91" s="35"/>
      <c r="MJ91" s="35"/>
      <c r="MK91" s="35"/>
      <c r="ML91" s="35"/>
      <c r="MM91" s="35"/>
    </row>
    <row r="92" spans="1:351" x14ac:dyDescent="0.4">
      <c r="A92" s="30">
        <v>86</v>
      </c>
      <c r="B92" s="366"/>
      <c r="C92" s="41"/>
      <c r="D92" s="44" t="s">
        <v>87</v>
      </c>
      <c r="E92" s="30">
        <f t="shared" si="20"/>
        <v>0</v>
      </c>
      <c r="F92" s="37">
        <f t="shared" si="21"/>
        <v>0</v>
      </c>
      <c r="G92" s="35"/>
      <c r="H92" s="35"/>
      <c r="I92" s="35"/>
      <c r="J92" s="35"/>
      <c r="K92" s="35"/>
      <c r="L92" s="35"/>
      <c r="M92" s="35"/>
      <c r="N92" s="49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  <c r="JF92" s="35"/>
      <c r="JG92" s="35"/>
      <c r="JH92" s="35"/>
      <c r="JI92" s="35"/>
      <c r="JJ92" s="35"/>
      <c r="JK92" s="35"/>
      <c r="JL92" s="35"/>
      <c r="JM92" s="35"/>
      <c r="JN92" s="35"/>
      <c r="JO92" s="35"/>
      <c r="JP92" s="35"/>
      <c r="JQ92" s="35"/>
      <c r="JR92" s="35"/>
      <c r="JS92" s="35"/>
      <c r="JT92" s="35"/>
      <c r="JU92" s="35"/>
      <c r="JV92" s="35"/>
      <c r="JW92" s="35"/>
      <c r="JX92" s="35"/>
      <c r="JY92" s="35"/>
      <c r="JZ92" s="35"/>
      <c r="KA92" s="35"/>
      <c r="KB92" s="35"/>
      <c r="KC92" s="35"/>
      <c r="KD92" s="35"/>
      <c r="KE92" s="35"/>
      <c r="KF92" s="35"/>
      <c r="KG92" s="35"/>
      <c r="KH92" s="35"/>
      <c r="KI92" s="35"/>
      <c r="KJ92" s="35"/>
      <c r="KK92" s="35"/>
      <c r="KL92" s="35"/>
      <c r="KM92" s="35"/>
      <c r="KN92" s="35"/>
      <c r="KO92" s="35"/>
      <c r="KP92" s="35"/>
      <c r="KQ92" s="35"/>
      <c r="KR92" s="35"/>
      <c r="KS92" s="35"/>
      <c r="KT92" s="35"/>
      <c r="KU92" s="35"/>
      <c r="KV92" s="35"/>
      <c r="KW92" s="35"/>
      <c r="KX92" s="35"/>
      <c r="KY92" s="35"/>
      <c r="KZ92" s="35"/>
      <c r="LA92" s="35"/>
      <c r="LB92" s="35"/>
      <c r="LC92" s="35"/>
      <c r="LD92" s="35"/>
      <c r="LE92" s="35"/>
      <c r="LF92" s="35"/>
      <c r="LG92" s="35"/>
      <c r="LH92" s="35"/>
      <c r="LI92" s="35"/>
      <c r="LJ92" s="35"/>
      <c r="LK92" s="35"/>
      <c r="LL92" s="35"/>
      <c r="LM92" s="35"/>
      <c r="LN92" s="35"/>
      <c r="LO92" s="35"/>
      <c r="LP92" s="35"/>
      <c r="LQ92" s="35"/>
      <c r="LR92" s="35"/>
      <c r="LS92" s="35"/>
      <c r="LT92" s="35"/>
      <c r="LU92" s="35"/>
      <c r="LV92" s="35"/>
      <c r="LW92" s="35"/>
      <c r="LX92" s="35"/>
      <c r="LY92" s="35"/>
      <c r="LZ92" s="35"/>
      <c r="MA92" s="35"/>
      <c r="MB92" s="35"/>
      <c r="MC92" s="35"/>
      <c r="MD92" s="35"/>
      <c r="ME92" s="35"/>
      <c r="MF92" s="35"/>
      <c r="MG92" s="35"/>
      <c r="MH92" s="35"/>
      <c r="MI92" s="35"/>
      <c r="MJ92" s="35"/>
      <c r="MK92" s="35"/>
      <c r="ML92" s="35"/>
      <c r="MM92" s="35"/>
    </row>
    <row r="93" spans="1:351" x14ac:dyDescent="0.4">
      <c r="A93" s="30">
        <v>87</v>
      </c>
      <c r="B93" s="366"/>
      <c r="C93" s="41"/>
      <c r="D93" s="44" t="s">
        <v>88</v>
      </c>
      <c r="E93" s="30">
        <f t="shared" si="20"/>
        <v>0</v>
      </c>
      <c r="F93" s="37">
        <f t="shared" si="21"/>
        <v>0</v>
      </c>
      <c r="G93" s="35"/>
      <c r="H93" s="35"/>
      <c r="I93" s="35"/>
      <c r="J93" s="35"/>
      <c r="K93" s="35"/>
      <c r="L93" s="35"/>
      <c r="M93" s="35"/>
      <c r="N93" s="49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  <c r="JZ93" s="35"/>
      <c r="KA93" s="35"/>
      <c r="KB93" s="35"/>
      <c r="KC93" s="35"/>
      <c r="KD93" s="35"/>
      <c r="KE93" s="35"/>
      <c r="KF93" s="35"/>
      <c r="KG93" s="35"/>
      <c r="KH93" s="35"/>
      <c r="KI93" s="35"/>
      <c r="KJ93" s="35"/>
      <c r="KK93" s="35"/>
      <c r="KL93" s="35"/>
      <c r="KM93" s="35"/>
      <c r="KN93" s="35"/>
      <c r="KO93" s="35"/>
      <c r="KP93" s="35"/>
      <c r="KQ93" s="35"/>
      <c r="KR93" s="35"/>
      <c r="KS93" s="35"/>
      <c r="KT93" s="35"/>
      <c r="KU93" s="35"/>
      <c r="KV93" s="35"/>
      <c r="KW93" s="35"/>
      <c r="KX93" s="35"/>
      <c r="KY93" s="35"/>
      <c r="KZ93" s="35"/>
      <c r="LA93" s="35"/>
      <c r="LB93" s="35"/>
      <c r="LC93" s="35"/>
      <c r="LD93" s="35"/>
      <c r="LE93" s="35"/>
      <c r="LF93" s="35"/>
      <c r="LG93" s="35"/>
      <c r="LH93" s="35"/>
      <c r="LI93" s="35"/>
      <c r="LJ93" s="35"/>
      <c r="LK93" s="35"/>
      <c r="LL93" s="35"/>
      <c r="LM93" s="35"/>
      <c r="LN93" s="35"/>
      <c r="LO93" s="35"/>
      <c r="LP93" s="35"/>
      <c r="LQ93" s="35"/>
      <c r="LR93" s="35"/>
      <c r="LS93" s="35"/>
      <c r="LT93" s="35"/>
      <c r="LU93" s="35"/>
      <c r="LV93" s="35"/>
      <c r="LW93" s="35"/>
      <c r="LX93" s="35"/>
      <c r="LY93" s="35"/>
      <c r="LZ93" s="35"/>
      <c r="MA93" s="35"/>
      <c r="MB93" s="35"/>
      <c r="MC93" s="35"/>
      <c r="MD93" s="35"/>
      <c r="ME93" s="35"/>
      <c r="MF93" s="35"/>
      <c r="MG93" s="35"/>
      <c r="MH93" s="35"/>
      <c r="MI93" s="35"/>
      <c r="MJ93" s="35"/>
      <c r="MK93" s="35"/>
      <c r="ML93" s="35"/>
      <c r="MM93" s="35"/>
    </row>
    <row r="94" spans="1:351" x14ac:dyDescent="0.4">
      <c r="A94" s="30">
        <v>88</v>
      </c>
      <c r="B94" s="366"/>
      <c r="C94" s="41"/>
      <c r="D94" s="44" t="s">
        <v>89</v>
      </c>
      <c r="E94" s="30">
        <f t="shared" si="20"/>
        <v>0</v>
      </c>
      <c r="F94" s="37">
        <f t="shared" si="21"/>
        <v>0</v>
      </c>
      <c r="G94" s="35"/>
      <c r="H94" s="35"/>
      <c r="I94" s="35"/>
      <c r="J94" s="35"/>
      <c r="K94" s="35"/>
      <c r="L94" s="35"/>
      <c r="M94" s="35"/>
      <c r="N94" s="49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  <c r="JF94" s="35"/>
      <c r="JG94" s="35"/>
      <c r="JH94" s="35"/>
      <c r="JI94" s="35"/>
      <c r="JJ94" s="35"/>
      <c r="JK94" s="35"/>
      <c r="JL94" s="35"/>
      <c r="JM94" s="35"/>
      <c r="JN94" s="35"/>
      <c r="JO94" s="35"/>
      <c r="JP94" s="35"/>
      <c r="JQ94" s="35"/>
      <c r="JR94" s="35"/>
      <c r="JS94" s="35"/>
      <c r="JT94" s="35"/>
      <c r="JU94" s="35"/>
      <c r="JV94" s="35"/>
      <c r="JW94" s="35"/>
      <c r="JX94" s="35"/>
      <c r="JY94" s="35"/>
      <c r="JZ94" s="35"/>
      <c r="KA94" s="35"/>
      <c r="KB94" s="35"/>
      <c r="KC94" s="35"/>
      <c r="KD94" s="35"/>
      <c r="KE94" s="35"/>
      <c r="KF94" s="35"/>
      <c r="KG94" s="35"/>
      <c r="KH94" s="35"/>
      <c r="KI94" s="35"/>
      <c r="KJ94" s="35"/>
      <c r="KK94" s="35"/>
      <c r="KL94" s="35"/>
      <c r="KM94" s="35"/>
      <c r="KN94" s="35"/>
      <c r="KO94" s="35"/>
      <c r="KP94" s="35"/>
      <c r="KQ94" s="35"/>
      <c r="KR94" s="35"/>
      <c r="KS94" s="35"/>
      <c r="KT94" s="35"/>
      <c r="KU94" s="35"/>
      <c r="KV94" s="35"/>
      <c r="KW94" s="35"/>
      <c r="KX94" s="35"/>
      <c r="KY94" s="35"/>
      <c r="KZ94" s="35"/>
      <c r="LA94" s="35"/>
      <c r="LB94" s="35"/>
      <c r="LC94" s="35"/>
      <c r="LD94" s="35"/>
      <c r="LE94" s="35"/>
      <c r="LF94" s="35"/>
      <c r="LG94" s="35"/>
      <c r="LH94" s="35"/>
      <c r="LI94" s="35"/>
      <c r="LJ94" s="35"/>
      <c r="LK94" s="35"/>
      <c r="LL94" s="35"/>
      <c r="LM94" s="35"/>
      <c r="LN94" s="35"/>
      <c r="LO94" s="35"/>
      <c r="LP94" s="35"/>
      <c r="LQ94" s="35"/>
      <c r="LR94" s="35"/>
      <c r="LS94" s="35"/>
      <c r="LT94" s="35"/>
      <c r="LU94" s="35"/>
      <c r="LV94" s="35"/>
      <c r="LW94" s="35"/>
      <c r="LX94" s="35"/>
      <c r="LY94" s="35"/>
      <c r="LZ94" s="35"/>
      <c r="MA94" s="35"/>
      <c r="MB94" s="35"/>
      <c r="MC94" s="35"/>
      <c r="MD94" s="35"/>
      <c r="ME94" s="35"/>
      <c r="MF94" s="35"/>
      <c r="MG94" s="35"/>
      <c r="MH94" s="35"/>
      <c r="MI94" s="35"/>
      <c r="MJ94" s="35"/>
      <c r="MK94" s="35"/>
      <c r="ML94" s="35"/>
      <c r="MM94" s="35"/>
    </row>
    <row r="95" spans="1:351" x14ac:dyDescent="0.4">
      <c r="A95" s="30">
        <v>89</v>
      </c>
      <c r="B95" s="366"/>
      <c r="C95" s="41"/>
      <c r="D95" s="44" t="s">
        <v>90</v>
      </c>
      <c r="E95" s="30">
        <f t="shared" si="20"/>
        <v>0</v>
      </c>
      <c r="F95" s="37">
        <f t="shared" si="21"/>
        <v>0</v>
      </c>
      <c r="G95" s="35"/>
      <c r="H95" s="35"/>
      <c r="I95" s="35"/>
      <c r="J95" s="35"/>
      <c r="K95" s="35"/>
      <c r="L95" s="35"/>
      <c r="M95" s="35"/>
      <c r="N95" s="49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  <c r="JZ95" s="35"/>
      <c r="KA95" s="35"/>
      <c r="KB95" s="35"/>
      <c r="KC95" s="35"/>
      <c r="KD95" s="35"/>
      <c r="KE95" s="35"/>
      <c r="KF95" s="35"/>
      <c r="KG95" s="35"/>
      <c r="KH95" s="35"/>
      <c r="KI95" s="35"/>
      <c r="KJ95" s="35"/>
      <c r="KK95" s="35"/>
      <c r="KL95" s="35"/>
      <c r="KM95" s="35"/>
      <c r="KN95" s="35"/>
      <c r="KO95" s="35"/>
      <c r="KP95" s="35"/>
      <c r="KQ95" s="35"/>
      <c r="KR95" s="35"/>
      <c r="KS95" s="35"/>
      <c r="KT95" s="35"/>
      <c r="KU95" s="35"/>
      <c r="KV95" s="35"/>
      <c r="KW95" s="35"/>
      <c r="KX95" s="35"/>
      <c r="KY95" s="35"/>
      <c r="KZ95" s="35"/>
      <c r="LA95" s="35"/>
      <c r="LB95" s="35"/>
      <c r="LC95" s="35"/>
      <c r="LD95" s="35"/>
      <c r="LE95" s="35"/>
      <c r="LF95" s="35"/>
      <c r="LG95" s="35"/>
      <c r="LH95" s="35"/>
      <c r="LI95" s="35"/>
      <c r="LJ95" s="35"/>
      <c r="LK95" s="35"/>
      <c r="LL95" s="35"/>
      <c r="LM95" s="35"/>
      <c r="LN95" s="35"/>
      <c r="LO95" s="35"/>
      <c r="LP95" s="35"/>
      <c r="LQ95" s="35"/>
      <c r="LR95" s="35"/>
      <c r="LS95" s="35"/>
      <c r="LT95" s="35"/>
      <c r="LU95" s="35"/>
      <c r="LV95" s="35"/>
      <c r="LW95" s="35"/>
      <c r="LX95" s="35"/>
      <c r="LY95" s="35"/>
      <c r="LZ95" s="35"/>
      <c r="MA95" s="35"/>
      <c r="MB95" s="35"/>
      <c r="MC95" s="35"/>
      <c r="MD95" s="35"/>
      <c r="ME95" s="35"/>
      <c r="MF95" s="35"/>
      <c r="MG95" s="35"/>
      <c r="MH95" s="35"/>
      <c r="MI95" s="35"/>
      <c r="MJ95" s="35"/>
      <c r="MK95" s="35"/>
      <c r="ML95" s="35"/>
      <c r="MM95" s="35"/>
    </row>
    <row r="96" spans="1:351" x14ac:dyDescent="0.4">
      <c r="A96" s="30">
        <v>90</v>
      </c>
      <c r="B96" s="367"/>
      <c r="C96" s="42"/>
      <c r="D96" s="44" t="s">
        <v>91</v>
      </c>
      <c r="E96" s="30">
        <f t="shared" si="20"/>
        <v>0</v>
      </c>
      <c r="F96" s="37">
        <f t="shared" si="21"/>
        <v>0</v>
      </c>
      <c r="G96" s="35"/>
      <c r="H96" s="35"/>
      <c r="I96" s="35"/>
      <c r="J96" s="35"/>
      <c r="K96" s="35"/>
      <c r="L96" s="35"/>
      <c r="M96" s="35"/>
      <c r="N96" s="49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  <c r="JF96" s="35"/>
      <c r="JG96" s="35"/>
      <c r="JH96" s="35"/>
      <c r="JI96" s="35"/>
      <c r="JJ96" s="35"/>
      <c r="JK96" s="35"/>
      <c r="JL96" s="35"/>
      <c r="JM96" s="35"/>
      <c r="JN96" s="35"/>
      <c r="JO96" s="35"/>
      <c r="JP96" s="35"/>
      <c r="JQ96" s="35"/>
      <c r="JR96" s="35"/>
      <c r="JS96" s="35"/>
      <c r="JT96" s="35"/>
      <c r="JU96" s="35"/>
      <c r="JV96" s="35"/>
      <c r="JW96" s="35"/>
      <c r="JX96" s="35"/>
      <c r="JY96" s="35"/>
      <c r="JZ96" s="35"/>
      <c r="KA96" s="35"/>
      <c r="KB96" s="35"/>
      <c r="KC96" s="35"/>
      <c r="KD96" s="35"/>
      <c r="KE96" s="35"/>
      <c r="KF96" s="35"/>
      <c r="KG96" s="35"/>
      <c r="KH96" s="35"/>
      <c r="KI96" s="35"/>
      <c r="KJ96" s="35"/>
      <c r="KK96" s="35"/>
      <c r="KL96" s="35"/>
      <c r="KM96" s="35"/>
      <c r="KN96" s="35"/>
      <c r="KO96" s="35"/>
      <c r="KP96" s="35"/>
      <c r="KQ96" s="35"/>
      <c r="KR96" s="35"/>
      <c r="KS96" s="35"/>
      <c r="KT96" s="35"/>
      <c r="KU96" s="35"/>
      <c r="KV96" s="35"/>
      <c r="KW96" s="35"/>
      <c r="KX96" s="35"/>
      <c r="KY96" s="35"/>
      <c r="KZ96" s="35"/>
      <c r="LA96" s="35"/>
      <c r="LB96" s="35"/>
      <c r="LC96" s="35"/>
      <c r="LD96" s="35"/>
      <c r="LE96" s="35"/>
      <c r="LF96" s="35"/>
      <c r="LG96" s="35"/>
      <c r="LH96" s="35"/>
      <c r="LI96" s="35"/>
      <c r="LJ96" s="35"/>
      <c r="LK96" s="35"/>
      <c r="LL96" s="35"/>
      <c r="LM96" s="35"/>
      <c r="LN96" s="35"/>
      <c r="LO96" s="35"/>
      <c r="LP96" s="35"/>
      <c r="LQ96" s="35"/>
      <c r="LR96" s="35"/>
      <c r="LS96" s="35"/>
      <c r="LT96" s="35"/>
      <c r="LU96" s="35"/>
      <c r="LV96" s="35"/>
      <c r="LW96" s="35"/>
      <c r="LX96" s="35"/>
      <c r="LY96" s="35"/>
      <c r="LZ96" s="35"/>
      <c r="MA96" s="35"/>
      <c r="MB96" s="35"/>
      <c r="MC96" s="35"/>
      <c r="MD96" s="35"/>
      <c r="ME96" s="35"/>
      <c r="MF96" s="35"/>
      <c r="MG96" s="35"/>
      <c r="MH96" s="35"/>
      <c r="MI96" s="35"/>
      <c r="MJ96" s="35"/>
      <c r="MK96" s="35"/>
      <c r="ML96" s="35"/>
      <c r="MM96" s="35"/>
    </row>
    <row r="97" spans="1:351" x14ac:dyDescent="0.4">
      <c r="A97" s="30">
        <v>91</v>
      </c>
      <c r="B97" s="365"/>
      <c r="C97" s="40"/>
      <c r="D97" s="44" t="s">
        <v>75</v>
      </c>
      <c r="E97" s="30">
        <f t="shared" si="20"/>
        <v>0</v>
      </c>
      <c r="F97" s="37">
        <f t="shared" si="21"/>
        <v>0</v>
      </c>
      <c r="G97" s="35"/>
      <c r="H97" s="35"/>
      <c r="I97" s="35"/>
      <c r="J97" s="35"/>
      <c r="K97" s="35"/>
      <c r="L97" s="35"/>
      <c r="M97" s="35"/>
      <c r="N97" s="49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  <c r="IS97" s="35"/>
      <c r="IT97" s="35"/>
      <c r="IU97" s="35"/>
      <c r="IV97" s="35"/>
      <c r="IW97" s="35"/>
      <c r="IX97" s="35"/>
      <c r="IY97" s="35"/>
      <c r="IZ97" s="35"/>
      <c r="JA97" s="35"/>
      <c r="JB97" s="35"/>
      <c r="JC97" s="35"/>
      <c r="JD97" s="35"/>
      <c r="JE97" s="35"/>
      <c r="JF97" s="35"/>
      <c r="JG97" s="35"/>
      <c r="JH97" s="35"/>
      <c r="JI97" s="35"/>
      <c r="JJ97" s="35"/>
      <c r="JK97" s="35"/>
      <c r="JL97" s="35"/>
      <c r="JM97" s="35"/>
      <c r="JN97" s="35"/>
      <c r="JO97" s="35"/>
      <c r="JP97" s="35"/>
      <c r="JQ97" s="35"/>
      <c r="JR97" s="35"/>
      <c r="JS97" s="35"/>
      <c r="JT97" s="35"/>
      <c r="JU97" s="35"/>
      <c r="JV97" s="35"/>
      <c r="JW97" s="35"/>
      <c r="JX97" s="35"/>
      <c r="JY97" s="35"/>
      <c r="JZ97" s="35"/>
      <c r="KA97" s="35"/>
      <c r="KB97" s="35"/>
      <c r="KC97" s="35"/>
      <c r="KD97" s="35"/>
      <c r="KE97" s="35"/>
      <c r="KF97" s="35"/>
      <c r="KG97" s="35"/>
      <c r="KH97" s="35"/>
      <c r="KI97" s="35"/>
      <c r="KJ97" s="35"/>
      <c r="KK97" s="35"/>
      <c r="KL97" s="35"/>
      <c r="KM97" s="35"/>
      <c r="KN97" s="35"/>
      <c r="KO97" s="35"/>
      <c r="KP97" s="35"/>
      <c r="KQ97" s="35"/>
      <c r="KR97" s="35"/>
      <c r="KS97" s="35"/>
      <c r="KT97" s="35"/>
      <c r="KU97" s="35"/>
      <c r="KV97" s="35"/>
      <c r="KW97" s="35"/>
      <c r="KX97" s="35"/>
      <c r="KY97" s="35"/>
      <c r="KZ97" s="35"/>
      <c r="LA97" s="35"/>
      <c r="LB97" s="35"/>
      <c r="LC97" s="35"/>
      <c r="LD97" s="35"/>
      <c r="LE97" s="35"/>
      <c r="LF97" s="35"/>
      <c r="LG97" s="35"/>
      <c r="LH97" s="35"/>
      <c r="LI97" s="35"/>
      <c r="LJ97" s="35"/>
      <c r="LK97" s="35"/>
      <c r="LL97" s="35"/>
      <c r="LM97" s="35"/>
      <c r="LN97" s="35"/>
      <c r="LO97" s="35"/>
      <c r="LP97" s="35"/>
      <c r="LQ97" s="35"/>
      <c r="LR97" s="35"/>
      <c r="LS97" s="35"/>
      <c r="LT97" s="35"/>
      <c r="LU97" s="35"/>
      <c r="LV97" s="35"/>
      <c r="LW97" s="35"/>
      <c r="LX97" s="35"/>
      <c r="LY97" s="35"/>
      <c r="LZ97" s="35"/>
      <c r="MA97" s="35"/>
      <c r="MB97" s="35"/>
      <c r="MC97" s="35"/>
      <c r="MD97" s="35"/>
      <c r="ME97" s="35"/>
      <c r="MF97" s="35"/>
      <c r="MG97" s="35"/>
      <c r="MH97" s="35"/>
      <c r="MI97" s="35"/>
      <c r="MJ97" s="35"/>
      <c r="MK97" s="35"/>
      <c r="ML97" s="35"/>
      <c r="MM97" s="35"/>
    </row>
    <row r="98" spans="1:351" x14ac:dyDescent="0.4">
      <c r="A98" s="30">
        <v>92</v>
      </c>
      <c r="B98" s="366"/>
      <c r="C98" s="41"/>
      <c r="D98" s="44" t="s">
        <v>87</v>
      </c>
      <c r="E98" s="30">
        <f t="shared" si="20"/>
        <v>0</v>
      </c>
      <c r="F98" s="37">
        <f t="shared" si="21"/>
        <v>0</v>
      </c>
      <c r="G98" s="35"/>
      <c r="H98" s="35"/>
      <c r="I98" s="35"/>
      <c r="J98" s="35"/>
      <c r="K98" s="35"/>
      <c r="L98" s="35"/>
      <c r="M98" s="35"/>
      <c r="N98" s="49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  <c r="JZ98" s="35"/>
      <c r="KA98" s="35"/>
      <c r="KB98" s="35"/>
      <c r="KC98" s="35"/>
      <c r="KD98" s="35"/>
      <c r="KE98" s="35"/>
      <c r="KF98" s="35"/>
      <c r="KG98" s="35"/>
      <c r="KH98" s="35"/>
      <c r="KI98" s="35"/>
      <c r="KJ98" s="35"/>
      <c r="KK98" s="35"/>
      <c r="KL98" s="35"/>
      <c r="KM98" s="35"/>
      <c r="KN98" s="35"/>
      <c r="KO98" s="35"/>
      <c r="KP98" s="35"/>
      <c r="KQ98" s="35"/>
      <c r="KR98" s="35"/>
      <c r="KS98" s="35"/>
      <c r="KT98" s="35"/>
      <c r="KU98" s="35"/>
      <c r="KV98" s="35"/>
      <c r="KW98" s="35"/>
      <c r="KX98" s="35"/>
      <c r="KY98" s="35"/>
      <c r="KZ98" s="35"/>
      <c r="LA98" s="35"/>
      <c r="LB98" s="35"/>
      <c r="LC98" s="35"/>
      <c r="LD98" s="35"/>
      <c r="LE98" s="35"/>
      <c r="LF98" s="35"/>
      <c r="LG98" s="35"/>
      <c r="LH98" s="35"/>
      <c r="LI98" s="35"/>
      <c r="LJ98" s="35"/>
      <c r="LK98" s="35"/>
      <c r="LL98" s="35"/>
      <c r="LM98" s="35"/>
      <c r="LN98" s="35"/>
      <c r="LO98" s="35"/>
      <c r="LP98" s="35"/>
      <c r="LQ98" s="35"/>
      <c r="LR98" s="35"/>
      <c r="LS98" s="35"/>
      <c r="LT98" s="35"/>
      <c r="LU98" s="35"/>
      <c r="LV98" s="35"/>
      <c r="LW98" s="35"/>
      <c r="LX98" s="35"/>
      <c r="LY98" s="35"/>
      <c r="LZ98" s="35"/>
      <c r="MA98" s="35"/>
      <c r="MB98" s="35"/>
      <c r="MC98" s="35"/>
      <c r="MD98" s="35"/>
      <c r="ME98" s="35"/>
      <c r="MF98" s="35"/>
      <c r="MG98" s="35"/>
      <c r="MH98" s="35"/>
      <c r="MI98" s="35"/>
      <c r="MJ98" s="35"/>
      <c r="MK98" s="35"/>
      <c r="ML98" s="35"/>
      <c r="MM98" s="35"/>
    </row>
    <row r="99" spans="1:351" x14ac:dyDescent="0.4">
      <c r="A99" s="30">
        <v>93</v>
      </c>
      <c r="B99" s="366"/>
      <c r="C99" s="41"/>
      <c r="D99" s="44" t="s">
        <v>88</v>
      </c>
      <c r="E99" s="30">
        <f t="shared" si="20"/>
        <v>0</v>
      </c>
      <c r="F99" s="37">
        <f t="shared" si="21"/>
        <v>0</v>
      </c>
      <c r="G99" s="35"/>
      <c r="H99" s="35"/>
      <c r="I99" s="35"/>
      <c r="J99" s="35"/>
      <c r="K99" s="35"/>
      <c r="L99" s="35"/>
      <c r="M99" s="35"/>
      <c r="N99" s="49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  <c r="JF99" s="35"/>
      <c r="JG99" s="35"/>
      <c r="JH99" s="35"/>
      <c r="JI99" s="35"/>
      <c r="JJ99" s="35"/>
      <c r="JK99" s="35"/>
      <c r="JL99" s="35"/>
      <c r="JM99" s="35"/>
      <c r="JN99" s="35"/>
      <c r="JO99" s="35"/>
      <c r="JP99" s="35"/>
      <c r="JQ99" s="35"/>
      <c r="JR99" s="35"/>
      <c r="JS99" s="35"/>
      <c r="JT99" s="35"/>
      <c r="JU99" s="35"/>
      <c r="JV99" s="35"/>
      <c r="JW99" s="35"/>
      <c r="JX99" s="35"/>
      <c r="JY99" s="35"/>
      <c r="JZ99" s="35"/>
      <c r="KA99" s="35"/>
      <c r="KB99" s="35"/>
      <c r="KC99" s="35"/>
      <c r="KD99" s="35"/>
      <c r="KE99" s="35"/>
      <c r="KF99" s="35"/>
      <c r="KG99" s="35"/>
      <c r="KH99" s="35"/>
      <c r="KI99" s="35"/>
      <c r="KJ99" s="35"/>
      <c r="KK99" s="35"/>
      <c r="KL99" s="35"/>
      <c r="KM99" s="35"/>
      <c r="KN99" s="35"/>
      <c r="KO99" s="35"/>
      <c r="KP99" s="35"/>
      <c r="KQ99" s="35"/>
      <c r="KR99" s="35"/>
      <c r="KS99" s="35"/>
      <c r="KT99" s="35"/>
      <c r="KU99" s="35"/>
      <c r="KV99" s="35"/>
      <c r="KW99" s="35"/>
      <c r="KX99" s="35"/>
      <c r="KY99" s="35"/>
      <c r="KZ99" s="35"/>
      <c r="LA99" s="35"/>
      <c r="LB99" s="35"/>
      <c r="LC99" s="35"/>
      <c r="LD99" s="35"/>
      <c r="LE99" s="35"/>
      <c r="LF99" s="35"/>
      <c r="LG99" s="35"/>
      <c r="LH99" s="35"/>
      <c r="LI99" s="35"/>
      <c r="LJ99" s="35"/>
      <c r="LK99" s="35"/>
      <c r="LL99" s="35"/>
      <c r="LM99" s="35"/>
      <c r="LN99" s="35"/>
      <c r="LO99" s="35"/>
      <c r="LP99" s="35"/>
      <c r="LQ99" s="35"/>
      <c r="LR99" s="35"/>
      <c r="LS99" s="35"/>
      <c r="LT99" s="35"/>
      <c r="LU99" s="35"/>
      <c r="LV99" s="35"/>
      <c r="LW99" s="35"/>
      <c r="LX99" s="35"/>
      <c r="LY99" s="35"/>
      <c r="LZ99" s="35"/>
      <c r="MA99" s="35"/>
      <c r="MB99" s="35"/>
      <c r="MC99" s="35"/>
      <c r="MD99" s="35"/>
      <c r="ME99" s="35"/>
      <c r="MF99" s="35"/>
      <c r="MG99" s="35"/>
      <c r="MH99" s="35"/>
      <c r="MI99" s="35"/>
      <c r="MJ99" s="35"/>
      <c r="MK99" s="35"/>
      <c r="ML99" s="35"/>
      <c r="MM99" s="35"/>
    </row>
    <row r="100" spans="1:351" x14ac:dyDescent="0.4">
      <c r="A100" s="30">
        <v>94</v>
      </c>
      <c r="B100" s="366"/>
      <c r="C100" s="41"/>
      <c r="D100" s="44" t="s">
        <v>89</v>
      </c>
      <c r="E100" s="30">
        <f t="shared" si="20"/>
        <v>0</v>
      </c>
      <c r="F100" s="37">
        <f t="shared" si="21"/>
        <v>0</v>
      </c>
      <c r="G100" s="35"/>
      <c r="H100" s="35"/>
      <c r="I100" s="35"/>
      <c r="J100" s="35"/>
      <c r="K100" s="35"/>
      <c r="L100" s="35"/>
      <c r="M100" s="35"/>
      <c r="N100" s="49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  <c r="KM100" s="35"/>
      <c r="KN100" s="35"/>
      <c r="KO100" s="35"/>
      <c r="KP100" s="35"/>
      <c r="KQ100" s="35"/>
      <c r="KR100" s="35"/>
      <c r="KS100" s="35"/>
      <c r="KT100" s="35"/>
      <c r="KU100" s="35"/>
      <c r="KV100" s="35"/>
      <c r="KW100" s="35"/>
      <c r="KX100" s="35"/>
      <c r="KY100" s="35"/>
      <c r="KZ100" s="35"/>
      <c r="LA100" s="35"/>
      <c r="LB100" s="35"/>
      <c r="LC100" s="35"/>
      <c r="LD100" s="35"/>
      <c r="LE100" s="35"/>
      <c r="LF100" s="35"/>
      <c r="LG100" s="35"/>
      <c r="LH100" s="35"/>
      <c r="LI100" s="35"/>
      <c r="LJ100" s="35"/>
      <c r="LK100" s="35"/>
      <c r="LL100" s="35"/>
      <c r="LM100" s="35"/>
      <c r="LN100" s="35"/>
      <c r="LO100" s="35"/>
      <c r="LP100" s="35"/>
      <c r="LQ100" s="35"/>
      <c r="LR100" s="35"/>
      <c r="LS100" s="35"/>
      <c r="LT100" s="35"/>
      <c r="LU100" s="35"/>
      <c r="LV100" s="35"/>
      <c r="LW100" s="35"/>
      <c r="LX100" s="35"/>
      <c r="LY100" s="35"/>
      <c r="LZ100" s="35"/>
      <c r="MA100" s="35"/>
      <c r="MB100" s="35"/>
      <c r="MC100" s="35"/>
      <c r="MD100" s="35"/>
      <c r="ME100" s="35"/>
      <c r="MF100" s="35"/>
      <c r="MG100" s="35"/>
      <c r="MH100" s="35"/>
      <c r="MI100" s="35"/>
      <c r="MJ100" s="35"/>
      <c r="MK100" s="35"/>
      <c r="ML100" s="35"/>
      <c r="MM100" s="35"/>
    </row>
    <row r="101" spans="1:351" x14ac:dyDescent="0.4">
      <c r="A101" s="30">
        <v>95</v>
      </c>
      <c r="B101" s="366"/>
      <c r="C101" s="41"/>
      <c r="D101" s="44" t="s">
        <v>90</v>
      </c>
      <c r="E101" s="30">
        <f t="shared" si="20"/>
        <v>0</v>
      </c>
      <c r="F101" s="37">
        <f t="shared" si="21"/>
        <v>0</v>
      </c>
      <c r="G101" s="35"/>
      <c r="H101" s="35"/>
      <c r="I101" s="35"/>
      <c r="J101" s="35"/>
      <c r="K101" s="35"/>
      <c r="L101" s="35"/>
      <c r="M101" s="35"/>
      <c r="N101" s="49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  <c r="JF101" s="35"/>
      <c r="JG101" s="35"/>
      <c r="JH101" s="35"/>
      <c r="JI101" s="35"/>
      <c r="JJ101" s="35"/>
      <c r="JK101" s="35"/>
      <c r="JL101" s="35"/>
      <c r="JM101" s="35"/>
      <c r="JN101" s="35"/>
      <c r="JO101" s="35"/>
      <c r="JP101" s="35"/>
      <c r="JQ101" s="35"/>
      <c r="JR101" s="35"/>
      <c r="JS101" s="35"/>
      <c r="JT101" s="35"/>
      <c r="JU101" s="35"/>
      <c r="JV101" s="35"/>
      <c r="JW101" s="35"/>
      <c r="JX101" s="35"/>
      <c r="JY101" s="35"/>
      <c r="JZ101" s="35"/>
      <c r="KA101" s="35"/>
      <c r="KB101" s="35"/>
      <c r="KC101" s="35"/>
      <c r="KD101" s="35"/>
      <c r="KE101" s="35"/>
      <c r="KF101" s="35"/>
      <c r="KG101" s="35"/>
      <c r="KH101" s="35"/>
      <c r="KI101" s="35"/>
      <c r="KJ101" s="35"/>
      <c r="KK101" s="35"/>
      <c r="KL101" s="35"/>
      <c r="KM101" s="35"/>
      <c r="KN101" s="35"/>
      <c r="KO101" s="35"/>
      <c r="KP101" s="35"/>
      <c r="KQ101" s="35"/>
      <c r="KR101" s="35"/>
      <c r="KS101" s="35"/>
      <c r="KT101" s="35"/>
      <c r="KU101" s="35"/>
      <c r="KV101" s="35"/>
      <c r="KW101" s="35"/>
      <c r="KX101" s="35"/>
      <c r="KY101" s="35"/>
      <c r="KZ101" s="35"/>
      <c r="LA101" s="35"/>
      <c r="LB101" s="35"/>
      <c r="LC101" s="35"/>
      <c r="LD101" s="35"/>
      <c r="LE101" s="35"/>
      <c r="LF101" s="35"/>
      <c r="LG101" s="35"/>
      <c r="LH101" s="35"/>
      <c r="LI101" s="35"/>
      <c r="LJ101" s="35"/>
      <c r="LK101" s="35"/>
      <c r="LL101" s="35"/>
      <c r="LM101" s="35"/>
      <c r="LN101" s="35"/>
      <c r="LO101" s="35"/>
      <c r="LP101" s="35"/>
      <c r="LQ101" s="35"/>
      <c r="LR101" s="35"/>
      <c r="LS101" s="35"/>
      <c r="LT101" s="35"/>
      <c r="LU101" s="35"/>
      <c r="LV101" s="35"/>
      <c r="LW101" s="35"/>
      <c r="LX101" s="35"/>
      <c r="LY101" s="35"/>
      <c r="LZ101" s="35"/>
      <c r="MA101" s="35"/>
      <c r="MB101" s="35"/>
      <c r="MC101" s="35"/>
      <c r="MD101" s="35"/>
      <c r="ME101" s="35"/>
      <c r="MF101" s="35"/>
      <c r="MG101" s="35"/>
      <c r="MH101" s="35"/>
      <c r="MI101" s="35"/>
      <c r="MJ101" s="35"/>
      <c r="MK101" s="35"/>
      <c r="ML101" s="35"/>
      <c r="MM101" s="35"/>
    </row>
    <row r="102" spans="1:351" x14ac:dyDescent="0.4">
      <c r="A102" s="30">
        <v>96</v>
      </c>
      <c r="B102" s="367"/>
      <c r="C102" s="42"/>
      <c r="D102" s="44" t="s">
        <v>91</v>
      </c>
      <c r="E102" s="30">
        <f t="shared" si="20"/>
        <v>0</v>
      </c>
      <c r="F102" s="37">
        <f t="shared" si="21"/>
        <v>0</v>
      </c>
      <c r="G102" s="35"/>
      <c r="H102" s="35"/>
      <c r="I102" s="35"/>
      <c r="J102" s="35"/>
      <c r="K102" s="35"/>
      <c r="L102" s="35"/>
      <c r="M102" s="35"/>
      <c r="N102" s="49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35"/>
      <c r="KD102" s="35"/>
      <c r="KE102" s="35"/>
      <c r="KF102" s="35"/>
      <c r="KG102" s="35"/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  <c r="LE102" s="35"/>
      <c r="LF102" s="35"/>
      <c r="LG102" s="35"/>
      <c r="LH102" s="35"/>
      <c r="LI102" s="35"/>
      <c r="LJ102" s="35"/>
      <c r="LK102" s="35"/>
      <c r="LL102" s="35"/>
      <c r="LM102" s="35"/>
      <c r="LN102" s="35"/>
      <c r="LO102" s="35"/>
      <c r="LP102" s="35"/>
      <c r="LQ102" s="35"/>
      <c r="LR102" s="35"/>
      <c r="LS102" s="35"/>
      <c r="LT102" s="35"/>
      <c r="LU102" s="35"/>
      <c r="LV102" s="35"/>
      <c r="LW102" s="35"/>
      <c r="LX102" s="35"/>
      <c r="LY102" s="35"/>
      <c r="LZ102" s="35"/>
      <c r="MA102" s="35"/>
      <c r="MB102" s="35"/>
      <c r="MC102" s="35"/>
      <c r="MD102" s="35"/>
      <c r="ME102" s="35"/>
      <c r="MF102" s="35"/>
      <c r="MG102" s="35"/>
      <c r="MH102" s="35"/>
      <c r="MI102" s="35"/>
      <c r="MJ102" s="35"/>
      <c r="MK102" s="35"/>
      <c r="ML102" s="35"/>
      <c r="MM102" s="35"/>
    </row>
    <row r="103" spans="1:351" x14ac:dyDescent="0.4">
      <c r="A103" s="30">
        <v>97</v>
      </c>
      <c r="B103" s="365"/>
      <c r="C103" s="40"/>
      <c r="D103" s="44" t="s">
        <v>75</v>
      </c>
      <c r="E103" s="30">
        <f t="shared" ref="E103:E139" si="22">SUMIFS(G103:XFD103,$G$5:$XFD$5,$E$5)</f>
        <v>0</v>
      </c>
      <c r="F103" s="37">
        <f t="shared" si="21"/>
        <v>0</v>
      </c>
      <c r="G103" s="35"/>
      <c r="H103" s="35"/>
      <c r="I103" s="35"/>
      <c r="J103" s="35"/>
      <c r="K103" s="35"/>
      <c r="L103" s="35"/>
      <c r="M103" s="35"/>
      <c r="N103" s="49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  <c r="JF103" s="35"/>
      <c r="JG103" s="35"/>
      <c r="JH103" s="35"/>
      <c r="JI103" s="35"/>
      <c r="JJ103" s="35"/>
      <c r="JK103" s="35"/>
      <c r="JL103" s="35"/>
      <c r="JM103" s="35"/>
      <c r="JN103" s="35"/>
      <c r="JO103" s="35"/>
      <c r="JP103" s="35"/>
      <c r="JQ103" s="35"/>
      <c r="JR103" s="35"/>
      <c r="JS103" s="35"/>
      <c r="JT103" s="35"/>
      <c r="JU103" s="35"/>
      <c r="JV103" s="35"/>
      <c r="JW103" s="35"/>
      <c r="JX103" s="35"/>
      <c r="JY103" s="35"/>
      <c r="JZ103" s="35"/>
      <c r="KA103" s="35"/>
      <c r="KB103" s="35"/>
      <c r="KC103" s="35"/>
      <c r="KD103" s="35"/>
      <c r="KE103" s="35"/>
      <c r="KF103" s="35"/>
      <c r="KG103" s="35"/>
      <c r="KH103" s="35"/>
      <c r="KI103" s="35"/>
      <c r="KJ103" s="35"/>
      <c r="KK103" s="35"/>
      <c r="KL103" s="35"/>
      <c r="KM103" s="35"/>
      <c r="KN103" s="35"/>
      <c r="KO103" s="35"/>
      <c r="KP103" s="35"/>
      <c r="KQ103" s="35"/>
      <c r="KR103" s="35"/>
      <c r="KS103" s="35"/>
      <c r="KT103" s="35"/>
      <c r="KU103" s="35"/>
      <c r="KV103" s="35"/>
      <c r="KW103" s="35"/>
      <c r="KX103" s="35"/>
      <c r="KY103" s="35"/>
      <c r="KZ103" s="35"/>
      <c r="LA103" s="35"/>
      <c r="LB103" s="35"/>
      <c r="LC103" s="35"/>
      <c r="LD103" s="35"/>
      <c r="LE103" s="35"/>
      <c r="LF103" s="35"/>
      <c r="LG103" s="35"/>
      <c r="LH103" s="35"/>
      <c r="LI103" s="35"/>
      <c r="LJ103" s="35"/>
      <c r="LK103" s="35"/>
      <c r="LL103" s="35"/>
      <c r="LM103" s="35"/>
      <c r="LN103" s="35"/>
      <c r="LO103" s="35"/>
      <c r="LP103" s="35"/>
      <c r="LQ103" s="35"/>
      <c r="LR103" s="35"/>
      <c r="LS103" s="35"/>
      <c r="LT103" s="35"/>
      <c r="LU103" s="35"/>
      <c r="LV103" s="35"/>
      <c r="LW103" s="35"/>
      <c r="LX103" s="35"/>
      <c r="LY103" s="35"/>
      <c r="LZ103" s="35"/>
      <c r="MA103" s="35"/>
      <c r="MB103" s="35"/>
      <c r="MC103" s="35"/>
      <c r="MD103" s="35"/>
      <c r="ME103" s="35"/>
      <c r="MF103" s="35"/>
      <c r="MG103" s="35"/>
      <c r="MH103" s="35"/>
      <c r="MI103" s="35"/>
      <c r="MJ103" s="35"/>
      <c r="MK103" s="35"/>
      <c r="ML103" s="35"/>
      <c r="MM103" s="35"/>
    </row>
    <row r="104" spans="1:351" x14ac:dyDescent="0.4">
      <c r="A104" s="30">
        <v>98</v>
      </c>
      <c r="B104" s="366"/>
      <c r="C104" s="41"/>
      <c r="D104" s="44" t="s">
        <v>87</v>
      </c>
      <c r="E104" s="30">
        <f t="shared" si="22"/>
        <v>0</v>
      </c>
      <c r="F104" s="37">
        <f t="shared" si="21"/>
        <v>0</v>
      </c>
      <c r="G104" s="35"/>
      <c r="H104" s="35"/>
      <c r="I104" s="35"/>
      <c r="J104" s="35"/>
      <c r="K104" s="35"/>
      <c r="L104" s="35"/>
      <c r="M104" s="35"/>
      <c r="N104" s="49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35"/>
      <c r="KD104" s="35"/>
      <c r="KE104" s="35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  <c r="LE104" s="35"/>
      <c r="LF104" s="35"/>
      <c r="LG104" s="35"/>
      <c r="LH104" s="35"/>
      <c r="LI104" s="35"/>
      <c r="LJ104" s="35"/>
      <c r="LK104" s="35"/>
      <c r="LL104" s="35"/>
      <c r="LM104" s="35"/>
      <c r="LN104" s="35"/>
      <c r="LO104" s="35"/>
      <c r="LP104" s="35"/>
      <c r="LQ104" s="35"/>
      <c r="LR104" s="35"/>
      <c r="LS104" s="35"/>
      <c r="LT104" s="35"/>
      <c r="LU104" s="35"/>
      <c r="LV104" s="35"/>
      <c r="LW104" s="35"/>
      <c r="LX104" s="35"/>
      <c r="LY104" s="35"/>
      <c r="LZ104" s="35"/>
      <c r="MA104" s="35"/>
      <c r="MB104" s="35"/>
      <c r="MC104" s="35"/>
      <c r="MD104" s="35"/>
      <c r="ME104" s="35"/>
      <c r="MF104" s="35"/>
      <c r="MG104" s="35"/>
      <c r="MH104" s="35"/>
      <c r="MI104" s="35"/>
      <c r="MJ104" s="35"/>
      <c r="MK104" s="35"/>
      <c r="ML104" s="35"/>
      <c r="MM104" s="35"/>
    </row>
    <row r="105" spans="1:351" x14ac:dyDescent="0.4">
      <c r="A105" s="30">
        <v>99</v>
      </c>
      <c r="B105" s="366"/>
      <c r="C105" s="41"/>
      <c r="D105" s="44" t="s">
        <v>88</v>
      </c>
      <c r="E105" s="30">
        <f t="shared" si="22"/>
        <v>0</v>
      </c>
      <c r="F105" s="37">
        <f t="shared" ref="F105:F118" si="23">SUM(G105:MM105)</f>
        <v>0</v>
      </c>
      <c r="G105" s="35"/>
      <c r="H105" s="35"/>
      <c r="I105" s="35"/>
      <c r="J105" s="35"/>
      <c r="K105" s="35"/>
      <c r="L105" s="35"/>
      <c r="M105" s="35"/>
      <c r="N105" s="49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  <c r="JF105" s="35"/>
      <c r="JG105" s="35"/>
      <c r="JH105" s="35"/>
      <c r="JI105" s="35"/>
      <c r="JJ105" s="35"/>
      <c r="JK105" s="35"/>
      <c r="JL105" s="35"/>
      <c r="JM105" s="35"/>
      <c r="JN105" s="35"/>
      <c r="JO105" s="35"/>
      <c r="JP105" s="35"/>
      <c r="JQ105" s="35"/>
      <c r="JR105" s="35"/>
      <c r="JS105" s="35"/>
      <c r="JT105" s="35"/>
      <c r="JU105" s="35"/>
      <c r="JV105" s="35"/>
      <c r="JW105" s="35"/>
      <c r="JX105" s="35"/>
      <c r="JY105" s="35"/>
      <c r="JZ105" s="35"/>
      <c r="KA105" s="35"/>
      <c r="KB105" s="35"/>
      <c r="KC105" s="35"/>
      <c r="KD105" s="35"/>
      <c r="KE105" s="35"/>
      <c r="KF105" s="35"/>
      <c r="KG105" s="35"/>
      <c r="KH105" s="35"/>
      <c r="KI105" s="35"/>
      <c r="KJ105" s="35"/>
      <c r="KK105" s="35"/>
      <c r="KL105" s="35"/>
      <c r="KM105" s="35"/>
      <c r="KN105" s="35"/>
      <c r="KO105" s="35"/>
      <c r="KP105" s="35"/>
      <c r="KQ105" s="35"/>
      <c r="KR105" s="35"/>
      <c r="KS105" s="35"/>
      <c r="KT105" s="35"/>
      <c r="KU105" s="35"/>
      <c r="KV105" s="35"/>
      <c r="KW105" s="35"/>
      <c r="KX105" s="35"/>
      <c r="KY105" s="35"/>
      <c r="KZ105" s="35"/>
      <c r="LA105" s="35"/>
      <c r="LB105" s="35"/>
      <c r="LC105" s="35"/>
      <c r="LD105" s="35"/>
      <c r="LE105" s="35"/>
      <c r="LF105" s="35"/>
      <c r="LG105" s="35"/>
      <c r="LH105" s="35"/>
      <c r="LI105" s="35"/>
      <c r="LJ105" s="35"/>
      <c r="LK105" s="35"/>
      <c r="LL105" s="35"/>
      <c r="LM105" s="35"/>
      <c r="LN105" s="35"/>
      <c r="LO105" s="35"/>
      <c r="LP105" s="35"/>
      <c r="LQ105" s="35"/>
      <c r="LR105" s="35"/>
      <c r="LS105" s="35"/>
      <c r="LT105" s="35"/>
      <c r="LU105" s="35"/>
      <c r="LV105" s="35"/>
      <c r="LW105" s="35"/>
      <c r="LX105" s="35"/>
      <c r="LY105" s="35"/>
      <c r="LZ105" s="35"/>
      <c r="MA105" s="35"/>
      <c r="MB105" s="35"/>
      <c r="MC105" s="35"/>
      <c r="MD105" s="35"/>
      <c r="ME105" s="35"/>
      <c r="MF105" s="35"/>
      <c r="MG105" s="35"/>
      <c r="MH105" s="35"/>
      <c r="MI105" s="35"/>
      <c r="MJ105" s="35"/>
      <c r="MK105" s="35"/>
      <c r="ML105" s="35"/>
      <c r="MM105" s="35"/>
    </row>
    <row r="106" spans="1:351" x14ac:dyDescent="0.4">
      <c r="A106" s="30">
        <v>100</v>
      </c>
      <c r="B106" s="366"/>
      <c r="C106" s="41"/>
      <c r="D106" s="44" t="s">
        <v>89</v>
      </c>
      <c r="E106" s="30">
        <f t="shared" si="22"/>
        <v>0</v>
      </c>
      <c r="F106" s="37">
        <f t="shared" si="23"/>
        <v>0</v>
      </c>
      <c r="G106" s="35"/>
      <c r="H106" s="35"/>
      <c r="I106" s="35"/>
      <c r="J106" s="35"/>
      <c r="K106" s="35"/>
      <c r="L106" s="35"/>
      <c r="M106" s="35"/>
      <c r="N106" s="49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  <c r="JZ106" s="35"/>
      <c r="KA106" s="35"/>
      <c r="KB106" s="35"/>
      <c r="KC106" s="35"/>
      <c r="KD106" s="35"/>
      <c r="KE106" s="35"/>
      <c r="KF106" s="35"/>
      <c r="KG106" s="35"/>
      <c r="KH106" s="35"/>
      <c r="KI106" s="35"/>
      <c r="KJ106" s="35"/>
      <c r="KK106" s="35"/>
      <c r="KL106" s="35"/>
      <c r="KM106" s="35"/>
      <c r="KN106" s="35"/>
      <c r="KO106" s="35"/>
      <c r="KP106" s="35"/>
      <c r="KQ106" s="35"/>
      <c r="KR106" s="35"/>
      <c r="KS106" s="35"/>
      <c r="KT106" s="35"/>
      <c r="KU106" s="35"/>
      <c r="KV106" s="35"/>
      <c r="KW106" s="35"/>
      <c r="KX106" s="35"/>
      <c r="KY106" s="35"/>
      <c r="KZ106" s="35"/>
      <c r="LA106" s="35"/>
      <c r="LB106" s="35"/>
      <c r="LC106" s="35"/>
      <c r="LD106" s="35"/>
      <c r="LE106" s="35"/>
      <c r="LF106" s="35"/>
      <c r="LG106" s="35"/>
      <c r="LH106" s="35"/>
      <c r="LI106" s="35"/>
      <c r="LJ106" s="35"/>
      <c r="LK106" s="35"/>
      <c r="LL106" s="35"/>
      <c r="LM106" s="35"/>
      <c r="LN106" s="35"/>
      <c r="LO106" s="35"/>
      <c r="LP106" s="35"/>
      <c r="LQ106" s="35"/>
      <c r="LR106" s="35"/>
      <c r="LS106" s="35"/>
      <c r="LT106" s="35"/>
      <c r="LU106" s="35"/>
      <c r="LV106" s="35"/>
      <c r="LW106" s="35"/>
      <c r="LX106" s="35"/>
      <c r="LY106" s="35"/>
      <c r="LZ106" s="35"/>
      <c r="MA106" s="35"/>
      <c r="MB106" s="35"/>
      <c r="MC106" s="35"/>
      <c r="MD106" s="35"/>
      <c r="ME106" s="35"/>
      <c r="MF106" s="35"/>
      <c r="MG106" s="35"/>
      <c r="MH106" s="35"/>
      <c r="MI106" s="35"/>
      <c r="MJ106" s="35"/>
      <c r="MK106" s="35"/>
      <c r="ML106" s="35"/>
      <c r="MM106" s="35"/>
    </row>
    <row r="107" spans="1:351" x14ac:dyDescent="0.4">
      <c r="A107" s="30">
        <v>101</v>
      </c>
      <c r="B107" s="366"/>
      <c r="C107" s="41"/>
      <c r="D107" s="44" t="s">
        <v>90</v>
      </c>
      <c r="E107" s="30">
        <f t="shared" si="22"/>
        <v>0</v>
      </c>
      <c r="F107" s="37">
        <f t="shared" si="23"/>
        <v>0</v>
      </c>
      <c r="G107" s="35"/>
      <c r="H107" s="35"/>
      <c r="I107" s="35"/>
      <c r="J107" s="35"/>
      <c r="K107" s="35"/>
      <c r="L107" s="35"/>
      <c r="M107" s="35"/>
      <c r="N107" s="49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  <c r="JZ107" s="35"/>
      <c r="KA107" s="35"/>
      <c r="KB107" s="35"/>
      <c r="KC107" s="35"/>
      <c r="KD107" s="35"/>
      <c r="KE107" s="35"/>
      <c r="KF107" s="35"/>
      <c r="KG107" s="35"/>
      <c r="KH107" s="35"/>
      <c r="KI107" s="35"/>
      <c r="KJ107" s="35"/>
      <c r="KK107" s="35"/>
      <c r="KL107" s="35"/>
      <c r="KM107" s="35"/>
      <c r="KN107" s="35"/>
      <c r="KO107" s="35"/>
      <c r="KP107" s="35"/>
      <c r="KQ107" s="35"/>
      <c r="KR107" s="35"/>
      <c r="KS107" s="35"/>
      <c r="KT107" s="35"/>
      <c r="KU107" s="35"/>
      <c r="KV107" s="35"/>
      <c r="KW107" s="35"/>
      <c r="KX107" s="35"/>
      <c r="KY107" s="35"/>
      <c r="KZ107" s="35"/>
      <c r="LA107" s="35"/>
      <c r="LB107" s="35"/>
      <c r="LC107" s="35"/>
      <c r="LD107" s="35"/>
      <c r="LE107" s="35"/>
      <c r="LF107" s="35"/>
      <c r="LG107" s="35"/>
      <c r="LH107" s="35"/>
      <c r="LI107" s="35"/>
      <c r="LJ107" s="35"/>
      <c r="LK107" s="35"/>
      <c r="LL107" s="35"/>
      <c r="LM107" s="35"/>
      <c r="LN107" s="35"/>
      <c r="LO107" s="35"/>
      <c r="LP107" s="35"/>
      <c r="LQ107" s="35"/>
      <c r="LR107" s="35"/>
      <c r="LS107" s="35"/>
      <c r="LT107" s="35"/>
      <c r="LU107" s="35"/>
      <c r="LV107" s="35"/>
      <c r="LW107" s="35"/>
      <c r="LX107" s="35"/>
      <c r="LY107" s="35"/>
      <c r="LZ107" s="35"/>
      <c r="MA107" s="35"/>
      <c r="MB107" s="35"/>
      <c r="MC107" s="35"/>
      <c r="MD107" s="35"/>
      <c r="ME107" s="35"/>
      <c r="MF107" s="35"/>
      <c r="MG107" s="35"/>
      <c r="MH107" s="35"/>
      <c r="MI107" s="35"/>
      <c r="MJ107" s="35"/>
      <c r="MK107" s="35"/>
      <c r="ML107" s="35"/>
      <c r="MM107" s="35"/>
    </row>
    <row r="108" spans="1:351" x14ac:dyDescent="0.4">
      <c r="A108" s="30">
        <v>102</v>
      </c>
      <c r="B108" s="367"/>
      <c r="C108" s="42"/>
      <c r="D108" s="44" t="s">
        <v>91</v>
      </c>
      <c r="E108" s="30">
        <f t="shared" si="22"/>
        <v>0</v>
      </c>
      <c r="F108" s="37">
        <f t="shared" si="23"/>
        <v>0</v>
      </c>
      <c r="G108" s="35"/>
      <c r="H108" s="35"/>
      <c r="I108" s="35"/>
      <c r="J108" s="35"/>
      <c r="K108" s="35"/>
      <c r="L108" s="35"/>
      <c r="M108" s="35"/>
      <c r="N108" s="49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  <c r="KM108" s="35"/>
      <c r="KN108" s="35"/>
      <c r="KO108" s="35"/>
      <c r="KP108" s="35"/>
      <c r="KQ108" s="35"/>
      <c r="KR108" s="35"/>
      <c r="KS108" s="35"/>
      <c r="KT108" s="35"/>
      <c r="KU108" s="35"/>
      <c r="KV108" s="35"/>
      <c r="KW108" s="35"/>
      <c r="KX108" s="35"/>
      <c r="KY108" s="35"/>
      <c r="KZ108" s="35"/>
      <c r="LA108" s="35"/>
      <c r="LB108" s="35"/>
      <c r="LC108" s="35"/>
      <c r="LD108" s="35"/>
      <c r="LE108" s="35"/>
      <c r="LF108" s="35"/>
      <c r="LG108" s="35"/>
      <c r="LH108" s="35"/>
      <c r="LI108" s="35"/>
      <c r="LJ108" s="35"/>
      <c r="LK108" s="35"/>
      <c r="LL108" s="35"/>
      <c r="LM108" s="35"/>
      <c r="LN108" s="35"/>
      <c r="LO108" s="35"/>
      <c r="LP108" s="35"/>
      <c r="LQ108" s="35"/>
      <c r="LR108" s="35"/>
      <c r="LS108" s="35"/>
      <c r="LT108" s="35"/>
      <c r="LU108" s="35"/>
      <c r="LV108" s="35"/>
      <c r="LW108" s="35"/>
      <c r="LX108" s="35"/>
      <c r="LY108" s="35"/>
      <c r="LZ108" s="35"/>
      <c r="MA108" s="35"/>
      <c r="MB108" s="35"/>
      <c r="MC108" s="35"/>
      <c r="MD108" s="35"/>
      <c r="ME108" s="35"/>
      <c r="MF108" s="35"/>
      <c r="MG108" s="35"/>
      <c r="MH108" s="35"/>
      <c r="MI108" s="35"/>
      <c r="MJ108" s="35"/>
      <c r="MK108" s="35"/>
      <c r="ML108" s="35"/>
      <c r="MM108" s="35"/>
    </row>
    <row r="109" spans="1:351" x14ac:dyDescent="0.4">
      <c r="A109" s="30">
        <v>103</v>
      </c>
      <c r="B109" s="365"/>
      <c r="C109" s="40"/>
      <c r="D109" s="44" t="s">
        <v>75</v>
      </c>
      <c r="E109" s="30">
        <f t="shared" si="22"/>
        <v>0</v>
      </c>
      <c r="F109" s="37">
        <f t="shared" si="23"/>
        <v>0</v>
      </c>
      <c r="G109" s="35"/>
      <c r="H109" s="35"/>
      <c r="I109" s="35"/>
      <c r="J109" s="35"/>
      <c r="K109" s="35"/>
      <c r="L109" s="35"/>
      <c r="M109" s="35"/>
      <c r="N109" s="49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  <c r="JZ109" s="35"/>
      <c r="KA109" s="35"/>
      <c r="KB109" s="35"/>
      <c r="KC109" s="35"/>
      <c r="KD109" s="35"/>
      <c r="KE109" s="35"/>
      <c r="KF109" s="35"/>
      <c r="KG109" s="35"/>
      <c r="KH109" s="35"/>
      <c r="KI109" s="35"/>
      <c r="KJ109" s="35"/>
      <c r="KK109" s="35"/>
      <c r="KL109" s="35"/>
      <c r="KM109" s="35"/>
      <c r="KN109" s="35"/>
      <c r="KO109" s="35"/>
      <c r="KP109" s="35"/>
      <c r="KQ109" s="35"/>
      <c r="KR109" s="35"/>
      <c r="KS109" s="35"/>
      <c r="KT109" s="35"/>
      <c r="KU109" s="35"/>
      <c r="KV109" s="35"/>
      <c r="KW109" s="35"/>
      <c r="KX109" s="35"/>
      <c r="KY109" s="35"/>
      <c r="KZ109" s="35"/>
      <c r="LA109" s="35"/>
      <c r="LB109" s="35"/>
      <c r="LC109" s="35"/>
      <c r="LD109" s="35"/>
      <c r="LE109" s="35"/>
      <c r="LF109" s="35"/>
      <c r="LG109" s="35"/>
      <c r="LH109" s="35"/>
      <c r="LI109" s="35"/>
      <c r="LJ109" s="35"/>
      <c r="LK109" s="35"/>
      <c r="LL109" s="35"/>
      <c r="LM109" s="35"/>
      <c r="LN109" s="35"/>
      <c r="LO109" s="35"/>
      <c r="LP109" s="35"/>
      <c r="LQ109" s="35"/>
      <c r="LR109" s="35"/>
      <c r="LS109" s="35"/>
      <c r="LT109" s="35"/>
      <c r="LU109" s="35"/>
      <c r="LV109" s="35"/>
      <c r="LW109" s="35"/>
      <c r="LX109" s="35"/>
      <c r="LY109" s="35"/>
      <c r="LZ109" s="35"/>
      <c r="MA109" s="35"/>
      <c r="MB109" s="35"/>
      <c r="MC109" s="35"/>
      <c r="MD109" s="35"/>
      <c r="ME109" s="35"/>
      <c r="MF109" s="35"/>
      <c r="MG109" s="35"/>
      <c r="MH109" s="35"/>
      <c r="MI109" s="35"/>
      <c r="MJ109" s="35"/>
      <c r="MK109" s="35"/>
      <c r="ML109" s="35"/>
      <c r="MM109" s="35"/>
    </row>
    <row r="110" spans="1:351" x14ac:dyDescent="0.4">
      <c r="A110" s="30">
        <v>104</v>
      </c>
      <c r="B110" s="366"/>
      <c r="C110" s="41"/>
      <c r="D110" s="44" t="s">
        <v>87</v>
      </c>
      <c r="E110" s="30">
        <f t="shared" si="22"/>
        <v>0</v>
      </c>
      <c r="F110" s="37">
        <f t="shared" si="23"/>
        <v>0</v>
      </c>
      <c r="G110" s="35"/>
      <c r="H110" s="35"/>
      <c r="I110" s="35"/>
      <c r="J110" s="35"/>
      <c r="K110" s="35"/>
      <c r="L110" s="35"/>
      <c r="M110" s="35"/>
      <c r="N110" s="49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  <c r="LE110" s="35"/>
      <c r="LF110" s="35"/>
      <c r="LG110" s="35"/>
      <c r="LH110" s="35"/>
      <c r="LI110" s="35"/>
      <c r="LJ110" s="35"/>
      <c r="LK110" s="35"/>
      <c r="LL110" s="35"/>
      <c r="LM110" s="35"/>
      <c r="LN110" s="35"/>
      <c r="LO110" s="35"/>
      <c r="LP110" s="35"/>
      <c r="LQ110" s="35"/>
      <c r="LR110" s="35"/>
      <c r="LS110" s="35"/>
      <c r="LT110" s="35"/>
      <c r="LU110" s="35"/>
      <c r="LV110" s="35"/>
      <c r="LW110" s="35"/>
      <c r="LX110" s="35"/>
      <c r="LY110" s="35"/>
      <c r="LZ110" s="35"/>
      <c r="MA110" s="35"/>
      <c r="MB110" s="35"/>
      <c r="MC110" s="35"/>
      <c r="MD110" s="35"/>
      <c r="ME110" s="35"/>
      <c r="MF110" s="35"/>
      <c r="MG110" s="35"/>
      <c r="MH110" s="35"/>
      <c r="MI110" s="35"/>
      <c r="MJ110" s="35"/>
      <c r="MK110" s="35"/>
      <c r="ML110" s="35"/>
      <c r="MM110" s="35"/>
    </row>
    <row r="111" spans="1:351" x14ac:dyDescent="0.4">
      <c r="A111" s="30">
        <v>105</v>
      </c>
      <c r="B111" s="366"/>
      <c r="C111" s="41"/>
      <c r="D111" s="44" t="s">
        <v>88</v>
      </c>
      <c r="E111" s="30">
        <f t="shared" si="22"/>
        <v>0</v>
      </c>
      <c r="F111" s="37">
        <f t="shared" si="23"/>
        <v>0</v>
      </c>
      <c r="G111" s="35"/>
      <c r="H111" s="35"/>
      <c r="I111" s="35"/>
      <c r="J111" s="35"/>
      <c r="K111" s="35"/>
      <c r="L111" s="35"/>
      <c r="M111" s="35"/>
      <c r="N111" s="49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  <c r="JZ111" s="35"/>
      <c r="KA111" s="35"/>
      <c r="KB111" s="35"/>
      <c r="KC111" s="35"/>
      <c r="KD111" s="35"/>
      <c r="KE111" s="35"/>
      <c r="KF111" s="35"/>
      <c r="KG111" s="35"/>
      <c r="KH111" s="35"/>
      <c r="KI111" s="35"/>
      <c r="KJ111" s="35"/>
      <c r="KK111" s="35"/>
      <c r="KL111" s="35"/>
      <c r="KM111" s="35"/>
      <c r="KN111" s="35"/>
      <c r="KO111" s="35"/>
      <c r="KP111" s="35"/>
      <c r="KQ111" s="35"/>
      <c r="KR111" s="35"/>
      <c r="KS111" s="35"/>
      <c r="KT111" s="35"/>
      <c r="KU111" s="35"/>
      <c r="KV111" s="35"/>
      <c r="KW111" s="35"/>
      <c r="KX111" s="35"/>
      <c r="KY111" s="35"/>
      <c r="KZ111" s="35"/>
      <c r="LA111" s="35"/>
      <c r="LB111" s="35"/>
      <c r="LC111" s="35"/>
      <c r="LD111" s="35"/>
      <c r="LE111" s="35"/>
      <c r="LF111" s="35"/>
      <c r="LG111" s="35"/>
      <c r="LH111" s="35"/>
      <c r="LI111" s="35"/>
      <c r="LJ111" s="35"/>
      <c r="LK111" s="35"/>
      <c r="LL111" s="35"/>
      <c r="LM111" s="35"/>
      <c r="LN111" s="35"/>
      <c r="LO111" s="35"/>
      <c r="LP111" s="35"/>
      <c r="LQ111" s="35"/>
      <c r="LR111" s="35"/>
      <c r="LS111" s="35"/>
      <c r="LT111" s="35"/>
      <c r="LU111" s="35"/>
      <c r="LV111" s="35"/>
      <c r="LW111" s="35"/>
      <c r="LX111" s="35"/>
      <c r="LY111" s="35"/>
      <c r="LZ111" s="35"/>
      <c r="MA111" s="35"/>
      <c r="MB111" s="35"/>
      <c r="MC111" s="35"/>
      <c r="MD111" s="35"/>
      <c r="ME111" s="35"/>
      <c r="MF111" s="35"/>
      <c r="MG111" s="35"/>
      <c r="MH111" s="35"/>
      <c r="MI111" s="35"/>
      <c r="MJ111" s="35"/>
      <c r="MK111" s="35"/>
      <c r="ML111" s="35"/>
      <c r="MM111" s="35"/>
    </row>
    <row r="112" spans="1:351" x14ac:dyDescent="0.4">
      <c r="A112" s="30">
        <v>106</v>
      </c>
      <c r="B112" s="366"/>
      <c r="C112" s="41"/>
      <c r="D112" s="44" t="s">
        <v>89</v>
      </c>
      <c r="E112" s="30">
        <f t="shared" si="22"/>
        <v>0</v>
      </c>
      <c r="F112" s="37">
        <f t="shared" si="23"/>
        <v>0</v>
      </c>
      <c r="G112" s="35"/>
      <c r="H112" s="35"/>
      <c r="I112" s="35"/>
      <c r="J112" s="35"/>
      <c r="K112" s="35"/>
      <c r="L112" s="35"/>
      <c r="M112" s="35"/>
      <c r="N112" s="49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  <c r="KM112" s="35"/>
      <c r="KN112" s="35"/>
      <c r="KO112" s="35"/>
      <c r="KP112" s="35"/>
      <c r="KQ112" s="35"/>
      <c r="KR112" s="35"/>
      <c r="KS112" s="35"/>
      <c r="KT112" s="35"/>
      <c r="KU112" s="35"/>
      <c r="KV112" s="35"/>
      <c r="KW112" s="35"/>
      <c r="KX112" s="35"/>
      <c r="KY112" s="35"/>
      <c r="KZ112" s="35"/>
      <c r="LA112" s="35"/>
      <c r="LB112" s="35"/>
      <c r="LC112" s="35"/>
      <c r="LD112" s="35"/>
      <c r="LE112" s="35"/>
      <c r="LF112" s="35"/>
      <c r="LG112" s="35"/>
      <c r="LH112" s="35"/>
      <c r="LI112" s="35"/>
      <c r="LJ112" s="35"/>
      <c r="LK112" s="35"/>
      <c r="LL112" s="35"/>
      <c r="LM112" s="35"/>
      <c r="LN112" s="35"/>
      <c r="LO112" s="35"/>
      <c r="LP112" s="35"/>
      <c r="LQ112" s="35"/>
      <c r="LR112" s="35"/>
      <c r="LS112" s="35"/>
      <c r="LT112" s="35"/>
      <c r="LU112" s="35"/>
      <c r="LV112" s="35"/>
      <c r="LW112" s="35"/>
      <c r="LX112" s="35"/>
      <c r="LY112" s="35"/>
      <c r="LZ112" s="35"/>
      <c r="MA112" s="35"/>
      <c r="MB112" s="35"/>
      <c r="MC112" s="35"/>
      <c r="MD112" s="35"/>
      <c r="ME112" s="35"/>
      <c r="MF112" s="35"/>
      <c r="MG112" s="35"/>
      <c r="MH112" s="35"/>
      <c r="MI112" s="35"/>
      <c r="MJ112" s="35"/>
      <c r="MK112" s="35"/>
      <c r="ML112" s="35"/>
      <c r="MM112" s="35"/>
    </row>
    <row r="113" spans="1:351" x14ac:dyDescent="0.4">
      <c r="A113" s="30">
        <v>107</v>
      </c>
      <c r="B113" s="366"/>
      <c r="C113" s="41"/>
      <c r="D113" s="44" t="s">
        <v>90</v>
      </c>
      <c r="E113" s="30">
        <f t="shared" si="22"/>
        <v>0</v>
      </c>
      <c r="F113" s="37">
        <f t="shared" si="23"/>
        <v>0</v>
      </c>
      <c r="G113" s="35"/>
      <c r="H113" s="35"/>
      <c r="I113" s="35"/>
      <c r="J113" s="35"/>
      <c r="K113" s="35"/>
      <c r="L113" s="35"/>
      <c r="M113" s="35"/>
      <c r="N113" s="49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  <c r="JF113" s="35"/>
      <c r="JG113" s="35"/>
      <c r="JH113" s="35"/>
      <c r="JI113" s="35"/>
      <c r="JJ113" s="35"/>
      <c r="JK113" s="35"/>
      <c r="JL113" s="35"/>
      <c r="JM113" s="35"/>
      <c r="JN113" s="35"/>
      <c r="JO113" s="35"/>
      <c r="JP113" s="35"/>
      <c r="JQ113" s="35"/>
      <c r="JR113" s="35"/>
      <c r="JS113" s="35"/>
      <c r="JT113" s="35"/>
      <c r="JU113" s="35"/>
      <c r="JV113" s="35"/>
      <c r="JW113" s="35"/>
      <c r="JX113" s="35"/>
      <c r="JY113" s="35"/>
      <c r="JZ113" s="35"/>
      <c r="KA113" s="35"/>
      <c r="KB113" s="35"/>
      <c r="KC113" s="35"/>
      <c r="KD113" s="35"/>
      <c r="KE113" s="35"/>
      <c r="KF113" s="35"/>
      <c r="KG113" s="35"/>
      <c r="KH113" s="35"/>
      <c r="KI113" s="35"/>
      <c r="KJ113" s="35"/>
      <c r="KK113" s="35"/>
      <c r="KL113" s="35"/>
      <c r="KM113" s="35"/>
      <c r="KN113" s="35"/>
      <c r="KO113" s="35"/>
      <c r="KP113" s="35"/>
      <c r="KQ113" s="35"/>
      <c r="KR113" s="35"/>
      <c r="KS113" s="35"/>
      <c r="KT113" s="35"/>
      <c r="KU113" s="35"/>
      <c r="KV113" s="35"/>
      <c r="KW113" s="35"/>
      <c r="KX113" s="35"/>
      <c r="KY113" s="35"/>
      <c r="KZ113" s="35"/>
      <c r="LA113" s="35"/>
      <c r="LB113" s="35"/>
      <c r="LC113" s="35"/>
      <c r="LD113" s="35"/>
      <c r="LE113" s="35"/>
      <c r="LF113" s="35"/>
      <c r="LG113" s="35"/>
      <c r="LH113" s="35"/>
      <c r="LI113" s="35"/>
      <c r="LJ113" s="35"/>
      <c r="LK113" s="35"/>
      <c r="LL113" s="35"/>
      <c r="LM113" s="35"/>
      <c r="LN113" s="35"/>
      <c r="LO113" s="35"/>
      <c r="LP113" s="35"/>
      <c r="LQ113" s="35"/>
      <c r="LR113" s="35"/>
      <c r="LS113" s="35"/>
      <c r="LT113" s="35"/>
      <c r="LU113" s="35"/>
      <c r="LV113" s="35"/>
      <c r="LW113" s="35"/>
      <c r="LX113" s="35"/>
      <c r="LY113" s="35"/>
      <c r="LZ113" s="35"/>
      <c r="MA113" s="35"/>
      <c r="MB113" s="35"/>
      <c r="MC113" s="35"/>
      <c r="MD113" s="35"/>
      <c r="ME113" s="35"/>
      <c r="MF113" s="35"/>
      <c r="MG113" s="35"/>
      <c r="MH113" s="35"/>
      <c r="MI113" s="35"/>
      <c r="MJ113" s="35"/>
      <c r="MK113" s="35"/>
      <c r="ML113" s="35"/>
      <c r="MM113" s="35"/>
    </row>
    <row r="114" spans="1:351" x14ac:dyDescent="0.4">
      <c r="A114" s="30">
        <v>108</v>
      </c>
      <c r="B114" s="367"/>
      <c r="C114" s="42"/>
      <c r="D114" s="44" t="s">
        <v>91</v>
      </c>
      <c r="E114" s="30">
        <f t="shared" si="22"/>
        <v>0</v>
      </c>
      <c r="F114" s="37">
        <f t="shared" si="23"/>
        <v>0</v>
      </c>
      <c r="G114" s="35"/>
      <c r="H114" s="35"/>
      <c r="I114" s="35"/>
      <c r="J114" s="35"/>
      <c r="K114" s="35"/>
      <c r="L114" s="35"/>
      <c r="M114" s="35"/>
      <c r="N114" s="49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  <c r="JF114" s="35"/>
      <c r="JG114" s="35"/>
      <c r="JH114" s="35"/>
      <c r="JI114" s="35"/>
      <c r="JJ114" s="35"/>
      <c r="JK114" s="35"/>
      <c r="JL114" s="35"/>
      <c r="JM114" s="35"/>
      <c r="JN114" s="35"/>
      <c r="JO114" s="35"/>
      <c r="JP114" s="35"/>
      <c r="JQ114" s="35"/>
      <c r="JR114" s="35"/>
      <c r="JS114" s="35"/>
      <c r="JT114" s="35"/>
      <c r="JU114" s="35"/>
      <c r="JV114" s="35"/>
      <c r="JW114" s="35"/>
      <c r="JX114" s="35"/>
      <c r="JY114" s="35"/>
      <c r="JZ114" s="35"/>
      <c r="KA114" s="35"/>
      <c r="KB114" s="35"/>
      <c r="KC114" s="35"/>
      <c r="KD114" s="35"/>
      <c r="KE114" s="35"/>
      <c r="KF114" s="35"/>
      <c r="KG114" s="35"/>
      <c r="KH114" s="35"/>
      <c r="KI114" s="35"/>
      <c r="KJ114" s="35"/>
      <c r="KK114" s="35"/>
      <c r="KL114" s="35"/>
      <c r="KM114" s="35"/>
      <c r="KN114" s="35"/>
      <c r="KO114" s="35"/>
      <c r="KP114" s="35"/>
      <c r="KQ114" s="35"/>
      <c r="KR114" s="35"/>
      <c r="KS114" s="35"/>
      <c r="KT114" s="35"/>
      <c r="KU114" s="35"/>
      <c r="KV114" s="35"/>
      <c r="KW114" s="35"/>
      <c r="KX114" s="35"/>
      <c r="KY114" s="35"/>
      <c r="KZ114" s="35"/>
      <c r="LA114" s="35"/>
      <c r="LB114" s="35"/>
      <c r="LC114" s="35"/>
      <c r="LD114" s="35"/>
      <c r="LE114" s="35"/>
      <c r="LF114" s="35"/>
      <c r="LG114" s="35"/>
      <c r="LH114" s="35"/>
      <c r="LI114" s="35"/>
      <c r="LJ114" s="35"/>
      <c r="LK114" s="35"/>
      <c r="LL114" s="35"/>
      <c r="LM114" s="35"/>
      <c r="LN114" s="35"/>
      <c r="LO114" s="35"/>
      <c r="LP114" s="35"/>
      <c r="LQ114" s="35"/>
      <c r="LR114" s="35"/>
      <c r="LS114" s="35"/>
      <c r="LT114" s="35"/>
      <c r="LU114" s="35"/>
      <c r="LV114" s="35"/>
      <c r="LW114" s="35"/>
      <c r="LX114" s="35"/>
      <c r="LY114" s="35"/>
      <c r="LZ114" s="35"/>
      <c r="MA114" s="35"/>
      <c r="MB114" s="35"/>
      <c r="MC114" s="35"/>
      <c r="MD114" s="35"/>
      <c r="ME114" s="35"/>
      <c r="MF114" s="35"/>
      <c r="MG114" s="35"/>
      <c r="MH114" s="35"/>
      <c r="MI114" s="35"/>
      <c r="MJ114" s="35"/>
      <c r="MK114" s="35"/>
      <c r="ML114" s="35"/>
      <c r="MM114" s="35"/>
    </row>
    <row r="115" spans="1:351" x14ac:dyDescent="0.4">
      <c r="A115" s="30">
        <v>109</v>
      </c>
      <c r="B115" s="365"/>
      <c r="C115" s="40"/>
      <c r="D115" s="44" t="s">
        <v>75</v>
      </c>
      <c r="E115" s="30">
        <f t="shared" si="22"/>
        <v>0</v>
      </c>
      <c r="F115" s="37">
        <f t="shared" si="23"/>
        <v>0</v>
      </c>
      <c r="G115" s="35"/>
      <c r="H115" s="35"/>
      <c r="I115" s="35"/>
      <c r="J115" s="35"/>
      <c r="K115" s="35"/>
      <c r="L115" s="35"/>
      <c r="M115" s="35"/>
      <c r="N115" s="49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35"/>
      <c r="HG115" s="35"/>
      <c r="HH115" s="35"/>
      <c r="HI115" s="35"/>
      <c r="HJ115" s="35"/>
      <c r="HK115" s="35"/>
      <c r="HL115" s="35"/>
      <c r="HM115" s="35"/>
      <c r="HN115" s="35"/>
      <c r="HO115" s="35"/>
      <c r="HP115" s="35"/>
      <c r="HQ115" s="35"/>
      <c r="HR115" s="35"/>
      <c r="HS115" s="35"/>
      <c r="HT115" s="35"/>
      <c r="HU115" s="35"/>
      <c r="HV115" s="35"/>
      <c r="HW115" s="35"/>
      <c r="HX115" s="35"/>
      <c r="HY115" s="35"/>
      <c r="HZ115" s="35"/>
      <c r="IA115" s="35"/>
      <c r="IB115" s="35"/>
      <c r="IC115" s="35"/>
      <c r="ID115" s="35"/>
      <c r="IE115" s="35"/>
      <c r="IF115" s="35"/>
      <c r="IG115" s="35"/>
      <c r="IH115" s="35"/>
      <c r="II115" s="35"/>
      <c r="IJ115" s="35"/>
      <c r="IK115" s="35"/>
      <c r="IL115" s="35"/>
      <c r="IM115" s="35"/>
      <c r="IN115" s="35"/>
      <c r="IO115" s="35"/>
      <c r="IP115" s="35"/>
      <c r="IQ115" s="35"/>
      <c r="IR115" s="35"/>
      <c r="IS115" s="35"/>
      <c r="IT115" s="35"/>
      <c r="IU115" s="35"/>
      <c r="IV115" s="35"/>
      <c r="IW115" s="35"/>
      <c r="IX115" s="35"/>
      <c r="IY115" s="35"/>
      <c r="IZ115" s="35"/>
      <c r="JA115" s="35"/>
      <c r="JB115" s="35"/>
      <c r="JC115" s="35"/>
      <c r="JD115" s="35"/>
      <c r="JE115" s="35"/>
      <c r="JF115" s="35"/>
      <c r="JG115" s="35"/>
      <c r="JH115" s="35"/>
      <c r="JI115" s="35"/>
      <c r="JJ115" s="35"/>
      <c r="JK115" s="35"/>
      <c r="JL115" s="35"/>
      <c r="JM115" s="35"/>
      <c r="JN115" s="35"/>
      <c r="JO115" s="35"/>
      <c r="JP115" s="35"/>
      <c r="JQ115" s="35"/>
      <c r="JR115" s="35"/>
      <c r="JS115" s="35"/>
      <c r="JT115" s="35"/>
      <c r="JU115" s="35"/>
      <c r="JV115" s="35"/>
      <c r="JW115" s="35"/>
      <c r="JX115" s="35"/>
      <c r="JY115" s="35"/>
      <c r="JZ115" s="35"/>
      <c r="KA115" s="35"/>
      <c r="KB115" s="35"/>
      <c r="KC115" s="35"/>
      <c r="KD115" s="35"/>
      <c r="KE115" s="35"/>
      <c r="KF115" s="35"/>
      <c r="KG115" s="35"/>
      <c r="KH115" s="35"/>
      <c r="KI115" s="35"/>
      <c r="KJ115" s="35"/>
      <c r="KK115" s="35"/>
      <c r="KL115" s="35"/>
      <c r="KM115" s="35"/>
      <c r="KN115" s="35"/>
      <c r="KO115" s="35"/>
      <c r="KP115" s="35"/>
      <c r="KQ115" s="35"/>
      <c r="KR115" s="35"/>
      <c r="KS115" s="35"/>
      <c r="KT115" s="35"/>
      <c r="KU115" s="35"/>
      <c r="KV115" s="35"/>
      <c r="KW115" s="35"/>
      <c r="KX115" s="35"/>
      <c r="KY115" s="35"/>
      <c r="KZ115" s="35"/>
      <c r="LA115" s="35"/>
      <c r="LB115" s="35"/>
      <c r="LC115" s="35"/>
      <c r="LD115" s="35"/>
      <c r="LE115" s="35"/>
      <c r="LF115" s="35"/>
      <c r="LG115" s="35"/>
      <c r="LH115" s="35"/>
      <c r="LI115" s="35"/>
      <c r="LJ115" s="35"/>
      <c r="LK115" s="35"/>
      <c r="LL115" s="35"/>
      <c r="LM115" s="35"/>
      <c r="LN115" s="35"/>
      <c r="LO115" s="35"/>
      <c r="LP115" s="35"/>
      <c r="LQ115" s="35"/>
      <c r="LR115" s="35"/>
      <c r="LS115" s="35"/>
      <c r="LT115" s="35"/>
      <c r="LU115" s="35"/>
      <c r="LV115" s="35"/>
      <c r="LW115" s="35"/>
      <c r="LX115" s="35"/>
      <c r="LY115" s="35"/>
      <c r="LZ115" s="35"/>
      <c r="MA115" s="35"/>
      <c r="MB115" s="35"/>
      <c r="MC115" s="35"/>
      <c r="MD115" s="35"/>
      <c r="ME115" s="35"/>
      <c r="MF115" s="35"/>
      <c r="MG115" s="35"/>
      <c r="MH115" s="35"/>
      <c r="MI115" s="35"/>
      <c r="MJ115" s="35"/>
      <c r="MK115" s="35"/>
      <c r="ML115" s="35"/>
      <c r="MM115" s="35"/>
    </row>
    <row r="116" spans="1:351" x14ac:dyDescent="0.4">
      <c r="A116" s="30">
        <v>110</v>
      </c>
      <c r="B116" s="366"/>
      <c r="C116" s="41"/>
      <c r="D116" s="44" t="s">
        <v>87</v>
      </c>
      <c r="E116" s="30">
        <f t="shared" si="22"/>
        <v>0</v>
      </c>
      <c r="F116" s="37">
        <f t="shared" si="23"/>
        <v>0</v>
      </c>
      <c r="G116" s="35"/>
      <c r="H116" s="35"/>
      <c r="I116" s="35"/>
      <c r="J116" s="35"/>
      <c r="K116" s="35"/>
      <c r="L116" s="35"/>
      <c r="M116" s="35"/>
      <c r="N116" s="49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  <c r="JZ116" s="35"/>
      <c r="KA116" s="35"/>
      <c r="KB116" s="35"/>
      <c r="KC116" s="35"/>
      <c r="KD116" s="35"/>
      <c r="KE116" s="35"/>
      <c r="KF116" s="35"/>
      <c r="KG116" s="35"/>
      <c r="KH116" s="35"/>
      <c r="KI116" s="35"/>
      <c r="KJ116" s="35"/>
      <c r="KK116" s="35"/>
      <c r="KL116" s="35"/>
      <c r="KM116" s="35"/>
      <c r="KN116" s="35"/>
      <c r="KO116" s="35"/>
      <c r="KP116" s="35"/>
      <c r="KQ116" s="35"/>
      <c r="KR116" s="35"/>
      <c r="KS116" s="35"/>
      <c r="KT116" s="35"/>
      <c r="KU116" s="35"/>
      <c r="KV116" s="35"/>
      <c r="KW116" s="35"/>
      <c r="KX116" s="35"/>
      <c r="KY116" s="35"/>
      <c r="KZ116" s="35"/>
      <c r="LA116" s="35"/>
      <c r="LB116" s="35"/>
      <c r="LC116" s="35"/>
      <c r="LD116" s="35"/>
      <c r="LE116" s="35"/>
      <c r="LF116" s="35"/>
      <c r="LG116" s="35"/>
      <c r="LH116" s="35"/>
      <c r="LI116" s="35"/>
      <c r="LJ116" s="35"/>
      <c r="LK116" s="35"/>
      <c r="LL116" s="35"/>
      <c r="LM116" s="35"/>
      <c r="LN116" s="35"/>
      <c r="LO116" s="35"/>
      <c r="LP116" s="35"/>
      <c r="LQ116" s="35"/>
      <c r="LR116" s="35"/>
      <c r="LS116" s="35"/>
      <c r="LT116" s="35"/>
      <c r="LU116" s="35"/>
      <c r="LV116" s="35"/>
      <c r="LW116" s="35"/>
      <c r="LX116" s="35"/>
      <c r="LY116" s="35"/>
      <c r="LZ116" s="35"/>
      <c r="MA116" s="35"/>
      <c r="MB116" s="35"/>
      <c r="MC116" s="35"/>
      <c r="MD116" s="35"/>
      <c r="ME116" s="35"/>
      <c r="MF116" s="35"/>
      <c r="MG116" s="35"/>
      <c r="MH116" s="35"/>
      <c r="MI116" s="35"/>
      <c r="MJ116" s="35"/>
      <c r="MK116" s="35"/>
      <c r="ML116" s="35"/>
      <c r="MM116" s="35"/>
    </row>
    <row r="117" spans="1:351" x14ac:dyDescent="0.4">
      <c r="A117" s="30">
        <v>111</v>
      </c>
      <c r="B117" s="366"/>
      <c r="C117" s="41"/>
      <c r="D117" s="44" t="s">
        <v>88</v>
      </c>
      <c r="E117" s="30">
        <f t="shared" si="22"/>
        <v>0</v>
      </c>
      <c r="F117" s="37">
        <f t="shared" si="23"/>
        <v>0</v>
      </c>
      <c r="G117" s="35"/>
      <c r="H117" s="35"/>
      <c r="I117" s="35"/>
      <c r="J117" s="35"/>
      <c r="K117" s="35"/>
      <c r="L117" s="35"/>
      <c r="M117" s="35"/>
      <c r="N117" s="49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35"/>
      <c r="HD117" s="35"/>
      <c r="HE117" s="35"/>
      <c r="HF117" s="35"/>
      <c r="HG117" s="35"/>
      <c r="HH117" s="35"/>
      <c r="HI117" s="35"/>
      <c r="HJ117" s="35"/>
      <c r="HK117" s="35"/>
      <c r="HL117" s="35"/>
      <c r="HM117" s="35"/>
      <c r="HN117" s="35"/>
      <c r="HO117" s="35"/>
      <c r="HP117" s="35"/>
      <c r="HQ117" s="35"/>
      <c r="HR117" s="35"/>
      <c r="HS117" s="35"/>
      <c r="HT117" s="35"/>
      <c r="HU117" s="35"/>
      <c r="HV117" s="35"/>
      <c r="HW117" s="35"/>
      <c r="HX117" s="35"/>
      <c r="HY117" s="35"/>
      <c r="HZ117" s="35"/>
      <c r="IA117" s="35"/>
      <c r="IB117" s="35"/>
      <c r="IC117" s="35"/>
      <c r="ID117" s="35"/>
      <c r="IE117" s="35"/>
      <c r="IF117" s="35"/>
      <c r="IG117" s="35"/>
      <c r="IH117" s="35"/>
      <c r="II117" s="35"/>
      <c r="IJ117" s="35"/>
      <c r="IK117" s="35"/>
      <c r="IL117" s="35"/>
      <c r="IM117" s="35"/>
      <c r="IN117" s="35"/>
      <c r="IO117" s="35"/>
      <c r="IP117" s="35"/>
      <c r="IQ117" s="35"/>
      <c r="IR117" s="35"/>
      <c r="IS117" s="35"/>
      <c r="IT117" s="35"/>
      <c r="IU117" s="35"/>
      <c r="IV117" s="35"/>
      <c r="IW117" s="35"/>
      <c r="IX117" s="35"/>
      <c r="IY117" s="35"/>
      <c r="IZ117" s="35"/>
      <c r="JA117" s="35"/>
      <c r="JB117" s="35"/>
      <c r="JC117" s="35"/>
      <c r="JD117" s="35"/>
      <c r="JE117" s="35"/>
      <c r="JF117" s="35"/>
      <c r="JG117" s="35"/>
      <c r="JH117" s="35"/>
      <c r="JI117" s="35"/>
      <c r="JJ117" s="35"/>
      <c r="JK117" s="35"/>
      <c r="JL117" s="35"/>
      <c r="JM117" s="35"/>
      <c r="JN117" s="35"/>
      <c r="JO117" s="35"/>
      <c r="JP117" s="35"/>
      <c r="JQ117" s="35"/>
      <c r="JR117" s="35"/>
      <c r="JS117" s="35"/>
      <c r="JT117" s="35"/>
      <c r="JU117" s="35"/>
      <c r="JV117" s="35"/>
      <c r="JW117" s="35"/>
      <c r="JX117" s="35"/>
      <c r="JY117" s="35"/>
      <c r="JZ117" s="35"/>
      <c r="KA117" s="35"/>
      <c r="KB117" s="35"/>
      <c r="KC117" s="35"/>
      <c r="KD117" s="35"/>
      <c r="KE117" s="35"/>
      <c r="KF117" s="35"/>
      <c r="KG117" s="35"/>
      <c r="KH117" s="35"/>
      <c r="KI117" s="35"/>
      <c r="KJ117" s="35"/>
      <c r="KK117" s="35"/>
      <c r="KL117" s="35"/>
      <c r="KM117" s="35"/>
      <c r="KN117" s="35"/>
      <c r="KO117" s="35"/>
      <c r="KP117" s="35"/>
      <c r="KQ117" s="35"/>
      <c r="KR117" s="35"/>
      <c r="KS117" s="35"/>
      <c r="KT117" s="35"/>
      <c r="KU117" s="35"/>
      <c r="KV117" s="35"/>
      <c r="KW117" s="35"/>
      <c r="KX117" s="35"/>
      <c r="KY117" s="35"/>
      <c r="KZ117" s="35"/>
      <c r="LA117" s="35"/>
      <c r="LB117" s="35"/>
      <c r="LC117" s="35"/>
      <c r="LD117" s="35"/>
      <c r="LE117" s="35"/>
      <c r="LF117" s="35"/>
      <c r="LG117" s="35"/>
      <c r="LH117" s="35"/>
      <c r="LI117" s="35"/>
      <c r="LJ117" s="35"/>
      <c r="LK117" s="35"/>
      <c r="LL117" s="35"/>
      <c r="LM117" s="35"/>
      <c r="LN117" s="35"/>
      <c r="LO117" s="35"/>
      <c r="LP117" s="35"/>
      <c r="LQ117" s="35"/>
      <c r="LR117" s="35"/>
      <c r="LS117" s="35"/>
      <c r="LT117" s="35"/>
      <c r="LU117" s="35"/>
      <c r="LV117" s="35"/>
      <c r="LW117" s="35"/>
      <c r="LX117" s="35"/>
      <c r="LY117" s="35"/>
      <c r="LZ117" s="35"/>
      <c r="MA117" s="35"/>
      <c r="MB117" s="35"/>
      <c r="MC117" s="35"/>
      <c r="MD117" s="35"/>
      <c r="ME117" s="35"/>
      <c r="MF117" s="35"/>
      <c r="MG117" s="35"/>
      <c r="MH117" s="35"/>
      <c r="MI117" s="35"/>
      <c r="MJ117" s="35"/>
      <c r="MK117" s="35"/>
      <c r="ML117" s="35"/>
      <c r="MM117" s="35"/>
    </row>
    <row r="118" spans="1:351" x14ac:dyDescent="0.4">
      <c r="A118" s="30">
        <v>112</v>
      </c>
      <c r="B118" s="366"/>
      <c r="C118" s="41"/>
      <c r="D118" s="44" t="s">
        <v>89</v>
      </c>
      <c r="E118" s="30">
        <f t="shared" si="22"/>
        <v>0</v>
      </c>
      <c r="F118" s="37">
        <f t="shared" si="23"/>
        <v>0</v>
      </c>
      <c r="G118" s="35"/>
      <c r="H118" s="35"/>
      <c r="I118" s="35"/>
      <c r="J118" s="35"/>
      <c r="K118" s="35"/>
      <c r="L118" s="35"/>
      <c r="M118" s="35"/>
      <c r="N118" s="49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35"/>
      <c r="HD118" s="35"/>
      <c r="HE118" s="35"/>
      <c r="HF118" s="35"/>
      <c r="HG118" s="35"/>
      <c r="HH118" s="35"/>
      <c r="HI118" s="35"/>
      <c r="HJ118" s="35"/>
      <c r="HK118" s="35"/>
      <c r="HL118" s="35"/>
      <c r="HM118" s="35"/>
      <c r="HN118" s="35"/>
      <c r="HO118" s="35"/>
      <c r="HP118" s="35"/>
      <c r="HQ118" s="35"/>
      <c r="HR118" s="35"/>
      <c r="HS118" s="35"/>
      <c r="HT118" s="35"/>
      <c r="HU118" s="35"/>
      <c r="HV118" s="35"/>
      <c r="HW118" s="35"/>
      <c r="HX118" s="35"/>
      <c r="HY118" s="35"/>
      <c r="HZ118" s="35"/>
      <c r="IA118" s="35"/>
      <c r="IB118" s="35"/>
      <c r="IC118" s="35"/>
      <c r="ID118" s="35"/>
      <c r="IE118" s="35"/>
      <c r="IF118" s="35"/>
      <c r="IG118" s="35"/>
      <c r="IH118" s="35"/>
      <c r="II118" s="35"/>
      <c r="IJ118" s="35"/>
      <c r="IK118" s="35"/>
      <c r="IL118" s="35"/>
      <c r="IM118" s="35"/>
      <c r="IN118" s="35"/>
      <c r="IO118" s="35"/>
      <c r="IP118" s="35"/>
      <c r="IQ118" s="35"/>
      <c r="IR118" s="35"/>
      <c r="IS118" s="35"/>
      <c r="IT118" s="35"/>
      <c r="IU118" s="35"/>
      <c r="IV118" s="35"/>
      <c r="IW118" s="35"/>
      <c r="IX118" s="35"/>
      <c r="IY118" s="35"/>
      <c r="IZ118" s="35"/>
      <c r="JA118" s="35"/>
      <c r="JB118" s="35"/>
      <c r="JC118" s="35"/>
      <c r="JD118" s="35"/>
      <c r="JE118" s="35"/>
      <c r="JF118" s="35"/>
      <c r="JG118" s="35"/>
      <c r="JH118" s="35"/>
      <c r="JI118" s="35"/>
      <c r="JJ118" s="35"/>
      <c r="JK118" s="35"/>
      <c r="JL118" s="35"/>
      <c r="JM118" s="35"/>
      <c r="JN118" s="35"/>
      <c r="JO118" s="35"/>
      <c r="JP118" s="35"/>
      <c r="JQ118" s="35"/>
      <c r="JR118" s="35"/>
      <c r="JS118" s="35"/>
      <c r="JT118" s="35"/>
      <c r="JU118" s="35"/>
      <c r="JV118" s="35"/>
      <c r="JW118" s="35"/>
      <c r="JX118" s="35"/>
      <c r="JY118" s="35"/>
      <c r="JZ118" s="35"/>
      <c r="KA118" s="35"/>
      <c r="KB118" s="35"/>
      <c r="KC118" s="35"/>
      <c r="KD118" s="35"/>
      <c r="KE118" s="35"/>
      <c r="KF118" s="35"/>
      <c r="KG118" s="35"/>
      <c r="KH118" s="35"/>
      <c r="KI118" s="35"/>
      <c r="KJ118" s="35"/>
      <c r="KK118" s="35"/>
      <c r="KL118" s="35"/>
      <c r="KM118" s="35"/>
      <c r="KN118" s="35"/>
      <c r="KO118" s="35"/>
      <c r="KP118" s="35"/>
      <c r="KQ118" s="35"/>
      <c r="KR118" s="35"/>
      <c r="KS118" s="35"/>
      <c r="KT118" s="35"/>
      <c r="KU118" s="35"/>
      <c r="KV118" s="35"/>
      <c r="KW118" s="35"/>
      <c r="KX118" s="35"/>
      <c r="KY118" s="35"/>
      <c r="KZ118" s="35"/>
      <c r="LA118" s="35"/>
      <c r="LB118" s="35"/>
      <c r="LC118" s="35"/>
      <c r="LD118" s="35"/>
      <c r="LE118" s="35"/>
      <c r="LF118" s="35"/>
      <c r="LG118" s="35"/>
      <c r="LH118" s="35"/>
      <c r="LI118" s="35"/>
      <c r="LJ118" s="35"/>
      <c r="LK118" s="35"/>
      <c r="LL118" s="35"/>
      <c r="LM118" s="35"/>
      <c r="LN118" s="35"/>
      <c r="LO118" s="35"/>
      <c r="LP118" s="35"/>
      <c r="LQ118" s="35"/>
      <c r="LR118" s="35"/>
      <c r="LS118" s="35"/>
      <c r="LT118" s="35"/>
      <c r="LU118" s="35"/>
      <c r="LV118" s="35"/>
      <c r="LW118" s="35"/>
      <c r="LX118" s="35"/>
      <c r="LY118" s="35"/>
      <c r="LZ118" s="35"/>
      <c r="MA118" s="35"/>
      <c r="MB118" s="35"/>
      <c r="MC118" s="35"/>
      <c r="MD118" s="35"/>
      <c r="ME118" s="35"/>
      <c r="MF118" s="35"/>
      <c r="MG118" s="35"/>
      <c r="MH118" s="35"/>
      <c r="MI118" s="35"/>
      <c r="MJ118" s="35"/>
      <c r="MK118" s="35"/>
      <c r="ML118" s="35"/>
      <c r="MM118" s="35"/>
    </row>
    <row r="119" spans="1:351" x14ac:dyDescent="0.4">
      <c r="A119" s="30">
        <v>113</v>
      </c>
      <c r="B119" s="366"/>
      <c r="C119" s="41"/>
      <c r="D119" s="44" t="s">
        <v>90</v>
      </c>
      <c r="E119" s="30">
        <f t="shared" si="22"/>
        <v>0</v>
      </c>
      <c r="F119" s="37"/>
      <c r="G119" s="35"/>
      <c r="H119" s="35"/>
      <c r="I119" s="35"/>
      <c r="J119" s="35"/>
      <c r="K119" s="35"/>
      <c r="L119" s="35"/>
      <c r="M119" s="35"/>
      <c r="N119" s="49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35"/>
      <c r="HD119" s="35"/>
      <c r="HE119" s="35"/>
      <c r="HF119" s="35"/>
      <c r="HG119" s="35"/>
      <c r="HH119" s="35"/>
      <c r="HI119" s="35"/>
      <c r="HJ119" s="35"/>
      <c r="HK119" s="35"/>
      <c r="HL119" s="35"/>
      <c r="HM119" s="35"/>
      <c r="HN119" s="35"/>
      <c r="HO119" s="35"/>
      <c r="HP119" s="35"/>
      <c r="HQ119" s="35"/>
      <c r="HR119" s="35"/>
      <c r="HS119" s="35"/>
      <c r="HT119" s="35"/>
      <c r="HU119" s="35"/>
      <c r="HV119" s="35"/>
      <c r="HW119" s="35"/>
      <c r="HX119" s="35"/>
      <c r="HY119" s="35"/>
      <c r="HZ119" s="35"/>
      <c r="IA119" s="35"/>
      <c r="IB119" s="35"/>
      <c r="IC119" s="35"/>
      <c r="ID119" s="35"/>
      <c r="IE119" s="35"/>
      <c r="IF119" s="35"/>
      <c r="IG119" s="35"/>
      <c r="IH119" s="35"/>
      <c r="II119" s="35"/>
      <c r="IJ119" s="35"/>
      <c r="IK119" s="35"/>
      <c r="IL119" s="35"/>
      <c r="IM119" s="35"/>
      <c r="IN119" s="35"/>
      <c r="IO119" s="35"/>
      <c r="IP119" s="35"/>
      <c r="IQ119" s="35"/>
      <c r="IR119" s="35"/>
      <c r="IS119" s="35"/>
      <c r="IT119" s="35"/>
      <c r="IU119" s="35"/>
      <c r="IV119" s="35"/>
      <c r="IW119" s="35"/>
      <c r="IX119" s="35"/>
      <c r="IY119" s="35"/>
      <c r="IZ119" s="35"/>
      <c r="JA119" s="35"/>
      <c r="JB119" s="35"/>
      <c r="JC119" s="35"/>
      <c r="JD119" s="35"/>
      <c r="JE119" s="35"/>
      <c r="JF119" s="35"/>
      <c r="JG119" s="35"/>
      <c r="JH119" s="35"/>
      <c r="JI119" s="35"/>
      <c r="JJ119" s="35"/>
      <c r="JK119" s="35"/>
      <c r="JL119" s="35"/>
      <c r="JM119" s="35"/>
      <c r="JN119" s="35"/>
      <c r="JO119" s="35"/>
      <c r="JP119" s="35"/>
      <c r="JQ119" s="35"/>
      <c r="JR119" s="35"/>
      <c r="JS119" s="35"/>
      <c r="JT119" s="35"/>
      <c r="JU119" s="35"/>
      <c r="JV119" s="35"/>
      <c r="JW119" s="35"/>
      <c r="JX119" s="35"/>
      <c r="JY119" s="35"/>
      <c r="JZ119" s="35"/>
      <c r="KA119" s="35"/>
      <c r="KB119" s="35"/>
      <c r="KC119" s="35"/>
      <c r="KD119" s="35"/>
      <c r="KE119" s="35"/>
      <c r="KF119" s="35"/>
      <c r="KG119" s="35"/>
      <c r="KH119" s="35"/>
      <c r="KI119" s="35"/>
      <c r="KJ119" s="35"/>
      <c r="KK119" s="35"/>
      <c r="KL119" s="35"/>
      <c r="KM119" s="35"/>
      <c r="KN119" s="35"/>
      <c r="KO119" s="35"/>
      <c r="KP119" s="35"/>
      <c r="KQ119" s="35"/>
      <c r="KR119" s="35"/>
      <c r="KS119" s="35"/>
      <c r="KT119" s="35"/>
      <c r="KU119" s="35"/>
      <c r="KV119" s="35"/>
      <c r="KW119" s="35"/>
      <c r="KX119" s="35"/>
      <c r="KY119" s="35"/>
      <c r="KZ119" s="35"/>
      <c r="LA119" s="35"/>
      <c r="LB119" s="35"/>
      <c r="LC119" s="35"/>
      <c r="LD119" s="35"/>
      <c r="LE119" s="35"/>
      <c r="LF119" s="35"/>
      <c r="LG119" s="35"/>
      <c r="LH119" s="35"/>
      <c r="LI119" s="35"/>
      <c r="LJ119" s="35"/>
      <c r="LK119" s="35"/>
      <c r="LL119" s="35"/>
      <c r="LM119" s="35"/>
      <c r="LN119" s="35"/>
      <c r="LO119" s="35"/>
      <c r="LP119" s="35"/>
      <c r="LQ119" s="35"/>
      <c r="LR119" s="35"/>
      <c r="LS119" s="35"/>
      <c r="LT119" s="35"/>
      <c r="LU119" s="35"/>
      <c r="LV119" s="35"/>
      <c r="LW119" s="35"/>
      <c r="LX119" s="35"/>
      <c r="LY119" s="35"/>
      <c r="LZ119" s="35"/>
      <c r="MA119" s="35"/>
      <c r="MB119" s="35"/>
      <c r="MC119" s="35"/>
      <c r="MD119" s="35"/>
      <c r="ME119" s="35"/>
      <c r="MF119" s="35"/>
      <c r="MG119" s="35"/>
      <c r="MH119" s="35"/>
      <c r="MI119" s="35"/>
      <c r="MJ119" s="35"/>
      <c r="MK119" s="35"/>
      <c r="ML119" s="35"/>
      <c r="MM119" s="35"/>
    </row>
    <row r="120" spans="1:351" x14ac:dyDescent="0.4">
      <c r="A120" s="30">
        <v>114</v>
      </c>
      <c r="B120" s="367"/>
      <c r="C120" s="42"/>
      <c r="D120" s="44" t="s">
        <v>91</v>
      </c>
      <c r="E120" s="30">
        <f t="shared" si="22"/>
        <v>0</v>
      </c>
      <c r="F120" s="37"/>
      <c r="G120" s="35"/>
      <c r="H120" s="35"/>
      <c r="I120" s="35"/>
      <c r="J120" s="35"/>
      <c r="K120" s="35"/>
      <c r="L120" s="35"/>
      <c r="M120" s="35"/>
      <c r="N120" s="49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  <c r="HM120" s="35"/>
      <c r="HN120" s="35"/>
      <c r="HO120" s="35"/>
      <c r="HP120" s="35"/>
      <c r="HQ120" s="35"/>
      <c r="HR120" s="35"/>
      <c r="HS120" s="35"/>
      <c r="HT120" s="35"/>
      <c r="HU120" s="35"/>
      <c r="HV120" s="35"/>
      <c r="HW120" s="35"/>
      <c r="HX120" s="35"/>
      <c r="HY120" s="35"/>
      <c r="HZ120" s="35"/>
      <c r="IA120" s="35"/>
      <c r="IB120" s="35"/>
      <c r="IC120" s="35"/>
      <c r="ID120" s="35"/>
      <c r="IE120" s="35"/>
      <c r="IF120" s="35"/>
      <c r="IG120" s="35"/>
      <c r="IH120" s="35"/>
      <c r="II120" s="35"/>
      <c r="IJ120" s="35"/>
      <c r="IK120" s="35"/>
      <c r="IL120" s="35"/>
      <c r="IM120" s="35"/>
      <c r="IN120" s="35"/>
      <c r="IO120" s="35"/>
      <c r="IP120" s="35"/>
      <c r="IQ120" s="35"/>
      <c r="IR120" s="35"/>
      <c r="IS120" s="35"/>
      <c r="IT120" s="35"/>
      <c r="IU120" s="35"/>
      <c r="IV120" s="35"/>
      <c r="IW120" s="35"/>
      <c r="IX120" s="35"/>
      <c r="IY120" s="35"/>
      <c r="IZ120" s="35"/>
      <c r="JA120" s="35"/>
      <c r="JB120" s="35"/>
      <c r="JC120" s="35"/>
      <c r="JD120" s="35"/>
      <c r="JE120" s="35"/>
      <c r="JF120" s="35"/>
      <c r="JG120" s="35"/>
      <c r="JH120" s="35"/>
      <c r="JI120" s="35"/>
      <c r="JJ120" s="35"/>
      <c r="JK120" s="35"/>
      <c r="JL120" s="35"/>
      <c r="JM120" s="35"/>
      <c r="JN120" s="35"/>
      <c r="JO120" s="35"/>
      <c r="JP120" s="35"/>
      <c r="JQ120" s="35"/>
      <c r="JR120" s="35"/>
      <c r="JS120" s="35"/>
      <c r="JT120" s="35"/>
      <c r="JU120" s="35"/>
      <c r="JV120" s="35"/>
      <c r="JW120" s="35"/>
      <c r="JX120" s="35"/>
      <c r="JY120" s="35"/>
      <c r="JZ120" s="35"/>
      <c r="KA120" s="35"/>
      <c r="KB120" s="35"/>
      <c r="KC120" s="35"/>
      <c r="KD120" s="35"/>
      <c r="KE120" s="35"/>
      <c r="KF120" s="35"/>
      <c r="KG120" s="35"/>
      <c r="KH120" s="35"/>
      <c r="KI120" s="35"/>
      <c r="KJ120" s="35"/>
      <c r="KK120" s="35"/>
      <c r="KL120" s="35"/>
      <c r="KM120" s="35"/>
      <c r="KN120" s="35"/>
      <c r="KO120" s="35"/>
      <c r="KP120" s="35"/>
      <c r="KQ120" s="35"/>
      <c r="KR120" s="35"/>
      <c r="KS120" s="35"/>
      <c r="KT120" s="35"/>
      <c r="KU120" s="35"/>
      <c r="KV120" s="35"/>
      <c r="KW120" s="35"/>
      <c r="KX120" s="35"/>
      <c r="KY120" s="35"/>
      <c r="KZ120" s="35"/>
      <c r="LA120" s="35"/>
      <c r="LB120" s="35"/>
      <c r="LC120" s="35"/>
      <c r="LD120" s="35"/>
      <c r="LE120" s="35"/>
      <c r="LF120" s="35"/>
      <c r="LG120" s="35"/>
      <c r="LH120" s="35"/>
      <c r="LI120" s="35"/>
      <c r="LJ120" s="35"/>
      <c r="LK120" s="35"/>
      <c r="LL120" s="35"/>
      <c r="LM120" s="35"/>
      <c r="LN120" s="35"/>
      <c r="LO120" s="35"/>
      <c r="LP120" s="35"/>
      <c r="LQ120" s="35"/>
      <c r="LR120" s="35"/>
      <c r="LS120" s="35"/>
      <c r="LT120" s="35"/>
      <c r="LU120" s="35"/>
      <c r="LV120" s="35"/>
      <c r="LW120" s="35"/>
      <c r="LX120" s="35"/>
      <c r="LY120" s="35"/>
      <c r="LZ120" s="35"/>
      <c r="MA120" s="35"/>
      <c r="MB120" s="35"/>
      <c r="MC120" s="35"/>
      <c r="MD120" s="35"/>
      <c r="ME120" s="35"/>
      <c r="MF120" s="35"/>
      <c r="MG120" s="35"/>
      <c r="MH120" s="35"/>
      <c r="MI120" s="35"/>
      <c r="MJ120" s="35"/>
      <c r="MK120" s="35"/>
      <c r="ML120" s="35"/>
      <c r="MM120" s="35"/>
    </row>
    <row r="121" spans="1:351" x14ac:dyDescent="0.4">
      <c r="A121" s="30">
        <v>115</v>
      </c>
      <c r="B121" s="365"/>
      <c r="C121" s="40"/>
      <c r="D121" s="44" t="s">
        <v>75</v>
      </c>
      <c r="E121" s="30">
        <f t="shared" si="22"/>
        <v>0</v>
      </c>
      <c r="F121" s="37"/>
      <c r="G121" s="35"/>
      <c r="H121" s="35"/>
      <c r="I121" s="35"/>
      <c r="J121" s="35"/>
      <c r="K121" s="35"/>
      <c r="L121" s="35"/>
      <c r="M121" s="35"/>
      <c r="N121" s="49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35"/>
      <c r="HE121" s="35"/>
      <c r="HF121" s="35"/>
      <c r="HG121" s="35"/>
      <c r="HH121" s="35"/>
      <c r="HI121" s="35"/>
      <c r="HJ121" s="35"/>
      <c r="HK121" s="35"/>
      <c r="HL121" s="35"/>
      <c r="HM121" s="35"/>
      <c r="HN121" s="35"/>
      <c r="HO121" s="35"/>
      <c r="HP121" s="35"/>
      <c r="HQ121" s="35"/>
      <c r="HR121" s="35"/>
      <c r="HS121" s="35"/>
      <c r="HT121" s="35"/>
      <c r="HU121" s="35"/>
      <c r="HV121" s="35"/>
      <c r="HW121" s="35"/>
      <c r="HX121" s="35"/>
      <c r="HY121" s="35"/>
      <c r="HZ121" s="35"/>
      <c r="IA121" s="35"/>
      <c r="IB121" s="35"/>
      <c r="IC121" s="35"/>
      <c r="ID121" s="35"/>
      <c r="IE121" s="35"/>
      <c r="IF121" s="35"/>
      <c r="IG121" s="35"/>
      <c r="IH121" s="35"/>
      <c r="II121" s="35"/>
      <c r="IJ121" s="35"/>
      <c r="IK121" s="35"/>
      <c r="IL121" s="35"/>
      <c r="IM121" s="35"/>
      <c r="IN121" s="35"/>
      <c r="IO121" s="35"/>
      <c r="IP121" s="35"/>
      <c r="IQ121" s="35"/>
      <c r="IR121" s="35"/>
      <c r="IS121" s="35"/>
      <c r="IT121" s="35"/>
      <c r="IU121" s="35"/>
      <c r="IV121" s="35"/>
      <c r="IW121" s="35"/>
      <c r="IX121" s="35"/>
      <c r="IY121" s="35"/>
      <c r="IZ121" s="35"/>
      <c r="JA121" s="35"/>
      <c r="JB121" s="35"/>
      <c r="JC121" s="35"/>
      <c r="JD121" s="35"/>
      <c r="JE121" s="35"/>
      <c r="JF121" s="35"/>
      <c r="JG121" s="35"/>
      <c r="JH121" s="35"/>
      <c r="JI121" s="35"/>
      <c r="JJ121" s="35"/>
      <c r="JK121" s="35"/>
      <c r="JL121" s="35"/>
      <c r="JM121" s="35"/>
      <c r="JN121" s="35"/>
      <c r="JO121" s="35"/>
      <c r="JP121" s="35"/>
      <c r="JQ121" s="35"/>
      <c r="JR121" s="35"/>
      <c r="JS121" s="35"/>
      <c r="JT121" s="35"/>
      <c r="JU121" s="35"/>
      <c r="JV121" s="35"/>
      <c r="JW121" s="35"/>
      <c r="JX121" s="35"/>
      <c r="JY121" s="35"/>
      <c r="JZ121" s="35"/>
      <c r="KA121" s="35"/>
      <c r="KB121" s="35"/>
      <c r="KC121" s="35"/>
      <c r="KD121" s="35"/>
      <c r="KE121" s="35"/>
      <c r="KF121" s="35"/>
      <c r="KG121" s="35"/>
      <c r="KH121" s="35"/>
      <c r="KI121" s="35"/>
      <c r="KJ121" s="35"/>
      <c r="KK121" s="35"/>
      <c r="KL121" s="35"/>
      <c r="KM121" s="35"/>
      <c r="KN121" s="35"/>
      <c r="KO121" s="35"/>
      <c r="KP121" s="35"/>
      <c r="KQ121" s="35"/>
      <c r="KR121" s="35"/>
      <c r="KS121" s="35"/>
      <c r="KT121" s="35"/>
      <c r="KU121" s="35"/>
      <c r="KV121" s="35"/>
      <c r="KW121" s="35"/>
      <c r="KX121" s="35"/>
      <c r="KY121" s="35"/>
      <c r="KZ121" s="35"/>
      <c r="LA121" s="35"/>
      <c r="LB121" s="35"/>
      <c r="LC121" s="35"/>
      <c r="LD121" s="35"/>
      <c r="LE121" s="35"/>
      <c r="LF121" s="35"/>
      <c r="LG121" s="35"/>
      <c r="LH121" s="35"/>
      <c r="LI121" s="35"/>
      <c r="LJ121" s="35"/>
      <c r="LK121" s="35"/>
      <c r="LL121" s="35"/>
      <c r="LM121" s="35"/>
      <c r="LN121" s="35"/>
      <c r="LO121" s="35"/>
      <c r="LP121" s="35"/>
      <c r="LQ121" s="35"/>
      <c r="LR121" s="35"/>
      <c r="LS121" s="35"/>
      <c r="LT121" s="35"/>
      <c r="LU121" s="35"/>
      <c r="LV121" s="35"/>
      <c r="LW121" s="35"/>
      <c r="LX121" s="35"/>
      <c r="LY121" s="35"/>
      <c r="LZ121" s="35"/>
      <c r="MA121" s="35"/>
      <c r="MB121" s="35"/>
      <c r="MC121" s="35"/>
      <c r="MD121" s="35"/>
      <c r="ME121" s="35"/>
      <c r="MF121" s="35"/>
      <c r="MG121" s="35"/>
      <c r="MH121" s="35"/>
      <c r="MI121" s="35"/>
      <c r="MJ121" s="35"/>
      <c r="MK121" s="35"/>
      <c r="ML121" s="35"/>
      <c r="MM121" s="35"/>
    </row>
    <row r="122" spans="1:351" x14ac:dyDescent="0.4">
      <c r="A122" s="30">
        <v>116</v>
      </c>
      <c r="B122" s="366"/>
      <c r="C122" s="41"/>
      <c r="D122" s="44" t="s">
        <v>87</v>
      </c>
      <c r="E122" s="30">
        <f t="shared" si="22"/>
        <v>0</v>
      </c>
      <c r="F122" s="37"/>
      <c r="G122" s="35"/>
      <c r="H122" s="35"/>
      <c r="I122" s="35"/>
      <c r="J122" s="35"/>
      <c r="K122" s="35"/>
      <c r="L122" s="35"/>
      <c r="M122" s="35"/>
      <c r="N122" s="49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5"/>
      <c r="GE122" s="35"/>
      <c r="GF122" s="35"/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35"/>
      <c r="HF122" s="35"/>
      <c r="HG122" s="35"/>
      <c r="HH122" s="35"/>
      <c r="HI122" s="35"/>
      <c r="HJ122" s="35"/>
      <c r="HK122" s="35"/>
      <c r="HL122" s="35"/>
      <c r="HM122" s="35"/>
      <c r="HN122" s="35"/>
      <c r="HO122" s="35"/>
      <c r="HP122" s="35"/>
      <c r="HQ122" s="35"/>
      <c r="HR122" s="35"/>
      <c r="HS122" s="35"/>
      <c r="HT122" s="35"/>
      <c r="HU122" s="35"/>
      <c r="HV122" s="35"/>
      <c r="HW122" s="35"/>
      <c r="HX122" s="35"/>
      <c r="HY122" s="35"/>
      <c r="HZ122" s="35"/>
      <c r="IA122" s="35"/>
      <c r="IB122" s="35"/>
      <c r="IC122" s="35"/>
      <c r="ID122" s="35"/>
      <c r="IE122" s="35"/>
      <c r="IF122" s="35"/>
      <c r="IG122" s="35"/>
      <c r="IH122" s="35"/>
      <c r="II122" s="35"/>
      <c r="IJ122" s="35"/>
      <c r="IK122" s="35"/>
      <c r="IL122" s="35"/>
      <c r="IM122" s="35"/>
      <c r="IN122" s="35"/>
      <c r="IO122" s="35"/>
      <c r="IP122" s="35"/>
      <c r="IQ122" s="35"/>
      <c r="IR122" s="35"/>
      <c r="IS122" s="35"/>
      <c r="IT122" s="35"/>
      <c r="IU122" s="35"/>
      <c r="IV122" s="35"/>
      <c r="IW122" s="35"/>
      <c r="IX122" s="35"/>
      <c r="IY122" s="35"/>
      <c r="IZ122" s="35"/>
      <c r="JA122" s="35"/>
      <c r="JB122" s="35"/>
      <c r="JC122" s="35"/>
      <c r="JD122" s="35"/>
      <c r="JE122" s="35"/>
      <c r="JF122" s="35"/>
      <c r="JG122" s="35"/>
      <c r="JH122" s="35"/>
      <c r="JI122" s="35"/>
      <c r="JJ122" s="35"/>
      <c r="JK122" s="35"/>
      <c r="JL122" s="35"/>
      <c r="JM122" s="35"/>
      <c r="JN122" s="35"/>
      <c r="JO122" s="35"/>
      <c r="JP122" s="35"/>
      <c r="JQ122" s="35"/>
      <c r="JR122" s="35"/>
      <c r="JS122" s="35"/>
      <c r="JT122" s="35"/>
      <c r="JU122" s="35"/>
      <c r="JV122" s="35"/>
      <c r="JW122" s="35"/>
      <c r="JX122" s="35"/>
      <c r="JY122" s="35"/>
      <c r="JZ122" s="35"/>
      <c r="KA122" s="35"/>
      <c r="KB122" s="35"/>
      <c r="KC122" s="35"/>
      <c r="KD122" s="35"/>
      <c r="KE122" s="35"/>
      <c r="KF122" s="35"/>
      <c r="KG122" s="35"/>
      <c r="KH122" s="35"/>
      <c r="KI122" s="35"/>
      <c r="KJ122" s="35"/>
      <c r="KK122" s="35"/>
      <c r="KL122" s="35"/>
      <c r="KM122" s="35"/>
      <c r="KN122" s="35"/>
      <c r="KO122" s="35"/>
      <c r="KP122" s="35"/>
      <c r="KQ122" s="35"/>
      <c r="KR122" s="35"/>
      <c r="KS122" s="35"/>
      <c r="KT122" s="35"/>
      <c r="KU122" s="35"/>
      <c r="KV122" s="35"/>
      <c r="KW122" s="35"/>
      <c r="KX122" s="35"/>
      <c r="KY122" s="35"/>
      <c r="KZ122" s="35"/>
      <c r="LA122" s="35"/>
      <c r="LB122" s="35"/>
      <c r="LC122" s="35"/>
      <c r="LD122" s="35"/>
      <c r="LE122" s="35"/>
      <c r="LF122" s="35"/>
      <c r="LG122" s="35"/>
      <c r="LH122" s="35"/>
      <c r="LI122" s="35"/>
      <c r="LJ122" s="35"/>
      <c r="LK122" s="35"/>
      <c r="LL122" s="35"/>
      <c r="LM122" s="35"/>
      <c r="LN122" s="35"/>
      <c r="LO122" s="35"/>
      <c r="LP122" s="35"/>
      <c r="LQ122" s="35"/>
      <c r="LR122" s="35"/>
      <c r="LS122" s="35"/>
      <c r="LT122" s="35"/>
      <c r="LU122" s="35"/>
      <c r="LV122" s="35"/>
      <c r="LW122" s="35"/>
      <c r="LX122" s="35"/>
      <c r="LY122" s="35"/>
      <c r="LZ122" s="35"/>
      <c r="MA122" s="35"/>
      <c r="MB122" s="35"/>
      <c r="MC122" s="35"/>
      <c r="MD122" s="35"/>
      <c r="ME122" s="35"/>
      <c r="MF122" s="35"/>
      <c r="MG122" s="35"/>
      <c r="MH122" s="35"/>
      <c r="MI122" s="35"/>
      <c r="MJ122" s="35"/>
      <c r="MK122" s="35"/>
      <c r="ML122" s="35"/>
      <c r="MM122" s="35"/>
    </row>
    <row r="123" spans="1:351" x14ac:dyDescent="0.4">
      <c r="A123" s="30">
        <v>117</v>
      </c>
      <c r="B123" s="366"/>
      <c r="C123" s="41"/>
      <c r="D123" s="44" t="s">
        <v>88</v>
      </c>
      <c r="E123" s="30">
        <f t="shared" si="22"/>
        <v>0</v>
      </c>
      <c r="F123" s="37"/>
      <c r="G123" s="35"/>
      <c r="H123" s="35"/>
      <c r="I123" s="35"/>
      <c r="J123" s="35"/>
      <c r="K123" s="35"/>
      <c r="L123" s="35"/>
      <c r="M123" s="35"/>
      <c r="N123" s="49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  <c r="HM123" s="35"/>
      <c r="HN123" s="35"/>
      <c r="HO123" s="35"/>
      <c r="HP123" s="35"/>
      <c r="HQ123" s="35"/>
      <c r="HR123" s="35"/>
      <c r="HS123" s="35"/>
      <c r="HT123" s="35"/>
      <c r="HU123" s="35"/>
      <c r="HV123" s="35"/>
      <c r="HW123" s="35"/>
      <c r="HX123" s="35"/>
      <c r="HY123" s="35"/>
      <c r="HZ123" s="35"/>
      <c r="IA123" s="35"/>
      <c r="IB123" s="35"/>
      <c r="IC123" s="35"/>
      <c r="ID123" s="35"/>
      <c r="IE123" s="35"/>
      <c r="IF123" s="35"/>
      <c r="IG123" s="35"/>
      <c r="IH123" s="35"/>
      <c r="II123" s="35"/>
      <c r="IJ123" s="35"/>
      <c r="IK123" s="35"/>
      <c r="IL123" s="35"/>
      <c r="IM123" s="35"/>
      <c r="IN123" s="35"/>
      <c r="IO123" s="35"/>
      <c r="IP123" s="35"/>
      <c r="IQ123" s="35"/>
      <c r="IR123" s="35"/>
      <c r="IS123" s="35"/>
      <c r="IT123" s="35"/>
      <c r="IU123" s="35"/>
      <c r="IV123" s="35"/>
      <c r="IW123" s="35"/>
      <c r="IX123" s="35"/>
      <c r="IY123" s="35"/>
      <c r="IZ123" s="35"/>
      <c r="JA123" s="35"/>
      <c r="JB123" s="35"/>
      <c r="JC123" s="35"/>
      <c r="JD123" s="35"/>
      <c r="JE123" s="35"/>
      <c r="JF123" s="35"/>
      <c r="JG123" s="35"/>
      <c r="JH123" s="35"/>
      <c r="JI123" s="35"/>
      <c r="JJ123" s="35"/>
      <c r="JK123" s="35"/>
      <c r="JL123" s="35"/>
      <c r="JM123" s="35"/>
      <c r="JN123" s="35"/>
      <c r="JO123" s="35"/>
      <c r="JP123" s="35"/>
      <c r="JQ123" s="35"/>
      <c r="JR123" s="35"/>
      <c r="JS123" s="35"/>
      <c r="JT123" s="35"/>
      <c r="JU123" s="35"/>
      <c r="JV123" s="35"/>
      <c r="JW123" s="35"/>
      <c r="JX123" s="35"/>
      <c r="JY123" s="35"/>
      <c r="JZ123" s="35"/>
      <c r="KA123" s="35"/>
      <c r="KB123" s="35"/>
      <c r="KC123" s="35"/>
      <c r="KD123" s="35"/>
      <c r="KE123" s="35"/>
      <c r="KF123" s="35"/>
      <c r="KG123" s="35"/>
      <c r="KH123" s="35"/>
      <c r="KI123" s="35"/>
      <c r="KJ123" s="35"/>
      <c r="KK123" s="35"/>
      <c r="KL123" s="35"/>
      <c r="KM123" s="35"/>
      <c r="KN123" s="35"/>
      <c r="KO123" s="35"/>
      <c r="KP123" s="35"/>
      <c r="KQ123" s="35"/>
      <c r="KR123" s="35"/>
      <c r="KS123" s="35"/>
      <c r="KT123" s="35"/>
      <c r="KU123" s="35"/>
      <c r="KV123" s="35"/>
      <c r="KW123" s="35"/>
      <c r="KX123" s="35"/>
      <c r="KY123" s="35"/>
      <c r="KZ123" s="35"/>
      <c r="LA123" s="35"/>
      <c r="LB123" s="35"/>
      <c r="LC123" s="35"/>
      <c r="LD123" s="35"/>
      <c r="LE123" s="35"/>
      <c r="LF123" s="35"/>
      <c r="LG123" s="35"/>
      <c r="LH123" s="35"/>
      <c r="LI123" s="35"/>
      <c r="LJ123" s="35"/>
      <c r="LK123" s="35"/>
      <c r="LL123" s="35"/>
      <c r="LM123" s="35"/>
      <c r="LN123" s="35"/>
      <c r="LO123" s="35"/>
      <c r="LP123" s="35"/>
      <c r="LQ123" s="35"/>
      <c r="LR123" s="35"/>
      <c r="LS123" s="35"/>
      <c r="LT123" s="35"/>
      <c r="LU123" s="35"/>
      <c r="LV123" s="35"/>
      <c r="LW123" s="35"/>
      <c r="LX123" s="35"/>
      <c r="LY123" s="35"/>
      <c r="LZ123" s="35"/>
      <c r="MA123" s="35"/>
      <c r="MB123" s="35"/>
      <c r="MC123" s="35"/>
      <c r="MD123" s="35"/>
      <c r="ME123" s="35"/>
      <c r="MF123" s="35"/>
      <c r="MG123" s="35"/>
      <c r="MH123" s="35"/>
      <c r="MI123" s="35"/>
      <c r="MJ123" s="35"/>
      <c r="MK123" s="35"/>
      <c r="ML123" s="35"/>
      <c r="MM123" s="35"/>
    </row>
    <row r="124" spans="1:351" x14ac:dyDescent="0.4">
      <c r="A124" s="30">
        <v>118</v>
      </c>
      <c r="B124" s="366"/>
      <c r="C124" s="41"/>
      <c r="D124" s="44" t="s">
        <v>89</v>
      </c>
      <c r="E124" s="30">
        <f t="shared" si="22"/>
        <v>0</v>
      </c>
      <c r="F124" s="37"/>
      <c r="G124" s="35"/>
      <c r="H124" s="35"/>
      <c r="I124" s="35"/>
      <c r="J124" s="35"/>
      <c r="K124" s="35"/>
      <c r="L124" s="35"/>
      <c r="M124" s="35"/>
      <c r="N124" s="49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  <c r="JF124" s="35"/>
      <c r="JG124" s="35"/>
      <c r="JH124" s="35"/>
      <c r="JI124" s="35"/>
      <c r="JJ124" s="35"/>
      <c r="JK124" s="35"/>
      <c r="JL124" s="35"/>
      <c r="JM124" s="35"/>
      <c r="JN124" s="35"/>
      <c r="JO124" s="35"/>
      <c r="JP124" s="35"/>
      <c r="JQ124" s="35"/>
      <c r="JR124" s="35"/>
      <c r="JS124" s="35"/>
      <c r="JT124" s="35"/>
      <c r="JU124" s="35"/>
      <c r="JV124" s="35"/>
      <c r="JW124" s="35"/>
      <c r="JX124" s="35"/>
      <c r="JY124" s="35"/>
      <c r="JZ124" s="35"/>
      <c r="KA124" s="35"/>
      <c r="KB124" s="35"/>
      <c r="KC124" s="35"/>
      <c r="KD124" s="35"/>
      <c r="KE124" s="35"/>
      <c r="KF124" s="35"/>
      <c r="KG124" s="35"/>
      <c r="KH124" s="35"/>
      <c r="KI124" s="35"/>
      <c r="KJ124" s="35"/>
      <c r="KK124" s="35"/>
      <c r="KL124" s="35"/>
      <c r="KM124" s="35"/>
      <c r="KN124" s="35"/>
      <c r="KO124" s="35"/>
      <c r="KP124" s="35"/>
      <c r="KQ124" s="35"/>
      <c r="KR124" s="35"/>
      <c r="KS124" s="35"/>
      <c r="KT124" s="35"/>
      <c r="KU124" s="35"/>
      <c r="KV124" s="35"/>
      <c r="KW124" s="35"/>
      <c r="KX124" s="35"/>
      <c r="KY124" s="35"/>
      <c r="KZ124" s="35"/>
      <c r="LA124" s="35"/>
      <c r="LB124" s="35"/>
      <c r="LC124" s="35"/>
      <c r="LD124" s="35"/>
      <c r="LE124" s="35"/>
      <c r="LF124" s="35"/>
      <c r="LG124" s="35"/>
      <c r="LH124" s="35"/>
      <c r="LI124" s="35"/>
      <c r="LJ124" s="35"/>
      <c r="LK124" s="35"/>
      <c r="LL124" s="35"/>
      <c r="LM124" s="35"/>
      <c r="LN124" s="35"/>
      <c r="LO124" s="35"/>
      <c r="LP124" s="35"/>
      <c r="LQ124" s="35"/>
      <c r="LR124" s="35"/>
      <c r="LS124" s="35"/>
      <c r="LT124" s="35"/>
      <c r="LU124" s="35"/>
      <c r="LV124" s="35"/>
      <c r="LW124" s="35"/>
      <c r="LX124" s="35"/>
      <c r="LY124" s="35"/>
      <c r="LZ124" s="35"/>
      <c r="MA124" s="35"/>
      <c r="MB124" s="35"/>
      <c r="MC124" s="35"/>
      <c r="MD124" s="35"/>
      <c r="ME124" s="35"/>
      <c r="MF124" s="35"/>
      <c r="MG124" s="35"/>
      <c r="MH124" s="35"/>
      <c r="MI124" s="35"/>
      <c r="MJ124" s="35"/>
      <c r="MK124" s="35"/>
      <c r="ML124" s="35"/>
      <c r="MM124" s="35"/>
    </row>
    <row r="125" spans="1:351" x14ac:dyDescent="0.4">
      <c r="A125" s="30">
        <v>119</v>
      </c>
      <c r="B125" s="366"/>
      <c r="C125" s="41"/>
      <c r="D125" s="44" t="s">
        <v>90</v>
      </c>
      <c r="E125" s="30">
        <f t="shared" si="22"/>
        <v>0</v>
      </c>
      <c r="F125" s="37"/>
      <c r="G125" s="35"/>
      <c r="H125" s="35"/>
      <c r="I125" s="35"/>
      <c r="J125" s="35"/>
      <c r="K125" s="35"/>
      <c r="L125" s="35"/>
      <c r="M125" s="35"/>
      <c r="N125" s="49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  <c r="JF125" s="35"/>
      <c r="JG125" s="35"/>
      <c r="JH125" s="35"/>
      <c r="JI125" s="35"/>
      <c r="JJ125" s="35"/>
      <c r="JK125" s="35"/>
      <c r="JL125" s="35"/>
      <c r="JM125" s="35"/>
      <c r="JN125" s="35"/>
      <c r="JO125" s="35"/>
      <c r="JP125" s="35"/>
      <c r="JQ125" s="35"/>
      <c r="JR125" s="35"/>
      <c r="JS125" s="35"/>
      <c r="JT125" s="35"/>
      <c r="JU125" s="35"/>
      <c r="JV125" s="35"/>
      <c r="JW125" s="35"/>
      <c r="JX125" s="35"/>
      <c r="JY125" s="35"/>
      <c r="JZ125" s="35"/>
      <c r="KA125" s="35"/>
      <c r="KB125" s="35"/>
      <c r="KC125" s="35"/>
      <c r="KD125" s="35"/>
      <c r="KE125" s="35"/>
      <c r="KF125" s="35"/>
      <c r="KG125" s="35"/>
      <c r="KH125" s="35"/>
      <c r="KI125" s="35"/>
      <c r="KJ125" s="35"/>
      <c r="KK125" s="35"/>
      <c r="KL125" s="35"/>
      <c r="KM125" s="35"/>
      <c r="KN125" s="35"/>
      <c r="KO125" s="35"/>
      <c r="KP125" s="35"/>
      <c r="KQ125" s="35"/>
      <c r="KR125" s="35"/>
      <c r="KS125" s="35"/>
      <c r="KT125" s="35"/>
      <c r="KU125" s="35"/>
      <c r="KV125" s="35"/>
      <c r="KW125" s="35"/>
      <c r="KX125" s="35"/>
      <c r="KY125" s="35"/>
      <c r="KZ125" s="35"/>
      <c r="LA125" s="35"/>
      <c r="LB125" s="35"/>
      <c r="LC125" s="35"/>
      <c r="LD125" s="35"/>
      <c r="LE125" s="35"/>
      <c r="LF125" s="35"/>
      <c r="LG125" s="35"/>
      <c r="LH125" s="35"/>
      <c r="LI125" s="35"/>
      <c r="LJ125" s="35"/>
      <c r="LK125" s="35"/>
      <c r="LL125" s="35"/>
      <c r="LM125" s="35"/>
      <c r="LN125" s="35"/>
      <c r="LO125" s="35"/>
      <c r="LP125" s="35"/>
      <c r="LQ125" s="35"/>
      <c r="LR125" s="35"/>
      <c r="LS125" s="35"/>
      <c r="LT125" s="35"/>
      <c r="LU125" s="35"/>
      <c r="LV125" s="35"/>
      <c r="LW125" s="35"/>
      <c r="LX125" s="35"/>
      <c r="LY125" s="35"/>
      <c r="LZ125" s="35"/>
      <c r="MA125" s="35"/>
      <c r="MB125" s="35"/>
      <c r="MC125" s="35"/>
      <c r="MD125" s="35"/>
      <c r="ME125" s="35"/>
      <c r="MF125" s="35"/>
      <c r="MG125" s="35"/>
      <c r="MH125" s="35"/>
      <c r="MI125" s="35"/>
      <c r="MJ125" s="35"/>
      <c r="MK125" s="35"/>
      <c r="ML125" s="35"/>
      <c r="MM125" s="35"/>
    </row>
    <row r="126" spans="1:351" x14ac:dyDescent="0.4">
      <c r="A126" s="30">
        <v>120</v>
      </c>
      <c r="B126" s="367"/>
      <c r="C126" s="42"/>
      <c r="D126" s="44" t="s">
        <v>91</v>
      </c>
      <c r="E126" s="30">
        <f t="shared" si="22"/>
        <v>0</v>
      </c>
      <c r="F126" s="37"/>
      <c r="G126" s="35"/>
      <c r="H126" s="35"/>
      <c r="I126" s="35"/>
      <c r="J126" s="35"/>
      <c r="K126" s="35"/>
      <c r="L126" s="35"/>
      <c r="M126" s="35"/>
      <c r="N126" s="49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  <c r="JF126" s="35"/>
      <c r="JG126" s="35"/>
      <c r="JH126" s="35"/>
      <c r="JI126" s="35"/>
      <c r="JJ126" s="35"/>
      <c r="JK126" s="35"/>
      <c r="JL126" s="35"/>
      <c r="JM126" s="35"/>
      <c r="JN126" s="35"/>
      <c r="JO126" s="35"/>
      <c r="JP126" s="35"/>
      <c r="JQ126" s="35"/>
      <c r="JR126" s="35"/>
      <c r="JS126" s="35"/>
      <c r="JT126" s="35"/>
      <c r="JU126" s="35"/>
      <c r="JV126" s="35"/>
      <c r="JW126" s="35"/>
      <c r="JX126" s="35"/>
      <c r="JY126" s="35"/>
      <c r="JZ126" s="35"/>
      <c r="KA126" s="35"/>
      <c r="KB126" s="35"/>
      <c r="KC126" s="35"/>
      <c r="KD126" s="35"/>
      <c r="KE126" s="35"/>
      <c r="KF126" s="35"/>
      <c r="KG126" s="35"/>
      <c r="KH126" s="35"/>
      <c r="KI126" s="35"/>
      <c r="KJ126" s="35"/>
      <c r="KK126" s="35"/>
      <c r="KL126" s="35"/>
      <c r="KM126" s="35"/>
      <c r="KN126" s="35"/>
      <c r="KO126" s="35"/>
      <c r="KP126" s="35"/>
      <c r="KQ126" s="35"/>
      <c r="KR126" s="35"/>
      <c r="KS126" s="35"/>
      <c r="KT126" s="35"/>
      <c r="KU126" s="35"/>
      <c r="KV126" s="35"/>
      <c r="KW126" s="35"/>
      <c r="KX126" s="35"/>
      <c r="KY126" s="35"/>
      <c r="KZ126" s="35"/>
      <c r="LA126" s="35"/>
      <c r="LB126" s="35"/>
      <c r="LC126" s="35"/>
      <c r="LD126" s="35"/>
      <c r="LE126" s="35"/>
      <c r="LF126" s="35"/>
      <c r="LG126" s="35"/>
      <c r="LH126" s="35"/>
      <c r="LI126" s="35"/>
      <c r="LJ126" s="35"/>
      <c r="LK126" s="35"/>
      <c r="LL126" s="35"/>
      <c r="LM126" s="35"/>
      <c r="LN126" s="35"/>
      <c r="LO126" s="35"/>
      <c r="LP126" s="35"/>
      <c r="LQ126" s="35"/>
      <c r="LR126" s="35"/>
      <c r="LS126" s="35"/>
      <c r="LT126" s="35"/>
      <c r="LU126" s="35"/>
      <c r="LV126" s="35"/>
      <c r="LW126" s="35"/>
      <c r="LX126" s="35"/>
      <c r="LY126" s="35"/>
      <c r="LZ126" s="35"/>
      <c r="MA126" s="35"/>
      <c r="MB126" s="35"/>
      <c r="MC126" s="35"/>
      <c r="MD126" s="35"/>
      <c r="ME126" s="35"/>
      <c r="MF126" s="35"/>
      <c r="MG126" s="35"/>
      <c r="MH126" s="35"/>
      <c r="MI126" s="35"/>
      <c r="MJ126" s="35"/>
      <c r="MK126" s="35"/>
      <c r="ML126" s="35"/>
      <c r="MM126" s="35"/>
    </row>
    <row r="127" spans="1:351" ht="12.65" customHeight="1" x14ac:dyDescent="0.4">
      <c r="A127" s="30">
        <v>121</v>
      </c>
      <c r="B127" s="365"/>
      <c r="C127" s="40"/>
      <c r="D127" s="44" t="s">
        <v>75</v>
      </c>
      <c r="E127" s="30">
        <f t="shared" si="22"/>
        <v>0</v>
      </c>
      <c r="F127" s="37">
        <f t="shared" ref="F127:F139" si="24">SUM(G127:MM127)</f>
        <v>0</v>
      </c>
      <c r="G127" s="35"/>
      <c r="H127" s="35"/>
      <c r="I127" s="35"/>
      <c r="J127" s="35"/>
      <c r="K127" s="35"/>
      <c r="L127" s="35"/>
      <c r="M127" s="35"/>
      <c r="N127" s="49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  <c r="HM127" s="35"/>
      <c r="HN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  <c r="HZ127" s="35"/>
      <c r="IA127" s="35"/>
      <c r="IB127" s="35"/>
      <c r="IC127" s="35"/>
      <c r="ID127" s="35"/>
      <c r="IE127" s="35"/>
      <c r="IF127" s="35"/>
      <c r="IG127" s="35"/>
      <c r="IH127" s="35"/>
      <c r="II127" s="35"/>
      <c r="IJ127" s="35"/>
      <c r="IK127" s="35"/>
      <c r="IL127" s="35"/>
      <c r="IM127" s="35"/>
      <c r="IN127" s="35"/>
      <c r="IO127" s="35"/>
      <c r="IP127" s="35"/>
      <c r="IQ127" s="35"/>
      <c r="IR127" s="35"/>
      <c r="IS127" s="35"/>
      <c r="IT127" s="35"/>
      <c r="IU127" s="35"/>
      <c r="IV127" s="35"/>
      <c r="IW127" s="35"/>
      <c r="IX127" s="35"/>
      <c r="IY127" s="35"/>
      <c r="IZ127" s="35"/>
      <c r="JA127" s="35"/>
      <c r="JB127" s="35"/>
      <c r="JC127" s="35"/>
      <c r="JD127" s="35"/>
      <c r="JE127" s="35"/>
      <c r="JF127" s="35"/>
      <c r="JG127" s="35"/>
      <c r="JH127" s="35"/>
      <c r="JI127" s="35"/>
      <c r="JJ127" s="35"/>
      <c r="JK127" s="35"/>
      <c r="JL127" s="35"/>
      <c r="JM127" s="35"/>
      <c r="JN127" s="35"/>
      <c r="JO127" s="35"/>
      <c r="JP127" s="35"/>
      <c r="JQ127" s="35"/>
      <c r="JR127" s="35"/>
      <c r="JS127" s="35"/>
      <c r="JT127" s="35"/>
      <c r="JU127" s="35"/>
      <c r="JV127" s="35"/>
      <c r="JW127" s="35"/>
      <c r="JX127" s="35"/>
      <c r="JY127" s="35"/>
      <c r="JZ127" s="35"/>
      <c r="KA127" s="35"/>
      <c r="KB127" s="35"/>
      <c r="KC127" s="35"/>
      <c r="KD127" s="35"/>
      <c r="KE127" s="35"/>
      <c r="KF127" s="35"/>
      <c r="KG127" s="35"/>
      <c r="KH127" s="35"/>
      <c r="KI127" s="35"/>
      <c r="KJ127" s="35"/>
      <c r="KK127" s="35"/>
      <c r="KL127" s="35"/>
      <c r="KM127" s="35"/>
      <c r="KN127" s="35"/>
      <c r="KO127" s="35"/>
      <c r="KP127" s="35"/>
      <c r="KQ127" s="35"/>
      <c r="KR127" s="35"/>
      <c r="KS127" s="35"/>
      <c r="KT127" s="35"/>
      <c r="KU127" s="35"/>
      <c r="KV127" s="35"/>
      <c r="KW127" s="35"/>
      <c r="KX127" s="35"/>
      <c r="KY127" s="35"/>
      <c r="KZ127" s="35"/>
      <c r="LA127" s="35"/>
      <c r="LB127" s="35"/>
      <c r="LC127" s="35"/>
      <c r="LD127" s="35"/>
      <c r="LE127" s="35"/>
      <c r="LF127" s="35"/>
      <c r="LG127" s="35"/>
      <c r="LH127" s="35"/>
      <c r="LI127" s="35"/>
      <c r="LJ127" s="35"/>
      <c r="LK127" s="35"/>
      <c r="LL127" s="35"/>
      <c r="LM127" s="35"/>
      <c r="LN127" s="35"/>
      <c r="LO127" s="35"/>
      <c r="LP127" s="35"/>
      <c r="LQ127" s="35"/>
      <c r="LR127" s="35"/>
      <c r="LS127" s="35"/>
      <c r="LT127" s="35"/>
      <c r="LU127" s="35"/>
      <c r="LV127" s="35"/>
      <c r="LW127" s="35"/>
      <c r="LX127" s="35"/>
      <c r="LY127" s="35"/>
      <c r="LZ127" s="35"/>
      <c r="MA127" s="35"/>
      <c r="MB127" s="35"/>
      <c r="MC127" s="35"/>
      <c r="MD127" s="35"/>
      <c r="ME127" s="35"/>
      <c r="MF127" s="35"/>
      <c r="MG127" s="35"/>
      <c r="MH127" s="35"/>
      <c r="MI127" s="35"/>
      <c r="MJ127" s="35"/>
      <c r="MK127" s="35"/>
      <c r="ML127" s="35"/>
      <c r="MM127" s="35"/>
    </row>
    <row r="128" spans="1:351" x14ac:dyDescent="0.4">
      <c r="A128" s="30">
        <v>122</v>
      </c>
      <c r="B128" s="366"/>
      <c r="C128" s="41"/>
      <c r="D128" s="44" t="s">
        <v>92</v>
      </c>
      <c r="E128" s="30">
        <f t="shared" si="22"/>
        <v>0</v>
      </c>
      <c r="F128" s="37">
        <f t="shared" si="24"/>
        <v>0</v>
      </c>
      <c r="G128" s="35"/>
      <c r="H128" s="35"/>
      <c r="I128" s="35"/>
      <c r="J128" s="35"/>
      <c r="K128" s="35"/>
      <c r="L128" s="35"/>
      <c r="M128" s="35"/>
      <c r="N128" s="49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L128" s="35"/>
      <c r="HM128" s="35"/>
      <c r="HN128" s="35"/>
      <c r="HO128" s="35"/>
      <c r="HP128" s="35"/>
      <c r="HQ128" s="35"/>
      <c r="HR128" s="35"/>
      <c r="HS128" s="35"/>
      <c r="HT128" s="35"/>
      <c r="HU128" s="35"/>
      <c r="HV128" s="35"/>
      <c r="HW128" s="35"/>
      <c r="HX128" s="35"/>
      <c r="HY128" s="35"/>
      <c r="HZ128" s="35"/>
      <c r="IA128" s="35"/>
      <c r="IB128" s="35"/>
      <c r="IC128" s="35"/>
      <c r="ID128" s="35"/>
      <c r="IE128" s="35"/>
      <c r="IF128" s="35"/>
      <c r="IG128" s="35"/>
      <c r="IH128" s="35"/>
      <c r="II128" s="35"/>
      <c r="IJ128" s="35"/>
      <c r="IK128" s="35"/>
      <c r="IL128" s="35"/>
      <c r="IM128" s="35"/>
      <c r="IN128" s="35"/>
      <c r="IO128" s="35"/>
      <c r="IP128" s="35"/>
      <c r="IQ128" s="35"/>
      <c r="IR128" s="35"/>
      <c r="IS128" s="35"/>
      <c r="IT128" s="35"/>
      <c r="IU128" s="35"/>
      <c r="IV128" s="35"/>
      <c r="IW128" s="35"/>
      <c r="IX128" s="35"/>
      <c r="IY128" s="35"/>
      <c r="IZ128" s="35"/>
      <c r="JA128" s="35"/>
      <c r="JB128" s="35"/>
      <c r="JC128" s="35"/>
      <c r="JD128" s="35"/>
      <c r="JE128" s="35"/>
      <c r="JF128" s="35"/>
      <c r="JG128" s="35"/>
      <c r="JH128" s="35"/>
      <c r="JI128" s="35"/>
      <c r="JJ128" s="35"/>
      <c r="JK128" s="35"/>
      <c r="JL128" s="35"/>
      <c r="JM128" s="35"/>
      <c r="JN128" s="35"/>
      <c r="JO128" s="35"/>
      <c r="JP128" s="35"/>
      <c r="JQ128" s="35"/>
      <c r="JR128" s="35"/>
      <c r="JS128" s="35"/>
      <c r="JT128" s="35"/>
      <c r="JU128" s="35"/>
      <c r="JV128" s="35"/>
      <c r="JW128" s="35"/>
      <c r="JX128" s="35"/>
      <c r="JY128" s="35"/>
      <c r="JZ128" s="35"/>
      <c r="KA128" s="35"/>
      <c r="KB128" s="35"/>
      <c r="KC128" s="35"/>
      <c r="KD128" s="35"/>
      <c r="KE128" s="35"/>
      <c r="KF128" s="35"/>
      <c r="KG128" s="35"/>
      <c r="KH128" s="35"/>
      <c r="KI128" s="35"/>
      <c r="KJ128" s="35"/>
      <c r="KK128" s="35"/>
      <c r="KL128" s="35"/>
      <c r="KM128" s="35"/>
      <c r="KN128" s="35"/>
      <c r="KO128" s="35"/>
      <c r="KP128" s="35"/>
      <c r="KQ128" s="35"/>
      <c r="KR128" s="35"/>
      <c r="KS128" s="35"/>
      <c r="KT128" s="35"/>
      <c r="KU128" s="35"/>
      <c r="KV128" s="35"/>
      <c r="KW128" s="35"/>
      <c r="KX128" s="35"/>
      <c r="KY128" s="35"/>
      <c r="KZ128" s="35"/>
      <c r="LA128" s="35"/>
      <c r="LB128" s="35"/>
      <c r="LC128" s="35"/>
      <c r="LD128" s="35"/>
      <c r="LE128" s="35"/>
      <c r="LF128" s="35"/>
      <c r="LG128" s="35"/>
      <c r="LH128" s="35"/>
      <c r="LI128" s="35"/>
      <c r="LJ128" s="35"/>
      <c r="LK128" s="35"/>
      <c r="LL128" s="35"/>
      <c r="LM128" s="35"/>
      <c r="LN128" s="35"/>
      <c r="LO128" s="35"/>
      <c r="LP128" s="35"/>
      <c r="LQ128" s="35"/>
      <c r="LR128" s="35"/>
      <c r="LS128" s="35"/>
      <c r="LT128" s="35"/>
      <c r="LU128" s="35"/>
      <c r="LV128" s="35"/>
      <c r="LW128" s="35"/>
      <c r="LX128" s="35"/>
      <c r="LY128" s="35"/>
      <c r="LZ128" s="35"/>
      <c r="MA128" s="35"/>
      <c r="MB128" s="35"/>
      <c r="MC128" s="35"/>
      <c r="MD128" s="35"/>
      <c r="ME128" s="35"/>
      <c r="MF128" s="35"/>
      <c r="MG128" s="35"/>
      <c r="MH128" s="35"/>
      <c r="MI128" s="35"/>
      <c r="MJ128" s="35"/>
      <c r="MK128" s="35"/>
      <c r="ML128" s="35"/>
      <c r="MM128" s="35"/>
    </row>
    <row r="129" spans="1:351" x14ac:dyDescent="0.4">
      <c r="A129" s="30">
        <v>123</v>
      </c>
      <c r="B129" s="366"/>
      <c r="C129" s="41"/>
      <c r="D129" s="44" t="s">
        <v>93</v>
      </c>
      <c r="E129" s="30">
        <f t="shared" si="22"/>
        <v>0</v>
      </c>
      <c r="F129" s="37">
        <f t="shared" si="24"/>
        <v>0</v>
      </c>
      <c r="G129" s="35"/>
      <c r="H129" s="35"/>
      <c r="I129" s="35"/>
      <c r="J129" s="35"/>
      <c r="K129" s="35"/>
      <c r="L129" s="35"/>
      <c r="M129" s="35"/>
      <c r="N129" s="49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  <c r="HM129" s="35"/>
      <c r="HN129" s="35"/>
      <c r="HO129" s="35"/>
      <c r="HP129" s="35"/>
      <c r="HQ129" s="35"/>
      <c r="HR129" s="35"/>
      <c r="HS129" s="35"/>
      <c r="HT129" s="35"/>
      <c r="HU129" s="35"/>
      <c r="HV129" s="35"/>
      <c r="HW129" s="35"/>
      <c r="HX129" s="35"/>
      <c r="HY129" s="35"/>
      <c r="HZ129" s="35"/>
      <c r="IA129" s="35"/>
      <c r="IB129" s="35"/>
      <c r="IC129" s="35"/>
      <c r="ID129" s="35"/>
      <c r="IE129" s="35"/>
      <c r="IF129" s="35"/>
      <c r="IG129" s="35"/>
      <c r="IH129" s="35"/>
      <c r="II129" s="35"/>
      <c r="IJ129" s="35"/>
      <c r="IK129" s="35"/>
      <c r="IL129" s="35"/>
      <c r="IM129" s="35"/>
      <c r="IN129" s="35"/>
      <c r="IO129" s="35"/>
      <c r="IP129" s="35"/>
      <c r="IQ129" s="35"/>
      <c r="IR129" s="35"/>
      <c r="IS129" s="35"/>
      <c r="IT129" s="35"/>
      <c r="IU129" s="35"/>
      <c r="IV129" s="35"/>
      <c r="IW129" s="35"/>
      <c r="IX129" s="35"/>
      <c r="IY129" s="35"/>
      <c r="IZ129" s="35"/>
      <c r="JA129" s="35"/>
      <c r="JB129" s="35"/>
      <c r="JC129" s="35"/>
      <c r="JD129" s="35"/>
      <c r="JE129" s="35"/>
      <c r="JF129" s="35"/>
      <c r="JG129" s="35"/>
      <c r="JH129" s="35"/>
      <c r="JI129" s="35"/>
      <c r="JJ129" s="35"/>
      <c r="JK129" s="35"/>
      <c r="JL129" s="35"/>
      <c r="JM129" s="35"/>
      <c r="JN129" s="35"/>
      <c r="JO129" s="35"/>
      <c r="JP129" s="35"/>
      <c r="JQ129" s="35"/>
      <c r="JR129" s="35"/>
      <c r="JS129" s="35"/>
      <c r="JT129" s="35"/>
      <c r="JU129" s="35"/>
      <c r="JV129" s="35"/>
      <c r="JW129" s="35"/>
      <c r="JX129" s="35"/>
      <c r="JY129" s="35"/>
      <c r="JZ129" s="35"/>
      <c r="KA129" s="35"/>
      <c r="KB129" s="35"/>
      <c r="KC129" s="35"/>
      <c r="KD129" s="35"/>
      <c r="KE129" s="35"/>
      <c r="KF129" s="35"/>
      <c r="KG129" s="35"/>
      <c r="KH129" s="35"/>
      <c r="KI129" s="35"/>
      <c r="KJ129" s="35"/>
      <c r="KK129" s="35"/>
      <c r="KL129" s="35"/>
      <c r="KM129" s="35"/>
      <c r="KN129" s="35"/>
      <c r="KO129" s="35"/>
      <c r="KP129" s="35"/>
      <c r="KQ129" s="35"/>
      <c r="KR129" s="35"/>
      <c r="KS129" s="35"/>
      <c r="KT129" s="35"/>
      <c r="KU129" s="35"/>
      <c r="KV129" s="35"/>
      <c r="KW129" s="35"/>
      <c r="KX129" s="35"/>
      <c r="KY129" s="35"/>
      <c r="KZ129" s="35"/>
      <c r="LA129" s="35"/>
      <c r="LB129" s="35"/>
      <c r="LC129" s="35"/>
      <c r="LD129" s="35"/>
      <c r="LE129" s="35"/>
      <c r="LF129" s="35"/>
      <c r="LG129" s="35"/>
      <c r="LH129" s="35"/>
      <c r="LI129" s="35"/>
      <c r="LJ129" s="35"/>
      <c r="LK129" s="35"/>
      <c r="LL129" s="35"/>
      <c r="LM129" s="35"/>
      <c r="LN129" s="35"/>
      <c r="LO129" s="35"/>
      <c r="LP129" s="35"/>
      <c r="LQ129" s="35"/>
      <c r="LR129" s="35"/>
      <c r="LS129" s="35"/>
      <c r="LT129" s="35"/>
      <c r="LU129" s="35"/>
      <c r="LV129" s="35"/>
      <c r="LW129" s="35"/>
      <c r="LX129" s="35"/>
      <c r="LY129" s="35"/>
      <c r="LZ129" s="35"/>
      <c r="MA129" s="35"/>
      <c r="MB129" s="35"/>
      <c r="MC129" s="35"/>
      <c r="MD129" s="35"/>
      <c r="ME129" s="35"/>
      <c r="MF129" s="35"/>
      <c r="MG129" s="35"/>
      <c r="MH129" s="35"/>
      <c r="MI129" s="35"/>
      <c r="MJ129" s="35"/>
      <c r="MK129" s="35"/>
      <c r="ML129" s="35"/>
      <c r="MM129" s="35"/>
    </row>
    <row r="130" spans="1:351" x14ac:dyDescent="0.4">
      <c r="A130" s="30">
        <v>124</v>
      </c>
      <c r="B130" s="367"/>
      <c r="C130" s="42"/>
      <c r="D130" s="44" t="s">
        <v>91</v>
      </c>
      <c r="E130" s="30">
        <f t="shared" si="22"/>
        <v>0</v>
      </c>
      <c r="F130" s="37">
        <f t="shared" si="24"/>
        <v>0</v>
      </c>
      <c r="G130" s="35"/>
      <c r="H130" s="35"/>
      <c r="I130" s="35"/>
      <c r="J130" s="35"/>
      <c r="K130" s="35"/>
      <c r="L130" s="35"/>
      <c r="M130" s="35"/>
      <c r="N130" s="49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  <c r="HM130" s="35"/>
      <c r="HN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  <c r="HZ130" s="35"/>
      <c r="IA130" s="35"/>
      <c r="IB130" s="35"/>
      <c r="IC130" s="35"/>
      <c r="ID130" s="35"/>
      <c r="IE130" s="35"/>
      <c r="IF130" s="35"/>
      <c r="IG130" s="35"/>
      <c r="IH130" s="35"/>
      <c r="II130" s="35"/>
      <c r="IJ130" s="35"/>
      <c r="IK130" s="35"/>
      <c r="IL130" s="35"/>
      <c r="IM130" s="35"/>
      <c r="IN130" s="35"/>
      <c r="IO130" s="35"/>
      <c r="IP130" s="35"/>
      <c r="IQ130" s="35"/>
      <c r="IR130" s="35"/>
      <c r="IS130" s="35"/>
      <c r="IT130" s="35"/>
      <c r="IU130" s="35"/>
      <c r="IV130" s="35"/>
      <c r="IW130" s="35"/>
      <c r="IX130" s="35"/>
      <c r="IY130" s="35"/>
      <c r="IZ130" s="35"/>
      <c r="JA130" s="35"/>
      <c r="JB130" s="35"/>
      <c r="JC130" s="35"/>
      <c r="JD130" s="35"/>
      <c r="JE130" s="35"/>
      <c r="JF130" s="35"/>
      <c r="JG130" s="35"/>
      <c r="JH130" s="35"/>
      <c r="JI130" s="35"/>
      <c r="JJ130" s="35"/>
      <c r="JK130" s="35"/>
      <c r="JL130" s="35"/>
      <c r="JM130" s="35"/>
      <c r="JN130" s="35"/>
      <c r="JO130" s="35"/>
      <c r="JP130" s="35"/>
      <c r="JQ130" s="35"/>
      <c r="JR130" s="35"/>
      <c r="JS130" s="35"/>
      <c r="JT130" s="35"/>
      <c r="JU130" s="35"/>
      <c r="JV130" s="35"/>
      <c r="JW130" s="35"/>
      <c r="JX130" s="35"/>
      <c r="JY130" s="35"/>
      <c r="JZ130" s="35"/>
      <c r="KA130" s="35"/>
      <c r="KB130" s="35"/>
      <c r="KC130" s="35"/>
      <c r="KD130" s="35"/>
      <c r="KE130" s="35"/>
      <c r="KF130" s="35"/>
      <c r="KG130" s="35"/>
      <c r="KH130" s="35"/>
      <c r="KI130" s="35"/>
      <c r="KJ130" s="35"/>
      <c r="KK130" s="35"/>
      <c r="KL130" s="35"/>
      <c r="KM130" s="35"/>
      <c r="KN130" s="35"/>
      <c r="KO130" s="35"/>
      <c r="KP130" s="35"/>
      <c r="KQ130" s="35"/>
      <c r="KR130" s="35"/>
      <c r="KS130" s="35"/>
      <c r="KT130" s="35"/>
      <c r="KU130" s="35"/>
      <c r="KV130" s="35"/>
      <c r="KW130" s="35"/>
      <c r="KX130" s="35"/>
      <c r="KY130" s="35"/>
      <c r="KZ130" s="35"/>
      <c r="LA130" s="35"/>
      <c r="LB130" s="35"/>
      <c r="LC130" s="35"/>
      <c r="LD130" s="35"/>
      <c r="LE130" s="35"/>
      <c r="LF130" s="35"/>
      <c r="LG130" s="35"/>
      <c r="LH130" s="35"/>
      <c r="LI130" s="35"/>
      <c r="LJ130" s="35"/>
      <c r="LK130" s="35"/>
      <c r="LL130" s="35"/>
      <c r="LM130" s="35"/>
      <c r="LN130" s="35"/>
      <c r="LO130" s="35"/>
      <c r="LP130" s="35"/>
      <c r="LQ130" s="35"/>
      <c r="LR130" s="35"/>
      <c r="LS130" s="35"/>
      <c r="LT130" s="35"/>
      <c r="LU130" s="35"/>
      <c r="LV130" s="35"/>
      <c r="LW130" s="35"/>
      <c r="LX130" s="35"/>
      <c r="LY130" s="35"/>
      <c r="LZ130" s="35"/>
      <c r="MA130" s="35"/>
      <c r="MB130" s="35"/>
      <c r="MC130" s="35"/>
      <c r="MD130" s="35"/>
      <c r="ME130" s="35"/>
      <c r="MF130" s="35"/>
      <c r="MG130" s="35"/>
      <c r="MH130" s="35"/>
      <c r="MI130" s="35"/>
      <c r="MJ130" s="35"/>
      <c r="MK130" s="35"/>
      <c r="ML130" s="35"/>
      <c r="MM130" s="35"/>
    </row>
    <row r="131" spans="1:351" x14ac:dyDescent="0.4">
      <c r="A131" s="30">
        <v>125</v>
      </c>
      <c r="B131" s="364"/>
      <c r="C131" s="33"/>
      <c r="D131" s="44" t="s">
        <v>75</v>
      </c>
      <c r="E131" s="30">
        <f t="shared" si="22"/>
        <v>0</v>
      </c>
      <c r="F131" s="37">
        <f t="shared" si="24"/>
        <v>0</v>
      </c>
      <c r="G131" s="35"/>
      <c r="H131" s="35"/>
      <c r="I131" s="35"/>
      <c r="J131" s="35"/>
      <c r="K131" s="35"/>
      <c r="L131" s="35"/>
      <c r="M131" s="35"/>
      <c r="N131" s="49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  <c r="JF131" s="35"/>
      <c r="JG131" s="35"/>
      <c r="JH131" s="35"/>
      <c r="JI131" s="35"/>
      <c r="JJ131" s="35"/>
      <c r="JK131" s="35"/>
      <c r="JL131" s="35"/>
      <c r="JM131" s="35"/>
      <c r="JN131" s="35"/>
      <c r="JO131" s="35"/>
      <c r="JP131" s="35"/>
      <c r="JQ131" s="35"/>
      <c r="JR131" s="35"/>
      <c r="JS131" s="35"/>
      <c r="JT131" s="35"/>
      <c r="JU131" s="35"/>
      <c r="JV131" s="35"/>
      <c r="JW131" s="35"/>
      <c r="JX131" s="35"/>
      <c r="JY131" s="35"/>
      <c r="JZ131" s="35"/>
      <c r="KA131" s="35"/>
      <c r="KB131" s="35"/>
      <c r="KC131" s="35"/>
      <c r="KD131" s="35"/>
      <c r="KE131" s="35"/>
      <c r="KF131" s="35"/>
      <c r="KG131" s="35"/>
      <c r="KH131" s="35"/>
      <c r="KI131" s="35"/>
      <c r="KJ131" s="35"/>
      <c r="KK131" s="35"/>
      <c r="KL131" s="35"/>
      <c r="KM131" s="35"/>
      <c r="KN131" s="35"/>
      <c r="KO131" s="35"/>
      <c r="KP131" s="35"/>
      <c r="KQ131" s="35"/>
      <c r="KR131" s="35"/>
      <c r="KS131" s="35"/>
      <c r="KT131" s="35"/>
      <c r="KU131" s="35"/>
      <c r="KV131" s="35"/>
      <c r="KW131" s="35"/>
      <c r="KX131" s="35"/>
      <c r="KY131" s="35"/>
      <c r="KZ131" s="35"/>
      <c r="LA131" s="35"/>
      <c r="LB131" s="35"/>
      <c r="LC131" s="35"/>
      <c r="LD131" s="35"/>
      <c r="LE131" s="35"/>
      <c r="LF131" s="35"/>
      <c r="LG131" s="35"/>
      <c r="LH131" s="35"/>
      <c r="LI131" s="35"/>
      <c r="LJ131" s="35"/>
      <c r="LK131" s="35"/>
      <c r="LL131" s="35"/>
      <c r="LM131" s="35"/>
      <c r="LN131" s="35"/>
      <c r="LO131" s="35"/>
      <c r="LP131" s="35"/>
      <c r="LQ131" s="35"/>
      <c r="LR131" s="35"/>
      <c r="LS131" s="35"/>
      <c r="LT131" s="35"/>
      <c r="LU131" s="35"/>
      <c r="LV131" s="35"/>
      <c r="LW131" s="35"/>
      <c r="LX131" s="35"/>
      <c r="LY131" s="35"/>
      <c r="LZ131" s="35"/>
      <c r="MA131" s="35"/>
      <c r="MB131" s="35"/>
      <c r="MC131" s="35"/>
      <c r="MD131" s="35"/>
      <c r="ME131" s="35"/>
      <c r="MF131" s="35"/>
      <c r="MG131" s="35"/>
      <c r="MH131" s="35"/>
      <c r="MI131" s="35"/>
      <c r="MJ131" s="35"/>
      <c r="MK131" s="35"/>
      <c r="ML131" s="35"/>
      <c r="MM131" s="35"/>
    </row>
    <row r="132" spans="1:351" x14ac:dyDescent="0.4">
      <c r="A132" s="30">
        <v>126</v>
      </c>
      <c r="B132" s="364"/>
      <c r="C132" s="33"/>
      <c r="D132" s="44" t="s">
        <v>92</v>
      </c>
      <c r="E132" s="30">
        <f t="shared" si="22"/>
        <v>0</v>
      </c>
      <c r="F132" s="37">
        <f t="shared" si="24"/>
        <v>0</v>
      </c>
      <c r="G132" s="35"/>
      <c r="H132" s="35"/>
      <c r="I132" s="35"/>
      <c r="J132" s="35"/>
      <c r="K132" s="35"/>
      <c r="L132" s="35"/>
      <c r="M132" s="35"/>
      <c r="N132" s="49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  <c r="HM132" s="35"/>
      <c r="HN132" s="35"/>
      <c r="HO132" s="35"/>
      <c r="HP132" s="35"/>
      <c r="HQ132" s="35"/>
      <c r="HR132" s="35"/>
      <c r="HS132" s="35"/>
      <c r="HT132" s="35"/>
      <c r="HU132" s="35"/>
      <c r="HV132" s="35"/>
      <c r="HW132" s="35"/>
      <c r="HX132" s="35"/>
      <c r="HY132" s="35"/>
      <c r="HZ132" s="35"/>
      <c r="IA132" s="35"/>
      <c r="IB132" s="35"/>
      <c r="IC132" s="35"/>
      <c r="ID132" s="35"/>
      <c r="IE132" s="35"/>
      <c r="IF132" s="35"/>
      <c r="IG132" s="35"/>
      <c r="IH132" s="35"/>
      <c r="II132" s="35"/>
      <c r="IJ132" s="35"/>
      <c r="IK132" s="35"/>
      <c r="IL132" s="35"/>
      <c r="IM132" s="35"/>
      <c r="IN132" s="35"/>
      <c r="IO132" s="35"/>
      <c r="IP132" s="35"/>
      <c r="IQ132" s="35"/>
      <c r="IR132" s="35"/>
      <c r="IS132" s="35"/>
      <c r="IT132" s="35"/>
      <c r="IU132" s="35"/>
      <c r="IV132" s="35"/>
      <c r="IW132" s="35"/>
      <c r="IX132" s="35"/>
      <c r="IY132" s="35"/>
      <c r="IZ132" s="35"/>
      <c r="JA132" s="35"/>
      <c r="JB132" s="35"/>
      <c r="JC132" s="35"/>
      <c r="JD132" s="35"/>
      <c r="JE132" s="35"/>
      <c r="JF132" s="35"/>
      <c r="JG132" s="35"/>
      <c r="JH132" s="35"/>
      <c r="JI132" s="35"/>
      <c r="JJ132" s="35"/>
      <c r="JK132" s="35"/>
      <c r="JL132" s="35"/>
      <c r="JM132" s="35"/>
      <c r="JN132" s="35"/>
      <c r="JO132" s="35"/>
      <c r="JP132" s="35"/>
      <c r="JQ132" s="35"/>
      <c r="JR132" s="35"/>
      <c r="JS132" s="35"/>
      <c r="JT132" s="35"/>
      <c r="JU132" s="35"/>
      <c r="JV132" s="35"/>
      <c r="JW132" s="35"/>
      <c r="JX132" s="35"/>
      <c r="JY132" s="35"/>
      <c r="JZ132" s="35"/>
      <c r="KA132" s="35"/>
      <c r="KB132" s="35"/>
      <c r="KC132" s="35"/>
      <c r="KD132" s="35"/>
      <c r="KE132" s="35"/>
      <c r="KF132" s="35"/>
      <c r="KG132" s="35"/>
      <c r="KH132" s="35"/>
      <c r="KI132" s="35"/>
      <c r="KJ132" s="35"/>
      <c r="KK132" s="35"/>
      <c r="KL132" s="35"/>
      <c r="KM132" s="35"/>
      <c r="KN132" s="35"/>
      <c r="KO132" s="35"/>
      <c r="KP132" s="35"/>
      <c r="KQ132" s="35"/>
      <c r="KR132" s="35"/>
      <c r="KS132" s="35"/>
      <c r="KT132" s="35"/>
      <c r="KU132" s="35"/>
      <c r="KV132" s="35"/>
      <c r="KW132" s="35"/>
      <c r="KX132" s="35"/>
      <c r="KY132" s="35"/>
      <c r="KZ132" s="35"/>
      <c r="LA132" s="35"/>
      <c r="LB132" s="35"/>
      <c r="LC132" s="35"/>
      <c r="LD132" s="35"/>
      <c r="LE132" s="35"/>
      <c r="LF132" s="35"/>
      <c r="LG132" s="35"/>
      <c r="LH132" s="35"/>
      <c r="LI132" s="35"/>
      <c r="LJ132" s="35"/>
      <c r="LK132" s="35"/>
      <c r="LL132" s="35"/>
      <c r="LM132" s="35"/>
      <c r="LN132" s="35"/>
      <c r="LO132" s="35"/>
      <c r="LP132" s="35"/>
      <c r="LQ132" s="35"/>
      <c r="LR132" s="35"/>
      <c r="LS132" s="35"/>
      <c r="LT132" s="35"/>
      <c r="LU132" s="35"/>
      <c r="LV132" s="35"/>
      <c r="LW132" s="35"/>
      <c r="LX132" s="35"/>
      <c r="LY132" s="35"/>
      <c r="LZ132" s="35"/>
      <c r="MA132" s="35"/>
      <c r="MB132" s="35"/>
      <c r="MC132" s="35"/>
      <c r="MD132" s="35"/>
      <c r="ME132" s="35"/>
      <c r="MF132" s="35"/>
      <c r="MG132" s="35"/>
      <c r="MH132" s="35"/>
      <c r="MI132" s="35"/>
      <c r="MJ132" s="35"/>
      <c r="MK132" s="35"/>
      <c r="ML132" s="35"/>
      <c r="MM132" s="35"/>
    </row>
    <row r="133" spans="1:351" x14ac:dyDescent="0.4">
      <c r="A133" s="30">
        <v>127</v>
      </c>
      <c r="B133" s="364"/>
      <c r="C133" s="33"/>
      <c r="D133" s="44" t="s">
        <v>93</v>
      </c>
      <c r="E133" s="30">
        <f t="shared" si="22"/>
        <v>0</v>
      </c>
      <c r="F133" s="37">
        <f t="shared" si="24"/>
        <v>0</v>
      </c>
      <c r="G133" s="35"/>
      <c r="H133" s="35"/>
      <c r="I133" s="35"/>
      <c r="J133" s="35"/>
      <c r="K133" s="35"/>
      <c r="L133" s="35"/>
      <c r="M133" s="35"/>
      <c r="N133" s="49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  <c r="JF133" s="35"/>
      <c r="JG133" s="35"/>
      <c r="JH133" s="35"/>
      <c r="JI133" s="35"/>
      <c r="JJ133" s="35"/>
      <c r="JK133" s="35"/>
      <c r="JL133" s="35"/>
      <c r="JM133" s="35"/>
      <c r="JN133" s="35"/>
      <c r="JO133" s="35"/>
      <c r="JP133" s="35"/>
      <c r="JQ133" s="35"/>
      <c r="JR133" s="35"/>
      <c r="JS133" s="35"/>
      <c r="JT133" s="35"/>
      <c r="JU133" s="35"/>
      <c r="JV133" s="35"/>
      <c r="JW133" s="35"/>
      <c r="JX133" s="35"/>
      <c r="JY133" s="35"/>
      <c r="JZ133" s="35"/>
      <c r="KA133" s="35"/>
      <c r="KB133" s="35"/>
      <c r="KC133" s="35"/>
      <c r="KD133" s="35"/>
      <c r="KE133" s="35"/>
      <c r="KF133" s="35"/>
      <c r="KG133" s="35"/>
      <c r="KH133" s="35"/>
      <c r="KI133" s="35"/>
      <c r="KJ133" s="35"/>
      <c r="KK133" s="35"/>
      <c r="KL133" s="35"/>
      <c r="KM133" s="35"/>
      <c r="KN133" s="35"/>
      <c r="KO133" s="35"/>
      <c r="KP133" s="35"/>
      <c r="KQ133" s="35"/>
      <c r="KR133" s="35"/>
      <c r="KS133" s="35"/>
      <c r="KT133" s="35"/>
      <c r="KU133" s="35"/>
      <c r="KV133" s="35"/>
      <c r="KW133" s="35"/>
      <c r="KX133" s="35"/>
      <c r="KY133" s="35"/>
      <c r="KZ133" s="35"/>
      <c r="LA133" s="35"/>
      <c r="LB133" s="35"/>
      <c r="LC133" s="35"/>
      <c r="LD133" s="35"/>
      <c r="LE133" s="35"/>
      <c r="LF133" s="35"/>
      <c r="LG133" s="35"/>
      <c r="LH133" s="35"/>
      <c r="LI133" s="35"/>
      <c r="LJ133" s="35"/>
      <c r="LK133" s="35"/>
      <c r="LL133" s="35"/>
      <c r="LM133" s="35"/>
      <c r="LN133" s="35"/>
      <c r="LO133" s="35"/>
      <c r="LP133" s="35"/>
      <c r="LQ133" s="35"/>
      <c r="LR133" s="35"/>
      <c r="LS133" s="35"/>
      <c r="LT133" s="35"/>
      <c r="LU133" s="35"/>
      <c r="LV133" s="35"/>
      <c r="LW133" s="35"/>
      <c r="LX133" s="35"/>
      <c r="LY133" s="35"/>
      <c r="LZ133" s="35"/>
      <c r="MA133" s="35"/>
      <c r="MB133" s="35"/>
      <c r="MC133" s="35"/>
      <c r="MD133" s="35"/>
      <c r="ME133" s="35"/>
      <c r="MF133" s="35"/>
      <c r="MG133" s="35"/>
      <c r="MH133" s="35"/>
      <c r="MI133" s="35"/>
      <c r="MJ133" s="35"/>
      <c r="MK133" s="35"/>
      <c r="ML133" s="35"/>
      <c r="MM133" s="35"/>
    </row>
    <row r="134" spans="1:351" x14ac:dyDescent="0.4">
      <c r="A134" s="30">
        <v>128</v>
      </c>
      <c r="B134" s="364"/>
      <c r="C134" s="33"/>
      <c r="D134" s="44" t="s">
        <v>75</v>
      </c>
      <c r="E134" s="30">
        <f t="shared" si="22"/>
        <v>0</v>
      </c>
      <c r="F134" s="37">
        <f t="shared" si="24"/>
        <v>0</v>
      </c>
      <c r="G134" s="35"/>
      <c r="H134" s="35"/>
      <c r="I134" s="35"/>
      <c r="J134" s="35"/>
      <c r="K134" s="35"/>
      <c r="L134" s="35"/>
      <c r="M134" s="35"/>
      <c r="N134" s="49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9"/>
      <c r="HE134" s="39"/>
      <c r="HF134" s="39"/>
      <c r="HG134" s="39"/>
      <c r="HH134" s="39"/>
      <c r="HI134" s="39"/>
      <c r="HJ134" s="39"/>
      <c r="HK134" s="39"/>
      <c r="HL134" s="39"/>
      <c r="HM134" s="39"/>
      <c r="HN134" s="39"/>
      <c r="HO134" s="39"/>
      <c r="HP134" s="39"/>
      <c r="HQ134" s="39"/>
      <c r="HR134" s="39"/>
      <c r="HS134" s="39"/>
      <c r="HT134" s="39"/>
      <c r="HU134" s="39"/>
      <c r="HV134" s="39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39"/>
      <c r="IV134" s="39"/>
      <c r="IW134" s="39"/>
      <c r="IX134" s="39"/>
      <c r="IY134" s="39"/>
      <c r="IZ134" s="39"/>
      <c r="JA134" s="39"/>
      <c r="JB134" s="39"/>
      <c r="JC134" s="39"/>
      <c r="JD134" s="39"/>
      <c r="JE134" s="39"/>
      <c r="JF134" s="39"/>
      <c r="JG134" s="39"/>
      <c r="JH134" s="39"/>
      <c r="JI134" s="39"/>
      <c r="JJ134" s="39"/>
      <c r="JK134" s="39"/>
      <c r="JL134" s="39"/>
      <c r="JM134" s="39"/>
      <c r="JN134" s="39"/>
      <c r="JO134" s="39"/>
      <c r="JP134" s="39"/>
      <c r="JQ134" s="39"/>
      <c r="JR134" s="39"/>
      <c r="JS134" s="39"/>
      <c r="JT134" s="39"/>
      <c r="JU134" s="39"/>
      <c r="JV134" s="39"/>
      <c r="JW134" s="39"/>
      <c r="JX134" s="39"/>
      <c r="JY134" s="39"/>
      <c r="JZ134" s="39"/>
      <c r="KA134" s="39"/>
      <c r="KB134" s="39"/>
      <c r="KC134" s="39"/>
      <c r="KD134" s="39"/>
      <c r="KE134" s="39"/>
      <c r="KF134" s="39"/>
      <c r="KG134" s="39"/>
      <c r="KH134" s="39"/>
      <c r="KI134" s="39"/>
      <c r="KJ134" s="39"/>
      <c r="KK134" s="39"/>
      <c r="KL134" s="39"/>
      <c r="KM134" s="39"/>
      <c r="KN134" s="39"/>
      <c r="KO134" s="39"/>
      <c r="KP134" s="39"/>
      <c r="KQ134" s="39"/>
      <c r="KR134" s="39"/>
      <c r="KS134" s="39"/>
      <c r="KT134" s="39"/>
      <c r="KU134" s="39"/>
      <c r="KV134" s="39"/>
      <c r="KW134" s="39"/>
      <c r="KX134" s="39"/>
      <c r="KY134" s="39"/>
      <c r="KZ134" s="39"/>
      <c r="LA134" s="39"/>
      <c r="LB134" s="39"/>
      <c r="LC134" s="39"/>
      <c r="LD134" s="39"/>
      <c r="LE134" s="39"/>
      <c r="LF134" s="39"/>
      <c r="LG134" s="39"/>
      <c r="LH134" s="39"/>
      <c r="LI134" s="39"/>
      <c r="LJ134" s="39"/>
      <c r="LK134" s="39"/>
      <c r="LL134" s="39"/>
      <c r="LM134" s="39"/>
      <c r="LN134" s="39"/>
      <c r="LO134" s="39"/>
      <c r="LP134" s="39"/>
      <c r="LQ134" s="39"/>
      <c r="LR134" s="39"/>
      <c r="LS134" s="39"/>
      <c r="LT134" s="39"/>
      <c r="LU134" s="39"/>
      <c r="LV134" s="39"/>
      <c r="LW134" s="39"/>
      <c r="LX134" s="39"/>
      <c r="LY134" s="39"/>
      <c r="LZ134" s="39"/>
      <c r="MA134" s="39"/>
      <c r="MB134" s="39"/>
      <c r="MC134" s="39"/>
      <c r="MD134" s="39"/>
      <c r="ME134" s="39"/>
      <c r="MF134" s="39"/>
      <c r="MG134" s="39"/>
      <c r="MH134" s="39"/>
      <c r="MI134" s="39"/>
      <c r="MJ134" s="39"/>
      <c r="MK134" s="39"/>
      <c r="ML134" s="35"/>
      <c r="MM134" s="35"/>
    </row>
    <row r="135" spans="1:351" x14ac:dyDescent="0.4">
      <c r="A135" s="30">
        <v>129</v>
      </c>
      <c r="B135" s="364"/>
      <c r="C135" s="33"/>
      <c r="D135" s="44" t="s">
        <v>92</v>
      </c>
      <c r="E135" s="30">
        <f t="shared" si="22"/>
        <v>0</v>
      </c>
      <c r="F135" s="37">
        <f t="shared" si="24"/>
        <v>0</v>
      </c>
      <c r="G135" s="35"/>
      <c r="H135" s="35"/>
      <c r="I135" s="35"/>
      <c r="J135" s="35"/>
      <c r="K135" s="35"/>
      <c r="L135" s="35"/>
      <c r="M135" s="35"/>
      <c r="N135" s="49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9"/>
      <c r="HE135" s="39"/>
      <c r="HF135" s="39"/>
      <c r="HG135" s="39"/>
      <c r="HH135" s="39"/>
      <c r="HI135" s="39"/>
      <c r="HJ135" s="39"/>
      <c r="HK135" s="39"/>
      <c r="HL135" s="39"/>
      <c r="HM135" s="39"/>
      <c r="HN135" s="39"/>
      <c r="HO135" s="39"/>
      <c r="HP135" s="39"/>
      <c r="HQ135" s="39"/>
      <c r="HR135" s="39"/>
      <c r="HS135" s="39"/>
      <c r="HT135" s="39"/>
      <c r="HU135" s="39"/>
      <c r="HV135" s="39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39"/>
      <c r="IV135" s="39"/>
      <c r="IW135" s="39"/>
      <c r="IX135" s="39"/>
      <c r="IY135" s="39"/>
      <c r="IZ135" s="39"/>
      <c r="JA135" s="39"/>
      <c r="JB135" s="39"/>
      <c r="JC135" s="39"/>
      <c r="JD135" s="39"/>
      <c r="JE135" s="39"/>
      <c r="JF135" s="39"/>
      <c r="JG135" s="39"/>
      <c r="JH135" s="39"/>
      <c r="JI135" s="39"/>
      <c r="JJ135" s="39"/>
      <c r="JK135" s="39"/>
      <c r="JL135" s="39"/>
      <c r="JM135" s="39"/>
      <c r="JN135" s="39"/>
      <c r="JO135" s="39"/>
      <c r="JP135" s="39"/>
      <c r="JQ135" s="39"/>
      <c r="JR135" s="39"/>
      <c r="JS135" s="39"/>
      <c r="JT135" s="39"/>
      <c r="JU135" s="39"/>
      <c r="JV135" s="39"/>
      <c r="JW135" s="39"/>
      <c r="JX135" s="39"/>
      <c r="JY135" s="39"/>
      <c r="JZ135" s="39"/>
      <c r="KA135" s="39"/>
      <c r="KB135" s="39"/>
      <c r="KC135" s="39"/>
      <c r="KD135" s="39"/>
      <c r="KE135" s="39"/>
      <c r="KF135" s="39"/>
      <c r="KG135" s="39"/>
      <c r="KH135" s="39"/>
      <c r="KI135" s="39"/>
      <c r="KJ135" s="39"/>
      <c r="KK135" s="39"/>
      <c r="KL135" s="39"/>
      <c r="KM135" s="39"/>
      <c r="KN135" s="39"/>
      <c r="KO135" s="39"/>
      <c r="KP135" s="39"/>
      <c r="KQ135" s="39"/>
      <c r="KR135" s="39"/>
      <c r="KS135" s="39"/>
      <c r="KT135" s="39"/>
      <c r="KU135" s="39"/>
      <c r="KV135" s="39"/>
      <c r="KW135" s="39"/>
      <c r="KX135" s="39"/>
      <c r="KY135" s="39"/>
      <c r="KZ135" s="39"/>
      <c r="LA135" s="39"/>
      <c r="LB135" s="39"/>
      <c r="LC135" s="39"/>
      <c r="LD135" s="39"/>
      <c r="LE135" s="39"/>
      <c r="LF135" s="39"/>
      <c r="LG135" s="39"/>
      <c r="LH135" s="39"/>
      <c r="LI135" s="39"/>
      <c r="LJ135" s="39"/>
      <c r="LK135" s="39"/>
      <c r="LL135" s="39"/>
      <c r="LM135" s="39"/>
      <c r="LN135" s="39"/>
      <c r="LO135" s="39"/>
      <c r="LP135" s="39"/>
      <c r="LQ135" s="39"/>
      <c r="LR135" s="39"/>
      <c r="LS135" s="39"/>
      <c r="LT135" s="39"/>
      <c r="LU135" s="39"/>
      <c r="LV135" s="39"/>
      <c r="LW135" s="39"/>
      <c r="LX135" s="39"/>
      <c r="LY135" s="39"/>
      <c r="LZ135" s="39"/>
      <c r="MA135" s="39"/>
      <c r="MB135" s="39"/>
      <c r="MC135" s="39"/>
      <c r="MD135" s="39"/>
      <c r="ME135" s="39"/>
      <c r="MF135" s="39"/>
      <c r="MG135" s="39"/>
      <c r="MH135" s="39"/>
      <c r="MI135" s="39"/>
      <c r="MJ135" s="39"/>
      <c r="MK135" s="39"/>
      <c r="ML135" s="35"/>
      <c r="MM135" s="35"/>
    </row>
    <row r="136" spans="1:351" x14ac:dyDescent="0.4">
      <c r="A136" s="30">
        <v>130</v>
      </c>
      <c r="B136" s="364"/>
      <c r="C136" s="33"/>
      <c r="D136" s="44" t="s">
        <v>93</v>
      </c>
      <c r="E136" s="30">
        <f t="shared" si="22"/>
        <v>0</v>
      </c>
      <c r="F136" s="37">
        <f t="shared" si="24"/>
        <v>0</v>
      </c>
      <c r="G136" s="35"/>
      <c r="H136" s="35"/>
      <c r="I136" s="35"/>
      <c r="J136" s="35"/>
      <c r="K136" s="35"/>
      <c r="L136" s="35"/>
      <c r="M136" s="35"/>
      <c r="N136" s="49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9"/>
      <c r="HE136" s="39"/>
      <c r="HF136" s="39"/>
      <c r="HG136" s="39"/>
      <c r="HH136" s="39"/>
      <c r="HI136" s="39"/>
      <c r="HJ136" s="39"/>
      <c r="HK136" s="39"/>
      <c r="HL136" s="39"/>
      <c r="HM136" s="39"/>
      <c r="HN136" s="39"/>
      <c r="HO136" s="39"/>
      <c r="HP136" s="39"/>
      <c r="HQ136" s="39"/>
      <c r="HR136" s="39"/>
      <c r="HS136" s="39"/>
      <c r="HT136" s="39"/>
      <c r="HU136" s="39"/>
      <c r="HV136" s="39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39"/>
      <c r="IV136" s="39"/>
      <c r="IW136" s="39"/>
      <c r="IX136" s="39"/>
      <c r="IY136" s="39"/>
      <c r="IZ136" s="39"/>
      <c r="JA136" s="39"/>
      <c r="JB136" s="39"/>
      <c r="JC136" s="39"/>
      <c r="JD136" s="39"/>
      <c r="JE136" s="39"/>
      <c r="JF136" s="39"/>
      <c r="JG136" s="39"/>
      <c r="JH136" s="39"/>
      <c r="JI136" s="39"/>
      <c r="JJ136" s="39"/>
      <c r="JK136" s="39"/>
      <c r="JL136" s="39"/>
      <c r="JM136" s="39"/>
      <c r="JN136" s="39"/>
      <c r="JO136" s="39"/>
      <c r="JP136" s="39"/>
      <c r="JQ136" s="39"/>
      <c r="JR136" s="39"/>
      <c r="JS136" s="39"/>
      <c r="JT136" s="39"/>
      <c r="JU136" s="39"/>
      <c r="JV136" s="39"/>
      <c r="JW136" s="39"/>
      <c r="JX136" s="39"/>
      <c r="JY136" s="39"/>
      <c r="JZ136" s="39"/>
      <c r="KA136" s="39"/>
      <c r="KB136" s="39"/>
      <c r="KC136" s="39"/>
      <c r="KD136" s="39"/>
      <c r="KE136" s="39"/>
      <c r="KF136" s="39"/>
      <c r="KG136" s="39"/>
      <c r="KH136" s="39"/>
      <c r="KI136" s="39"/>
      <c r="KJ136" s="39"/>
      <c r="KK136" s="39"/>
      <c r="KL136" s="39"/>
      <c r="KM136" s="39"/>
      <c r="KN136" s="39"/>
      <c r="KO136" s="39"/>
      <c r="KP136" s="39"/>
      <c r="KQ136" s="39"/>
      <c r="KR136" s="39"/>
      <c r="KS136" s="39"/>
      <c r="KT136" s="39"/>
      <c r="KU136" s="39"/>
      <c r="KV136" s="39"/>
      <c r="KW136" s="39"/>
      <c r="KX136" s="39"/>
      <c r="KY136" s="39"/>
      <c r="KZ136" s="39"/>
      <c r="LA136" s="39"/>
      <c r="LB136" s="39"/>
      <c r="LC136" s="39"/>
      <c r="LD136" s="39"/>
      <c r="LE136" s="39"/>
      <c r="LF136" s="39"/>
      <c r="LG136" s="39"/>
      <c r="LH136" s="39"/>
      <c r="LI136" s="39"/>
      <c r="LJ136" s="39"/>
      <c r="LK136" s="39"/>
      <c r="LL136" s="39"/>
      <c r="LM136" s="39"/>
      <c r="LN136" s="39"/>
      <c r="LO136" s="39"/>
      <c r="LP136" s="39"/>
      <c r="LQ136" s="39"/>
      <c r="LR136" s="39"/>
      <c r="LS136" s="39"/>
      <c r="LT136" s="39"/>
      <c r="LU136" s="39"/>
      <c r="LV136" s="39"/>
      <c r="LW136" s="39"/>
      <c r="LX136" s="39"/>
      <c r="LY136" s="39"/>
      <c r="LZ136" s="39"/>
      <c r="MA136" s="39"/>
      <c r="MB136" s="39"/>
      <c r="MC136" s="39"/>
      <c r="MD136" s="39"/>
      <c r="ME136" s="39"/>
      <c r="MF136" s="39"/>
      <c r="MG136" s="39"/>
      <c r="MH136" s="39"/>
      <c r="MI136" s="39"/>
      <c r="MJ136" s="39"/>
      <c r="MK136" s="39"/>
      <c r="ML136" s="35"/>
      <c r="MM136" s="35"/>
    </row>
    <row r="137" spans="1:351" x14ac:dyDescent="0.4">
      <c r="A137" s="30">
        <v>131</v>
      </c>
      <c r="B137" s="364"/>
      <c r="C137" s="33"/>
      <c r="D137" s="44" t="s">
        <v>75</v>
      </c>
      <c r="E137" s="30">
        <f t="shared" si="22"/>
        <v>0</v>
      </c>
      <c r="F137" s="37">
        <f t="shared" si="24"/>
        <v>0</v>
      </c>
      <c r="G137" s="35"/>
      <c r="H137" s="35"/>
      <c r="I137" s="35"/>
      <c r="J137" s="35"/>
      <c r="K137" s="35"/>
      <c r="L137" s="35"/>
      <c r="M137" s="35"/>
      <c r="N137" s="49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9"/>
      <c r="HE137" s="39"/>
      <c r="HF137" s="39"/>
      <c r="HG137" s="39"/>
      <c r="HH137" s="39"/>
      <c r="HI137" s="39"/>
      <c r="HJ137" s="39"/>
      <c r="HK137" s="39"/>
      <c r="HL137" s="39"/>
      <c r="HM137" s="39"/>
      <c r="HN137" s="39"/>
      <c r="HO137" s="39"/>
      <c r="HP137" s="39"/>
      <c r="HQ137" s="39"/>
      <c r="HR137" s="39"/>
      <c r="HS137" s="39"/>
      <c r="HT137" s="39"/>
      <c r="HU137" s="39"/>
      <c r="HV137" s="39"/>
      <c r="HW137" s="39"/>
      <c r="HX137" s="39"/>
      <c r="HY137" s="39"/>
      <c r="HZ137" s="39"/>
      <c r="IA137" s="39"/>
      <c r="IB137" s="39"/>
      <c r="IC137" s="39"/>
      <c r="ID137" s="39"/>
      <c r="IE137" s="39"/>
      <c r="IF137" s="39"/>
      <c r="IG137" s="39"/>
      <c r="IH137" s="39"/>
      <c r="II137" s="39"/>
      <c r="IJ137" s="39"/>
      <c r="IK137" s="39"/>
      <c r="IL137" s="39"/>
      <c r="IM137" s="39"/>
      <c r="IN137" s="39"/>
      <c r="IO137" s="39"/>
      <c r="IP137" s="39"/>
      <c r="IQ137" s="39"/>
      <c r="IR137" s="39"/>
      <c r="IS137" s="39"/>
      <c r="IT137" s="39"/>
      <c r="IU137" s="39"/>
      <c r="IV137" s="39"/>
      <c r="IW137" s="39"/>
      <c r="IX137" s="39"/>
      <c r="IY137" s="39"/>
      <c r="IZ137" s="39"/>
      <c r="JA137" s="39"/>
      <c r="JB137" s="39"/>
      <c r="JC137" s="39"/>
      <c r="JD137" s="39"/>
      <c r="JE137" s="39"/>
      <c r="JF137" s="39"/>
      <c r="JG137" s="39"/>
      <c r="JH137" s="39"/>
      <c r="JI137" s="39"/>
      <c r="JJ137" s="39"/>
      <c r="JK137" s="39"/>
      <c r="JL137" s="39"/>
      <c r="JM137" s="39"/>
      <c r="JN137" s="39"/>
      <c r="JO137" s="39"/>
      <c r="JP137" s="39"/>
      <c r="JQ137" s="39"/>
      <c r="JR137" s="39"/>
      <c r="JS137" s="39"/>
      <c r="JT137" s="39"/>
      <c r="JU137" s="39"/>
      <c r="JV137" s="39"/>
      <c r="JW137" s="39"/>
      <c r="JX137" s="39"/>
      <c r="JY137" s="39"/>
      <c r="JZ137" s="39"/>
      <c r="KA137" s="39"/>
      <c r="KB137" s="39"/>
      <c r="KC137" s="39"/>
      <c r="KD137" s="39"/>
      <c r="KE137" s="39"/>
      <c r="KF137" s="39"/>
      <c r="KG137" s="39"/>
      <c r="KH137" s="39"/>
      <c r="KI137" s="39"/>
      <c r="KJ137" s="39"/>
      <c r="KK137" s="39"/>
      <c r="KL137" s="39"/>
      <c r="KM137" s="39"/>
      <c r="KN137" s="39"/>
      <c r="KO137" s="39"/>
      <c r="KP137" s="39"/>
      <c r="KQ137" s="39"/>
      <c r="KR137" s="39"/>
      <c r="KS137" s="39"/>
      <c r="KT137" s="39"/>
      <c r="KU137" s="39"/>
      <c r="KV137" s="39"/>
      <c r="KW137" s="39"/>
      <c r="KX137" s="39"/>
      <c r="KY137" s="39"/>
      <c r="KZ137" s="39"/>
      <c r="LA137" s="39"/>
      <c r="LB137" s="39"/>
      <c r="LC137" s="39"/>
      <c r="LD137" s="39"/>
      <c r="LE137" s="39"/>
      <c r="LF137" s="39"/>
      <c r="LG137" s="39"/>
      <c r="LH137" s="39"/>
      <c r="LI137" s="39"/>
      <c r="LJ137" s="39"/>
      <c r="LK137" s="39"/>
      <c r="LL137" s="39"/>
      <c r="LM137" s="39"/>
      <c r="LN137" s="39"/>
      <c r="LO137" s="39"/>
      <c r="LP137" s="39"/>
      <c r="LQ137" s="39"/>
      <c r="LR137" s="39"/>
      <c r="LS137" s="39"/>
      <c r="LT137" s="39"/>
      <c r="LU137" s="39"/>
      <c r="LV137" s="39"/>
      <c r="LW137" s="39"/>
      <c r="LX137" s="39"/>
      <c r="LY137" s="39"/>
      <c r="LZ137" s="39"/>
      <c r="MA137" s="39"/>
      <c r="MB137" s="39"/>
      <c r="MC137" s="39"/>
      <c r="MD137" s="39"/>
      <c r="ME137" s="39"/>
      <c r="MF137" s="39"/>
      <c r="MG137" s="39"/>
      <c r="MH137" s="39"/>
      <c r="MI137" s="39"/>
      <c r="MJ137" s="39"/>
      <c r="MK137" s="39"/>
      <c r="ML137" s="35"/>
      <c r="MM137" s="35"/>
    </row>
    <row r="138" spans="1:351" x14ac:dyDescent="0.4">
      <c r="A138" s="30">
        <v>132</v>
      </c>
      <c r="B138" s="364"/>
      <c r="C138" s="33"/>
      <c r="D138" s="44" t="s">
        <v>92</v>
      </c>
      <c r="E138" s="30">
        <f t="shared" si="22"/>
        <v>0</v>
      </c>
      <c r="F138" s="37">
        <f t="shared" si="24"/>
        <v>0</v>
      </c>
      <c r="G138" s="35"/>
      <c r="H138" s="35"/>
      <c r="I138" s="35"/>
      <c r="J138" s="35"/>
      <c r="K138" s="35"/>
      <c r="L138" s="35"/>
      <c r="M138" s="35"/>
      <c r="N138" s="49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9"/>
      <c r="HE138" s="39"/>
      <c r="HF138" s="39"/>
      <c r="HG138" s="39"/>
      <c r="HH138" s="39"/>
      <c r="HI138" s="39"/>
      <c r="HJ138" s="39"/>
      <c r="HK138" s="39"/>
      <c r="HL138" s="39"/>
      <c r="HM138" s="39"/>
      <c r="HN138" s="39"/>
      <c r="HO138" s="39"/>
      <c r="HP138" s="39"/>
      <c r="HQ138" s="39"/>
      <c r="HR138" s="39"/>
      <c r="HS138" s="39"/>
      <c r="HT138" s="39"/>
      <c r="HU138" s="39"/>
      <c r="HV138" s="39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39"/>
      <c r="IV138" s="39"/>
      <c r="IW138" s="39"/>
      <c r="IX138" s="39"/>
      <c r="IY138" s="39"/>
      <c r="IZ138" s="39"/>
      <c r="JA138" s="39"/>
      <c r="JB138" s="39"/>
      <c r="JC138" s="39"/>
      <c r="JD138" s="39"/>
      <c r="JE138" s="39"/>
      <c r="JF138" s="39"/>
      <c r="JG138" s="39"/>
      <c r="JH138" s="39"/>
      <c r="JI138" s="39"/>
      <c r="JJ138" s="39"/>
      <c r="JK138" s="39"/>
      <c r="JL138" s="39"/>
      <c r="JM138" s="39"/>
      <c r="JN138" s="39"/>
      <c r="JO138" s="39"/>
      <c r="JP138" s="39"/>
      <c r="JQ138" s="39"/>
      <c r="JR138" s="39"/>
      <c r="JS138" s="39"/>
      <c r="JT138" s="39"/>
      <c r="JU138" s="39"/>
      <c r="JV138" s="39"/>
      <c r="JW138" s="39"/>
      <c r="JX138" s="39"/>
      <c r="JY138" s="39"/>
      <c r="JZ138" s="39"/>
      <c r="KA138" s="39"/>
      <c r="KB138" s="39"/>
      <c r="KC138" s="39"/>
      <c r="KD138" s="39"/>
      <c r="KE138" s="39"/>
      <c r="KF138" s="39"/>
      <c r="KG138" s="39"/>
      <c r="KH138" s="39"/>
      <c r="KI138" s="39"/>
      <c r="KJ138" s="39"/>
      <c r="KK138" s="39"/>
      <c r="KL138" s="39"/>
      <c r="KM138" s="39"/>
      <c r="KN138" s="39"/>
      <c r="KO138" s="39"/>
      <c r="KP138" s="39"/>
      <c r="KQ138" s="39"/>
      <c r="KR138" s="39"/>
      <c r="KS138" s="39"/>
      <c r="KT138" s="39"/>
      <c r="KU138" s="39"/>
      <c r="KV138" s="39"/>
      <c r="KW138" s="39"/>
      <c r="KX138" s="39"/>
      <c r="KY138" s="39"/>
      <c r="KZ138" s="39"/>
      <c r="LA138" s="39"/>
      <c r="LB138" s="39"/>
      <c r="LC138" s="39"/>
      <c r="LD138" s="39"/>
      <c r="LE138" s="39"/>
      <c r="LF138" s="39"/>
      <c r="LG138" s="39"/>
      <c r="LH138" s="39"/>
      <c r="LI138" s="39"/>
      <c r="LJ138" s="39"/>
      <c r="LK138" s="39"/>
      <c r="LL138" s="39"/>
      <c r="LM138" s="39"/>
      <c r="LN138" s="39"/>
      <c r="LO138" s="39"/>
      <c r="LP138" s="39"/>
      <c r="LQ138" s="39"/>
      <c r="LR138" s="39"/>
      <c r="LS138" s="39"/>
      <c r="LT138" s="39"/>
      <c r="LU138" s="39"/>
      <c r="LV138" s="39"/>
      <c r="LW138" s="39"/>
      <c r="LX138" s="39"/>
      <c r="LY138" s="39"/>
      <c r="LZ138" s="39"/>
      <c r="MA138" s="39"/>
      <c r="MB138" s="39"/>
      <c r="MC138" s="39"/>
      <c r="MD138" s="39"/>
      <c r="ME138" s="39"/>
      <c r="MF138" s="39"/>
      <c r="MG138" s="39"/>
      <c r="MH138" s="39"/>
      <c r="MI138" s="39"/>
      <c r="MJ138" s="39"/>
      <c r="MK138" s="39"/>
      <c r="ML138" s="35"/>
      <c r="MM138" s="35"/>
    </row>
    <row r="139" spans="1:351" x14ac:dyDescent="0.4">
      <c r="A139" s="30">
        <v>133</v>
      </c>
      <c r="B139" s="364"/>
      <c r="C139" s="33"/>
      <c r="D139" s="44" t="s">
        <v>93</v>
      </c>
      <c r="E139" s="30">
        <f t="shared" si="22"/>
        <v>0</v>
      </c>
      <c r="F139" s="37">
        <f t="shared" si="24"/>
        <v>0</v>
      </c>
      <c r="G139" s="35"/>
      <c r="H139" s="35"/>
      <c r="I139" s="35"/>
      <c r="J139" s="35"/>
      <c r="K139" s="35"/>
      <c r="L139" s="35"/>
      <c r="M139" s="35"/>
      <c r="N139" s="49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45"/>
      <c r="EA139" s="45"/>
      <c r="EB139" s="45"/>
      <c r="EC139" s="45"/>
      <c r="ED139" s="45"/>
      <c r="EE139" s="45"/>
      <c r="EF139" s="45"/>
      <c r="EG139" s="45"/>
      <c r="EH139" s="45"/>
      <c r="EI139" s="45"/>
      <c r="EJ139" s="45"/>
      <c r="EK139" s="45"/>
      <c r="EL139" s="45"/>
      <c r="EM139" s="45"/>
      <c r="EN139" s="45"/>
      <c r="EO139" s="45"/>
      <c r="EP139" s="45"/>
      <c r="EQ139" s="45"/>
      <c r="ER139" s="45"/>
      <c r="ES139" s="45"/>
      <c r="ET139" s="45"/>
      <c r="EU139" s="45"/>
      <c r="EV139" s="45"/>
      <c r="EW139" s="45"/>
      <c r="EX139" s="45"/>
      <c r="EY139" s="45"/>
      <c r="EZ139" s="45"/>
      <c r="FA139" s="45"/>
      <c r="FB139" s="45"/>
      <c r="FC139" s="45"/>
      <c r="FD139" s="45"/>
      <c r="FE139" s="45"/>
      <c r="FF139" s="45"/>
      <c r="FG139" s="45"/>
      <c r="FH139" s="45"/>
      <c r="FI139" s="45"/>
      <c r="FJ139" s="45"/>
      <c r="FK139" s="45"/>
      <c r="FL139" s="45"/>
      <c r="FM139" s="45"/>
      <c r="FN139" s="45"/>
      <c r="FO139" s="45"/>
      <c r="FP139" s="45"/>
      <c r="FQ139" s="45"/>
      <c r="FR139" s="45"/>
      <c r="FS139" s="45"/>
      <c r="FT139" s="45"/>
      <c r="FU139" s="45"/>
      <c r="FV139" s="45"/>
      <c r="FW139" s="45"/>
      <c r="FX139" s="45"/>
      <c r="FY139" s="45"/>
      <c r="FZ139" s="45"/>
      <c r="GA139" s="45"/>
      <c r="GB139" s="45"/>
      <c r="GC139" s="45"/>
      <c r="GD139" s="45"/>
      <c r="GE139" s="45"/>
      <c r="GF139" s="45"/>
      <c r="GG139" s="45"/>
      <c r="GH139" s="45"/>
      <c r="GI139" s="45"/>
      <c r="GJ139" s="45"/>
      <c r="GK139" s="45"/>
      <c r="GL139" s="45"/>
      <c r="GM139" s="45"/>
      <c r="GN139" s="45"/>
      <c r="GO139" s="45"/>
      <c r="GP139" s="45"/>
      <c r="GQ139" s="45"/>
      <c r="GR139" s="45"/>
      <c r="GS139" s="45"/>
      <c r="GT139" s="45"/>
      <c r="GU139" s="45"/>
      <c r="GV139" s="45"/>
      <c r="GW139" s="45"/>
      <c r="GX139" s="45"/>
      <c r="GY139" s="45"/>
      <c r="GZ139" s="45"/>
      <c r="HA139" s="45"/>
      <c r="HB139" s="45"/>
      <c r="HC139" s="35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/>
      <c r="HO139" s="46"/>
      <c r="HP139" s="46"/>
      <c r="HQ139" s="46"/>
      <c r="HR139" s="46"/>
      <c r="HS139" s="46"/>
      <c r="HT139" s="46"/>
      <c r="HU139" s="46"/>
      <c r="HV139" s="46"/>
      <c r="HW139" s="46"/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  <c r="IT139" s="46"/>
      <c r="IU139" s="46"/>
      <c r="IV139" s="46"/>
      <c r="IW139" s="46"/>
      <c r="IX139" s="46"/>
      <c r="IY139" s="46"/>
      <c r="IZ139" s="46"/>
      <c r="JA139" s="46"/>
      <c r="JB139" s="46"/>
      <c r="JC139" s="46"/>
      <c r="JD139" s="46"/>
      <c r="JE139" s="46"/>
      <c r="JF139" s="46"/>
      <c r="JG139" s="46"/>
      <c r="JH139" s="46"/>
      <c r="JI139" s="46"/>
      <c r="JJ139" s="46"/>
      <c r="JK139" s="46"/>
      <c r="JL139" s="46"/>
      <c r="JM139" s="46"/>
      <c r="JN139" s="46"/>
      <c r="JO139" s="46"/>
      <c r="JP139" s="46"/>
      <c r="JQ139" s="46"/>
      <c r="JR139" s="46"/>
      <c r="JS139" s="46"/>
      <c r="JT139" s="46"/>
      <c r="JU139" s="46"/>
      <c r="JV139" s="46"/>
      <c r="JW139" s="46"/>
      <c r="JX139" s="46"/>
      <c r="JY139" s="46"/>
      <c r="JZ139" s="46"/>
      <c r="KA139" s="46"/>
      <c r="KB139" s="46"/>
      <c r="KC139" s="46"/>
      <c r="KD139" s="46"/>
      <c r="KE139" s="46"/>
      <c r="KF139" s="46"/>
      <c r="KG139" s="46"/>
      <c r="KH139" s="46"/>
      <c r="KI139" s="46"/>
      <c r="KJ139" s="46"/>
      <c r="KK139" s="46"/>
      <c r="KL139" s="46"/>
      <c r="KM139" s="46"/>
      <c r="KN139" s="46"/>
      <c r="KO139" s="46"/>
      <c r="KP139" s="46"/>
      <c r="KQ139" s="46"/>
      <c r="KR139" s="46"/>
      <c r="KS139" s="46"/>
      <c r="KT139" s="46"/>
      <c r="KU139" s="46"/>
      <c r="KV139" s="46"/>
      <c r="KW139" s="46"/>
      <c r="KX139" s="46"/>
      <c r="KY139" s="46"/>
      <c r="KZ139" s="46"/>
      <c r="LA139" s="46"/>
      <c r="LB139" s="46"/>
      <c r="LC139" s="46"/>
      <c r="LD139" s="46"/>
      <c r="LE139" s="46"/>
      <c r="LF139" s="46"/>
      <c r="LG139" s="46"/>
      <c r="LH139" s="46"/>
      <c r="LI139" s="46"/>
      <c r="LJ139" s="46"/>
      <c r="LK139" s="46"/>
      <c r="LL139" s="46"/>
      <c r="LM139" s="46"/>
      <c r="LN139" s="46"/>
      <c r="LO139" s="46"/>
      <c r="LP139" s="46"/>
      <c r="LQ139" s="46"/>
      <c r="LR139" s="46"/>
      <c r="LS139" s="46"/>
      <c r="LT139" s="46"/>
      <c r="LU139" s="46"/>
      <c r="LV139" s="46"/>
      <c r="LW139" s="46"/>
      <c r="LX139" s="46"/>
      <c r="LY139" s="46"/>
      <c r="LZ139" s="46"/>
      <c r="MA139" s="46"/>
      <c r="MB139" s="46"/>
      <c r="MC139" s="46"/>
      <c r="MD139" s="46"/>
      <c r="ME139" s="46"/>
      <c r="MF139" s="46"/>
      <c r="MG139" s="46"/>
      <c r="MH139" s="46"/>
      <c r="MI139" s="46"/>
      <c r="MJ139" s="46"/>
      <c r="MK139" s="46"/>
      <c r="ML139" s="45"/>
      <c r="MM139" s="45"/>
    </row>
  </sheetData>
  <mergeCells count="57">
    <mergeCell ref="B134:B136"/>
    <mergeCell ref="B137:B139"/>
    <mergeCell ref="B103:B108"/>
    <mergeCell ref="B109:B114"/>
    <mergeCell ref="B115:B120"/>
    <mergeCell ref="B121:B126"/>
    <mergeCell ref="B127:B130"/>
    <mergeCell ref="B131:B133"/>
    <mergeCell ref="B97:B102"/>
    <mergeCell ref="B52:B54"/>
    <mergeCell ref="C52:C54"/>
    <mergeCell ref="B55:B60"/>
    <mergeCell ref="C55:C60"/>
    <mergeCell ref="B61:B66"/>
    <mergeCell ref="C61:C66"/>
    <mergeCell ref="B67:B72"/>
    <mergeCell ref="B73:B78"/>
    <mergeCell ref="B79:B84"/>
    <mergeCell ref="B85:B90"/>
    <mergeCell ref="B91:B96"/>
    <mergeCell ref="B43:B45"/>
    <mergeCell ref="C43:C45"/>
    <mergeCell ref="B46:B48"/>
    <mergeCell ref="C46:C48"/>
    <mergeCell ref="B49:B51"/>
    <mergeCell ref="C49:C51"/>
    <mergeCell ref="B34:B36"/>
    <mergeCell ref="C34:C36"/>
    <mergeCell ref="B37:B39"/>
    <mergeCell ref="C37:C39"/>
    <mergeCell ref="B40:B42"/>
    <mergeCell ref="C40:C42"/>
    <mergeCell ref="B25:B27"/>
    <mergeCell ref="C25:C27"/>
    <mergeCell ref="B28:B30"/>
    <mergeCell ref="C28:C30"/>
    <mergeCell ref="B31:B33"/>
    <mergeCell ref="C31:C33"/>
    <mergeCell ref="B16:B18"/>
    <mergeCell ref="C16:C18"/>
    <mergeCell ref="B19:B21"/>
    <mergeCell ref="C19:C21"/>
    <mergeCell ref="B22:B24"/>
    <mergeCell ref="C22:C24"/>
    <mergeCell ref="B8:B9"/>
    <mergeCell ref="C8:C9"/>
    <mergeCell ref="B10:B11"/>
    <mergeCell ref="C10:C11"/>
    <mergeCell ref="B13:B15"/>
    <mergeCell ref="C13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890C-BB2C-44D1-9DB9-FFFCA68A9B30}">
  <dimension ref="A1:LN47"/>
  <sheetViews>
    <sheetView zoomScale="90" zoomScaleNormal="90" workbookViewId="0">
      <pane xSplit="4" ySplit="6" topLeftCell="E7" activePane="bottomRight" state="frozen"/>
      <selection activeCell="E10" sqref="E10"/>
      <selection pane="topRight" activeCell="E10" sqref="E10"/>
      <selection pane="bottomLeft" activeCell="E10" sqref="E10"/>
      <selection pane="bottomRight" activeCell="A5" sqref="A5:BY10"/>
    </sheetView>
  </sheetViews>
  <sheetFormatPr defaultColWidth="9.1796875" defaultRowHeight="16" x14ac:dyDescent="0.4"/>
  <cols>
    <col min="1" max="1" width="11.1796875" style="29" customWidth="1"/>
    <col min="2" max="2" width="20.453125" style="29" bestFit="1" customWidth="1"/>
    <col min="3" max="3" width="25.26953125" style="29" hidden="1" customWidth="1"/>
    <col min="4" max="4" width="22" style="29" bestFit="1" customWidth="1"/>
    <col min="5" max="5" width="10.453125" style="48" hidden="1" customWidth="1"/>
    <col min="6" max="6" width="9.81640625" style="47" customWidth="1"/>
    <col min="7" max="13" width="8.453125" style="36" hidden="1" customWidth="1"/>
    <col min="14" max="14" width="9.54296875" style="36" hidden="1" customWidth="1"/>
    <col min="15" max="26" width="9.1796875" style="36" hidden="1" customWidth="1"/>
    <col min="27" max="44" width="9.54296875" style="36" hidden="1" customWidth="1"/>
    <col min="45" max="50" width="9.1796875" style="36" hidden="1" customWidth="1"/>
    <col min="51" max="53" width="8.453125" style="36" hidden="1" customWidth="1"/>
    <col min="54" max="57" width="8.81640625" style="36" hidden="1" customWidth="1"/>
    <col min="58" max="77" width="3.90625" style="36" bestFit="1" customWidth="1"/>
    <col min="7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26" width="8.81640625" style="36" bestFit="1" customWidth="1"/>
    <col min="327" max="16384" width="9.1796875" style="36"/>
  </cols>
  <sheetData>
    <row r="1" spans="1:326" s="23" customFormat="1" x14ac:dyDescent="0.35">
      <c r="A1" s="72" t="s">
        <v>63</v>
      </c>
      <c r="B1" s="368" t="s">
        <v>94</v>
      </c>
      <c r="C1" s="369"/>
      <c r="D1" s="370"/>
      <c r="E1" s="22"/>
    </row>
    <row r="2" spans="1:326" s="23" customFormat="1" x14ac:dyDescent="0.35">
      <c r="A2" s="71" t="s">
        <v>64</v>
      </c>
      <c r="B2" s="371" t="s">
        <v>95</v>
      </c>
      <c r="C2" s="372"/>
      <c r="D2" s="373"/>
      <c r="E2" s="22"/>
    </row>
    <row r="3" spans="1:326" s="23" customFormat="1" ht="20.149999999999999" customHeight="1" thickBot="1" x14ac:dyDescent="0.4">
      <c r="A3" s="73" t="s">
        <v>65</v>
      </c>
      <c r="B3" s="374">
        <v>45703</v>
      </c>
      <c r="C3" s="375"/>
      <c r="D3" s="376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</row>
    <row r="4" spans="1:326" s="23" customFormat="1" x14ac:dyDescent="0.35">
      <c r="E4" s="26"/>
      <c r="F4" s="27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</row>
    <row r="5" spans="1:326" s="29" customFormat="1" ht="50.5" customHeight="1" x14ac:dyDescent="0.4">
      <c r="A5" s="377" t="s">
        <v>66</v>
      </c>
      <c r="B5" s="377" t="s">
        <v>67</v>
      </c>
      <c r="C5" s="377" t="s">
        <v>68</v>
      </c>
      <c r="D5" s="377" t="s">
        <v>269</v>
      </c>
      <c r="E5" s="93">
        <f>B3</f>
        <v>45703</v>
      </c>
      <c r="F5" s="94" t="s">
        <v>70</v>
      </c>
      <c r="G5" s="95">
        <v>45703</v>
      </c>
      <c r="H5" s="95">
        <f t="shared" ref="H5:AZ5" si="0">G5+1</f>
        <v>45704</v>
      </c>
      <c r="I5" s="95">
        <f t="shared" si="0"/>
        <v>45705</v>
      </c>
      <c r="J5" s="95">
        <f t="shared" si="0"/>
        <v>45706</v>
      </c>
      <c r="K5" s="95">
        <f t="shared" si="0"/>
        <v>45707</v>
      </c>
      <c r="L5" s="95">
        <f t="shared" si="0"/>
        <v>45708</v>
      </c>
      <c r="M5" s="95">
        <f t="shared" si="0"/>
        <v>45709</v>
      </c>
      <c r="N5" s="95">
        <f t="shared" si="0"/>
        <v>45710</v>
      </c>
      <c r="O5" s="95">
        <f t="shared" si="0"/>
        <v>45711</v>
      </c>
      <c r="P5" s="95">
        <f t="shared" si="0"/>
        <v>45712</v>
      </c>
      <c r="Q5" s="95">
        <f t="shared" si="0"/>
        <v>45713</v>
      </c>
      <c r="R5" s="95">
        <f t="shared" si="0"/>
        <v>45714</v>
      </c>
      <c r="S5" s="95">
        <f t="shared" si="0"/>
        <v>45715</v>
      </c>
      <c r="T5" s="95">
        <f t="shared" si="0"/>
        <v>45716</v>
      </c>
      <c r="U5" s="95">
        <f t="shared" si="0"/>
        <v>45717</v>
      </c>
      <c r="V5" s="95">
        <f t="shared" si="0"/>
        <v>45718</v>
      </c>
      <c r="W5" s="95">
        <f t="shared" si="0"/>
        <v>45719</v>
      </c>
      <c r="X5" s="95">
        <f t="shared" si="0"/>
        <v>45720</v>
      </c>
      <c r="Y5" s="95">
        <f t="shared" si="0"/>
        <v>45721</v>
      </c>
      <c r="Z5" s="95">
        <f t="shared" si="0"/>
        <v>45722</v>
      </c>
      <c r="AA5" s="95">
        <f t="shared" si="0"/>
        <v>45723</v>
      </c>
      <c r="AB5" s="95">
        <f t="shared" si="0"/>
        <v>45724</v>
      </c>
      <c r="AC5" s="95">
        <f t="shared" si="0"/>
        <v>45725</v>
      </c>
      <c r="AD5" s="95">
        <f t="shared" si="0"/>
        <v>45726</v>
      </c>
      <c r="AE5" s="95">
        <f t="shared" si="0"/>
        <v>45727</v>
      </c>
      <c r="AF5" s="95">
        <f t="shared" si="0"/>
        <v>45728</v>
      </c>
      <c r="AG5" s="95">
        <f t="shared" si="0"/>
        <v>45729</v>
      </c>
      <c r="AH5" s="95">
        <f t="shared" si="0"/>
        <v>45730</v>
      </c>
      <c r="AI5" s="95">
        <f t="shared" si="0"/>
        <v>45731</v>
      </c>
      <c r="AJ5" s="95">
        <f t="shared" si="0"/>
        <v>45732</v>
      </c>
      <c r="AK5" s="95">
        <f t="shared" si="0"/>
        <v>45733</v>
      </c>
      <c r="AL5" s="95">
        <f t="shared" si="0"/>
        <v>45734</v>
      </c>
      <c r="AM5" s="95">
        <f t="shared" si="0"/>
        <v>45735</v>
      </c>
      <c r="AN5" s="95">
        <f t="shared" si="0"/>
        <v>45736</v>
      </c>
      <c r="AO5" s="95">
        <f t="shared" si="0"/>
        <v>45737</v>
      </c>
      <c r="AP5" s="95">
        <f t="shared" si="0"/>
        <v>45738</v>
      </c>
      <c r="AQ5" s="95">
        <f t="shared" si="0"/>
        <v>45739</v>
      </c>
      <c r="AR5" s="95">
        <f t="shared" si="0"/>
        <v>45740</v>
      </c>
      <c r="AS5" s="95">
        <f t="shared" si="0"/>
        <v>45741</v>
      </c>
      <c r="AT5" s="95">
        <f t="shared" si="0"/>
        <v>45742</v>
      </c>
      <c r="AU5" s="95">
        <f t="shared" si="0"/>
        <v>45743</v>
      </c>
      <c r="AV5" s="95">
        <f t="shared" si="0"/>
        <v>45744</v>
      </c>
      <c r="AW5" s="95">
        <f t="shared" si="0"/>
        <v>45745</v>
      </c>
      <c r="AX5" s="95">
        <f t="shared" si="0"/>
        <v>45746</v>
      </c>
      <c r="AY5" s="95">
        <f t="shared" si="0"/>
        <v>45747</v>
      </c>
      <c r="AZ5" s="95">
        <f t="shared" si="0"/>
        <v>45748</v>
      </c>
      <c r="BA5" s="95">
        <f t="shared" ref="BA5:DL5" si="1">AZ5+1</f>
        <v>45749</v>
      </c>
      <c r="BB5" s="95">
        <f t="shared" si="1"/>
        <v>45750</v>
      </c>
      <c r="BC5" s="95">
        <f t="shared" si="1"/>
        <v>45751</v>
      </c>
      <c r="BD5" s="95">
        <f t="shared" si="1"/>
        <v>45752</v>
      </c>
      <c r="BE5" s="95">
        <f t="shared" si="1"/>
        <v>45753</v>
      </c>
      <c r="BF5" s="161">
        <f t="shared" si="1"/>
        <v>45754</v>
      </c>
      <c r="BG5" s="161">
        <f t="shared" si="1"/>
        <v>45755</v>
      </c>
      <c r="BH5" s="161">
        <f t="shared" si="1"/>
        <v>45756</v>
      </c>
      <c r="BI5" s="161">
        <f t="shared" si="1"/>
        <v>45757</v>
      </c>
      <c r="BJ5" s="161">
        <f t="shared" si="1"/>
        <v>45758</v>
      </c>
      <c r="BK5" s="161">
        <f t="shared" si="1"/>
        <v>45759</v>
      </c>
      <c r="BL5" s="161">
        <f t="shared" si="1"/>
        <v>45760</v>
      </c>
      <c r="BM5" s="161">
        <f t="shared" si="1"/>
        <v>45761</v>
      </c>
      <c r="BN5" s="161">
        <f t="shared" si="1"/>
        <v>45762</v>
      </c>
      <c r="BO5" s="161">
        <f t="shared" si="1"/>
        <v>45763</v>
      </c>
      <c r="BP5" s="161">
        <f t="shared" si="1"/>
        <v>45764</v>
      </c>
      <c r="BQ5" s="161">
        <f t="shared" si="1"/>
        <v>45765</v>
      </c>
      <c r="BR5" s="161">
        <f t="shared" si="1"/>
        <v>45766</v>
      </c>
      <c r="BS5" s="161">
        <f t="shared" si="1"/>
        <v>45767</v>
      </c>
      <c r="BT5" s="161">
        <f t="shared" si="1"/>
        <v>45768</v>
      </c>
      <c r="BU5" s="161">
        <f t="shared" si="1"/>
        <v>45769</v>
      </c>
      <c r="BV5" s="161">
        <f t="shared" si="1"/>
        <v>45770</v>
      </c>
      <c r="BW5" s="161">
        <f t="shared" si="1"/>
        <v>45771</v>
      </c>
      <c r="BX5" s="161">
        <f t="shared" si="1"/>
        <v>45772</v>
      </c>
      <c r="BY5" s="161">
        <f t="shared" si="1"/>
        <v>45773</v>
      </c>
      <c r="BZ5" s="95">
        <f t="shared" si="1"/>
        <v>45774</v>
      </c>
      <c r="CA5" s="95">
        <f t="shared" si="1"/>
        <v>45775</v>
      </c>
      <c r="CB5" s="95">
        <f t="shared" si="1"/>
        <v>45776</v>
      </c>
      <c r="CC5" s="95">
        <f t="shared" si="1"/>
        <v>45777</v>
      </c>
      <c r="CD5" s="95">
        <f t="shared" si="1"/>
        <v>45778</v>
      </c>
      <c r="CE5" s="95">
        <f t="shared" si="1"/>
        <v>45779</v>
      </c>
      <c r="CF5" s="95">
        <f t="shared" si="1"/>
        <v>45780</v>
      </c>
      <c r="CG5" s="95">
        <f t="shared" si="1"/>
        <v>45781</v>
      </c>
      <c r="CH5" s="95">
        <f t="shared" si="1"/>
        <v>45782</v>
      </c>
      <c r="CI5" s="95">
        <f t="shared" si="1"/>
        <v>45783</v>
      </c>
      <c r="CJ5" s="95">
        <f t="shared" si="1"/>
        <v>45784</v>
      </c>
      <c r="CK5" s="95">
        <f t="shared" si="1"/>
        <v>45785</v>
      </c>
      <c r="CL5" s="95">
        <f t="shared" si="1"/>
        <v>45786</v>
      </c>
      <c r="CM5" s="95">
        <f t="shared" si="1"/>
        <v>45787</v>
      </c>
      <c r="CN5" s="95">
        <f t="shared" si="1"/>
        <v>45788</v>
      </c>
      <c r="CO5" s="95">
        <f t="shared" si="1"/>
        <v>45789</v>
      </c>
      <c r="CP5" s="95">
        <f t="shared" si="1"/>
        <v>45790</v>
      </c>
      <c r="CQ5" s="95">
        <f t="shared" si="1"/>
        <v>45791</v>
      </c>
      <c r="CR5" s="95">
        <f t="shared" si="1"/>
        <v>45792</v>
      </c>
      <c r="CS5" s="95">
        <f t="shared" si="1"/>
        <v>45793</v>
      </c>
      <c r="CT5" s="95">
        <f t="shared" si="1"/>
        <v>45794</v>
      </c>
      <c r="CU5" s="95">
        <f t="shared" si="1"/>
        <v>45795</v>
      </c>
      <c r="CV5" s="95">
        <f t="shared" si="1"/>
        <v>45796</v>
      </c>
      <c r="CW5" s="95">
        <f t="shared" si="1"/>
        <v>45797</v>
      </c>
      <c r="CX5" s="95">
        <f t="shared" si="1"/>
        <v>45798</v>
      </c>
      <c r="CY5" s="95">
        <f t="shared" si="1"/>
        <v>45799</v>
      </c>
      <c r="CZ5" s="95">
        <f t="shared" si="1"/>
        <v>45800</v>
      </c>
      <c r="DA5" s="95">
        <f t="shared" si="1"/>
        <v>45801</v>
      </c>
      <c r="DB5" s="95">
        <f t="shared" si="1"/>
        <v>45802</v>
      </c>
      <c r="DC5" s="95">
        <f t="shared" si="1"/>
        <v>45803</v>
      </c>
      <c r="DD5" s="95">
        <f t="shared" si="1"/>
        <v>45804</v>
      </c>
      <c r="DE5" s="95">
        <f t="shared" si="1"/>
        <v>45805</v>
      </c>
      <c r="DF5" s="95">
        <f t="shared" si="1"/>
        <v>45806</v>
      </c>
      <c r="DG5" s="95">
        <f t="shared" si="1"/>
        <v>45807</v>
      </c>
      <c r="DH5" s="95">
        <f t="shared" si="1"/>
        <v>45808</v>
      </c>
      <c r="DI5" s="95">
        <f t="shared" si="1"/>
        <v>45809</v>
      </c>
      <c r="DJ5" s="95">
        <f t="shared" si="1"/>
        <v>45810</v>
      </c>
      <c r="DK5" s="95">
        <f t="shared" si="1"/>
        <v>45811</v>
      </c>
      <c r="DL5" s="95">
        <f t="shared" si="1"/>
        <v>45812</v>
      </c>
      <c r="DM5" s="95">
        <f t="shared" ref="DM5:FX5" si="2">DL5+1</f>
        <v>45813</v>
      </c>
      <c r="DN5" s="95">
        <f t="shared" si="2"/>
        <v>45814</v>
      </c>
      <c r="DO5" s="95">
        <f t="shared" si="2"/>
        <v>45815</v>
      </c>
      <c r="DP5" s="95">
        <f t="shared" si="2"/>
        <v>45816</v>
      </c>
      <c r="DQ5" s="95">
        <f t="shared" si="2"/>
        <v>45817</v>
      </c>
      <c r="DR5" s="95">
        <f t="shared" si="2"/>
        <v>45818</v>
      </c>
      <c r="DS5" s="95">
        <f t="shared" si="2"/>
        <v>45819</v>
      </c>
      <c r="DT5" s="95">
        <f t="shared" si="2"/>
        <v>45820</v>
      </c>
      <c r="DU5" s="95">
        <f t="shared" si="2"/>
        <v>45821</v>
      </c>
      <c r="DV5" s="95">
        <f t="shared" si="2"/>
        <v>45822</v>
      </c>
      <c r="DW5" s="95">
        <f t="shared" si="2"/>
        <v>45823</v>
      </c>
      <c r="DX5" s="95">
        <f t="shared" si="2"/>
        <v>45824</v>
      </c>
      <c r="DY5" s="95">
        <f t="shared" si="2"/>
        <v>45825</v>
      </c>
      <c r="DZ5" s="95">
        <f t="shared" si="2"/>
        <v>45826</v>
      </c>
      <c r="EA5" s="95">
        <f t="shared" si="2"/>
        <v>45827</v>
      </c>
      <c r="EB5" s="95">
        <f t="shared" si="2"/>
        <v>45828</v>
      </c>
      <c r="EC5" s="95">
        <f t="shared" si="2"/>
        <v>45829</v>
      </c>
      <c r="ED5" s="95">
        <f t="shared" si="2"/>
        <v>45830</v>
      </c>
      <c r="EE5" s="95">
        <f t="shared" si="2"/>
        <v>45831</v>
      </c>
      <c r="EF5" s="95">
        <f t="shared" si="2"/>
        <v>45832</v>
      </c>
      <c r="EG5" s="95">
        <f t="shared" si="2"/>
        <v>45833</v>
      </c>
      <c r="EH5" s="95">
        <f t="shared" si="2"/>
        <v>45834</v>
      </c>
      <c r="EI5" s="95">
        <f t="shared" si="2"/>
        <v>45835</v>
      </c>
      <c r="EJ5" s="95">
        <f t="shared" si="2"/>
        <v>45836</v>
      </c>
      <c r="EK5" s="95">
        <f t="shared" si="2"/>
        <v>45837</v>
      </c>
      <c r="EL5" s="95">
        <f t="shared" si="2"/>
        <v>45838</v>
      </c>
      <c r="EM5" s="95">
        <f t="shared" si="2"/>
        <v>45839</v>
      </c>
      <c r="EN5" s="95">
        <f t="shared" si="2"/>
        <v>45840</v>
      </c>
      <c r="EO5" s="95">
        <f t="shared" si="2"/>
        <v>45841</v>
      </c>
      <c r="EP5" s="95">
        <f t="shared" si="2"/>
        <v>45842</v>
      </c>
      <c r="EQ5" s="95">
        <f t="shared" si="2"/>
        <v>45843</v>
      </c>
      <c r="ER5" s="95">
        <f t="shared" si="2"/>
        <v>45844</v>
      </c>
      <c r="ES5" s="95">
        <f t="shared" si="2"/>
        <v>45845</v>
      </c>
      <c r="ET5" s="95">
        <f t="shared" si="2"/>
        <v>45846</v>
      </c>
      <c r="EU5" s="95">
        <f t="shared" si="2"/>
        <v>45847</v>
      </c>
      <c r="EV5" s="95">
        <f t="shared" si="2"/>
        <v>45848</v>
      </c>
      <c r="EW5" s="95">
        <f t="shared" si="2"/>
        <v>45849</v>
      </c>
      <c r="EX5" s="95">
        <f t="shared" si="2"/>
        <v>45850</v>
      </c>
      <c r="EY5" s="95">
        <f t="shared" si="2"/>
        <v>45851</v>
      </c>
      <c r="EZ5" s="95">
        <f t="shared" si="2"/>
        <v>45852</v>
      </c>
      <c r="FA5" s="95">
        <f t="shared" si="2"/>
        <v>45853</v>
      </c>
      <c r="FB5" s="95">
        <f t="shared" si="2"/>
        <v>45854</v>
      </c>
      <c r="FC5" s="95">
        <f t="shared" si="2"/>
        <v>45855</v>
      </c>
      <c r="FD5" s="95">
        <f t="shared" si="2"/>
        <v>45856</v>
      </c>
      <c r="FE5" s="95">
        <f t="shared" si="2"/>
        <v>45857</v>
      </c>
      <c r="FF5" s="95">
        <f t="shared" si="2"/>
        <v>45858</v>
      </c>
      <c r="FG5" s="95">
        <f t="shared" si="2"/>
        <v>45859</v>
      </c>
      <c r="FH5" s="95">
        <f t="shared" si="2"/>
        <v>45860</v>
      </c>
      <c r="FI5" s="95">
        <f t="shared" si="2"/>
        <v>45861</v>
      </c>
      <c r="FJ5" s="95">
        <f t="shared" si="2"/>
        <v>45862</v>
      </c>
      <c r="FK5" s="95">
        <f t="shared" si="2"/>
        <v>45863</v>
      </c>
      <c r="FL5" s="95">
        <f t="shared" si="2"/>
        <v>45864</v>
      </c>
      <c r="FM5" s="95">
        <f t="shared" si="2"/>
        <v>45865</v>
      </c>
      <c r="FN5" s="95">
        <f t="shared" si="2"/>
        <v>45866</v>
      </c>
      <c r="FO5" s="95">
        <f t="shared" si="2"/>
        <v>45867</v>
      </c>
      <c r="FP5" s="95">
        <f t="shared" si="2"/>
        <v>45868</v>
      </c>
      <c r="FQ5" s="95">
        <f t="shared" si="2"/>
        <v>45869</v>
      </c>
      <c r="FR5" s="95">
        <f t="shared" si="2"/>
        <v>45870</v>
      </c>
      <c r="FS5" s="95">
        <f t="shared" si="2"/>
        <v>45871</v>
      </c>
      <c r="FT5" s="95">
        <f t="shared" si="2"/>
        <v>45872</v>
      </c>
      <c r="FU5" s="95">
        <f t="shared" si="2"/>
        <v>45873</v>
      </c>
      <c r="FV5" s="95">
        <f t="shared" si="2"/>
        <v>45874</v>
      </c>
      <c r="FW5" s="95">
        <f t="shared" si="2"/>
        <v>45875</v>
      </c>
      <c r="FX5" s="95">
        <f t="shared" si="2"/>
        <v>45876</v>
      </c>
      <c r="FY5" s="95">
        <f t="shared" ref="FY5:IJ5" si="3">FX5+1</f>
        <v>45877</v>
      </c>
      <c r="FZ5" s="95">
        <f t="shared" si="3"/>
        <v>45878</v>
      </c>
      <c r="GA5" s="95">
        <f t="shared" si="3"/>
        <v>45879</v>
      </c>
      <c r="GB5" s="95">
        <f t="shared" si="3"/>
        <v>45880</v>
      </c>
      <c r="GC5" s="95">
        <f t="shared" si="3"/>
        <v>45881</v>
      </c>
      <c r="GD5" s="95">
        <f t="shared" si="3"/>
        <v>45882</v>
      </c>
      <c r="GE5" s="95">
        <f t="shared" si="3"/>
        <v>45883</v>
      </c>
      <c r="GF5" s="95">
        <f t="shared" si="3"/>
        <v>45884</v>
      </c>
      <c r="GG5" s="95">
        <f t="shared" si="3"/>
        <v>45885</v>
      </c>
      <c r="GH5" s="95">
        <f t="shared" si="3"/>
        <v>45886</v>
      </c>
      <c r="GI5" s="95">
        <f t="shared" si="3"/>
        <v>45887</v>
      </c>
      <c r="GJ5" s="95">
        <f t="shared" si="3"/>
        <v>45888</v>
      </c>
      <c r="GK5" s="95">
        <f t="shared" si="3"/>
        <v>45889</v>
      </c>
      <c r="GL5" s="95">
        <f t="shared" si="3"/>
        <v>45890</v>
      </c>
      <c r="GM5" s="95">
        <f t="shared" si="3"/>
        <v>45891</v>
      </c>
      <c r="GN5" s="95">
        <f t="shared" si="3"/>
        <v>45892</v>
      </c>
      <c r="GO5" s="95">
        <f t="shared" si="3"/>
        <v>45893</v>
      </c>
      <c r="GP5" s="95">
        <f t="shared" si="3"/>
        <v>45894</v>
      </c>
      <c r="GQ5" s="95">
        <f t="shared" si="3"/>
        <v>45895</v>
      </c>
      <c r="GR5" s="95">
        <f t="shared" si="3"/>
        <v>45896</v>
      </c>
      <c r="GS5" s="95">
        <f t="shared" si="3"/>
        <v>45897</v>
      </c>
      <c r="GT5" s="95">
        <f t="shared" si="3"/>
        <v>45898</v>
      </c>
      <c r="GU5" s="95">
        <f t="shared" si="3"/>
        <v>45899</v>
      </c>
      <c r="GV5" s="95">
        <f t="shared" si="3"/>
        <v>45900</v>
      </c>
      <c r="GW5" s="95">
        <f t="shared" si="3"/>
        <v>45901</v>
      </c>
      <c r="GX5" s="95">
        <f t="shared" si="3"/>
        <v>45902</v>
      </c>
      <c r="GY5" s="95">
        <f t="shared" si="3"/>
        <v>45903</v>
      </c>
      <c r="GZ5" s="95">
        <f t="shared" si="3"/>
        <v>45904</v>
      </c>
      <c r="HA5" s="95">
        <f t="shared" si="3"/>
        <v>45905</v>
      </c>
      <c r="HB5" s="95">
        <f t="shared" si="3"/>
        <v>45906</v>
      </c>
      <c r="HC5" s="95">
        <f t="shared" si="3"/>
        <v>45907</v>
      </c>
      <c r="HD5" s="95">
        <f t="shared" si="3"/>
        <v>45908</v>
      </c>
      <c r="HE5" s="95">
        <f t="shared" si="3"/>
        <v>45909</v>
      </c>
      <c r="HF5" s="95">
        <f t="shared" si="3"/>
        <v>45910</v>
      </c>
      <c r="HG5" s="95">
        <f t="shared" si="3"/>
        <v>45911</v>
      </c>
      <c r="HH5" s="95">
        <f t="shared" si="3"/>
        <v>45912</v>
      </c>
      <c r="HI5" s="95">
        <f t="shared" si="3"/>
        <v>45913</v>
      </c>
      <c r="HJ5" s="95">
        <f t="shared" si="3"/>
        <v>45914</v>
      </c>
      <c r="HK5" s="95">
        <f t="shared" si="3"/>
        <v>45915</v>
      </c>
      <c r="HL5" s="95">
        <f t="shared" si="3"/>
        <v>45916</v>
      </c>
      <c r="HM5" s="95">
        <f t="shared" si="3"/>
        <v>45917</v>
      </c>
      <c r="HN5" s="95">
        <f t="shared" si="3"/>
        <v>45918</v>
      </c>
      <c r="HO5" s="95">
        <f t="shared" si="3"/>
        <v>45919</v>
      </c>
      <c r="HP5" s="95">
        <f t="shared" si="3"/>
        <v>45920</v>
      </c>
      <c r="HQ5" s="95">
        <f t="shared" si="3"/>
        <v>45921</v>
      </c>
      <c r="HR5" s="95">
        <f t="shared" si="3"/>
        <v>45922</v>
      </c>
      <c r="HS5" s="95">
        <f t="shared" si="3"/>
        <v>45923</v>
      </c>
      <c r="HT5" s="95">
        <f t="shared" si="3"/>
        <v>45924</v>
      </c>
      <c r="HU5" s="95">
        <f t="shared" si="3"/>
        <v>45925</v>
      </c>
      <c r="HV5" s="95">
        <f t="shared" si="3"/>
        <v>45926</v>
      </c>
      <c r="HW5" s="95">
        <f t="shared" si="3"/>
        <v>45927</v>
      </c>
      <c r="HX5" s="95">
        <f t="shared" si="3"/>
        <v>45928</v>
      </c>
      <c r="HY5" s="95">
        <f t="shared" si="3"/>
        <v>45929</v>
      </c>
      <c r="HZ5" s="95">
        <f t="shared" si="3"/>
        <v>45930</v>
      </c>
      <c r="IA5" s="95">
        <f t="shared" si="3"/>
        <v>45931</v>
      </c>
      <c r="IB5" s="95">
        <f t="shared" si="3"/>
        <v>45932</v>
      </c>
      <c r="IC5" s="95">
        <f t="shared" si="3"/>
        <v>45933</v>
      </c>
      <c r="ID5" s="95">
        <f t="shared" si="3"/>
        <v>45934</v>
      </c>
      <c r="IE5" s="95">
        <f t="shared" si="3"/>
        <v>45935</v>
      </c>
      <c r="IF5" s="95">
        <f t="shared" si="3"/>
        <v>45936</v>
      </c>
      <c r="IG5" s="95">
        <f t="shared" si="3"/>
        <v>45937</v>
      </c>
      <c r="IH5" s="95">
        <f t="shared" si="3"/>
        <v>45938</v>
      </c>
      <c r="II5" s="95">
        <f t="shared" si="3"/>
        <v>45939</v>
      </c>
      <c r="IJ5" s="95">
        <f t="shared" si="3"/>
        <v>45940</v>
      </c>
      <c r="IK5" s="95">
        <f t="shared" ref="IK5:KV5" si="4">IJ5+1</f>
        <v>45941</v>
      </c>
      <c r="IL5" s="95">
        <f t="shared" si="4"/>
        <v>45942</v>
      </c>
      <c r="IM5" s="95">
        <f t="shared" si="4"/>
        <v>45943</v>
      </c>
      <c r="IN5" s="95">
        <f t="shared" si="4"/>
        <v>45944</v>
      </c>
      <c r="IO5" s="95">
        <f t="shared" si="4"/>
        <v>45945</v>
      </c>
      <c r="IP5" s="95">
        <f t="shared" si="4"/>
        <v>45946</v>
      </c>
      <c r="IQ5" s="95">
        <f t="shared" si="4"/>
        <v>45947</v>
      </c>
      <c r="IR5" s="95">
        <f t="shared" si="4"/>
        <v>45948</v>
      </c>
      <c r="IS5" s="95">
        <f t="shared" si="4"/>
        <v>45949</v>
      </c>
      <c r="IT5" s="95">
        <f t="shared" si="4"/>
        <v>45950</v>
      </c>
      <c r="IU5" s="95">
        <f t="shared" si="4"/>
        <v>45951</v>
      </c>
      <c r="IV5" s="95">
        <f t="shared" si="4"/>
        <v>45952</v>
      </c>
      <c r="IW5" s="95">
        <f t="shared" si="4"/>
        <v>45953</v>
      </c>
      <c r="IX5" s="95">
        <f t="shared" si="4"/>
        <v>45954</v>
      </c>
      <c r="IY5" s="95">
        <f t="shared" si="4"/>
        <v>45955</v>
      </c>
      <c r="IZ5" s="95">
        <f t="shared" si="4"/>
        <v>45956</v>
      </c>
      <c r="JA5" s="95">
        <f t="shared" si="4"/>
        <v>45957</v>
      </c>
      <c r="JB5" s="95">
        <f t="shared" si="4"/>
        <v>45958</v>
      </c>
      <c r="JC5" s="95">
        <f t="shared" si="4"/>
        <v>45959</v>
      </c>
      <c r="JD5" s="95">
        <f t="shared" si="4"/>
        <v>45960</v>
      </c>
      <c r="JE5" s="95">
        <f t="shared" si="4"/>
        <v>45961</v>
      </c>
      <c r="JF5" s="95">
        <f t="shared" si="4"/>
        <v>45962</v>
      </c>
      <c r="JG5" s="95">
        <f t="shared" si="4"/>
        <v>45963</v>
      </c>
      <c r="JH5" s="95">
        <f t="shared" si="4"/>
        <v>45964</v>
      </c>
      <c r="JI5" s="95">
        <f t="shared" si="4"/>
        <v>45965</v>
      </c>
      <c r="JJ5" s="95">
        <f t="shared" si="4"/>
        <v>45966</v>
      </c>
      <c r="JK5" s="95">
        <f t="shared" si="4"/>
        <v>45967</v>
      </c>
      <c r="JL5" s="95">
        <f t="shared" si="4"/>
        <v>45968</v>
      </c>
      <c r="JM5" s="95">
        <f t="shared" si="4"/>
        <v>45969</v>
      </c>
      <c r="JN5" s="95">
        <f t="shared" si="4"/>
        <v>45970</v>
      </c>
      <c r="JO5" s="95">
        <f t="shared" si="4"/>
        <v>45971</v>
      </c>
      <c r="JP5" s="95">
        <f t="shared" si="4"/>
        <v>45972</v>
      </c>
      <c r="JQ5" s="95">
        <f t="shared" si="4"/>
        <v>45973</v>
      </c>
      <c r="JR5" s="95">
        <f t="shared" si="4"/>
        <v>45974</v>
      </c>
      <c r="JS5" s="95">
        <f t="shared" si="4"/>
        <v>45975</v>
      </c>
      <c r="JT5" s="95">
        <f t="shared" si="4"/>
        <v>45976</v>
      </c>
      <c r="JU5" s="95">
        <f t="shared" si="4"/>
        <v>45977</v>
      </c>
      <c r="JV5" s="95">
        <f t="shared" si="4"/>
        <v>45978</v>
      </c>
      <c r="JW5" s="95">
        <f t="shared" si="4"/>
        <v>45979</v>
      </c>
      <c r="JX5" s="95">
        <f t="shared" si="4"/>
        <v>45980</v>
      </c>
      <c r="JY5" s="95">
        <f t="shared" si="4"/>
        <v>45981</v>
      </c>
      <c r="JZ5" s="95">
        <f t="shared" si="4"/>
        <v>45982</v>
      </c>
      <c r="KA5" s="95">
        <f t="shared" si="4"/>
        <v>45983</v>
      </c>
      <c r="KB5" s="95">
        <f t="shared" si="4"/>
        <v>45984</v>
      </c>
      <c r="KC5" s="95">
        <f t="shared" si="4"/>
        <v>45985</v>
      </c>
      <c r="KD5" s="95">
        <f t="shared" si="4"/>
        <v>45986</v>
      </c>
      <c r="KE5" s="95">
        <f t="shared" si="4"/>
        <v>45987</v>
      </c>
      <c r="KF5" s="95">
        <f t="shared" si="4"/>
        <v>45988</v>
      </c>
      <c r="KG5" s="95">
        <f t="shared" si="4"/>
        <v>45989</v>
      </c>
      <c r="KH5" s="95">
        <f t="shared" si="4"/>
        <v>45990</v>
      </c>
      <c r="KI5" s="95">
        <f t="shared" si="4"/>
        <v>45991</v>
      </c>
      <c r="KJ5" s="95">
        <f t="shared" si="4"/>
        <v>45992</v>
      </c>
      <c r="KK5" s="95">
        <f t="shared" si="4"/>
        <v>45993</v>
      </c>
      <c r="KL5" s="95">
        <f t="shared" si="4"/>
        <v>45994</v>
      </c>
      <c r="KM5" s="95">
        <f t="shared" si="4"/>
        <v>45995</v>
      </c>
      <c r="KN5" s="95">
        <f t="shared" si="4"/>
        <v>45996</v>
      </c>
      <c r="KO5" s="95">
        <f t="shared" si="4"/>
        <v>45997</v>
      </c>
      <c r="KP5" s="95">
        <f t="shared" si="4"/>
        <v>45998</v>
      </c>
      <c r="KQ5" s="95">
        <f t="shared" si="4"/>
        <v>45999</v>
      </c>
      <c r="KR5" s="95">
        <f t="shared" si="4"/>
        <v>46000</v>
      </c>
      <c r="KS5" s="95">
        <f t="shared" si="4"/>
        <v>46001</v>
      </c>
      <c r="KT5" s="95">
        <f t="shared" si="4"/>
        <v>46002</v>
      </c>
      <c r="KU5" s="95">
        <f t="shared" si="4"/>
        <v>46003</v>
      </c>
      <c r="KV5" s="95">
        <f t="shared" si="4"/>
        <v>46004</v>
      </c>
      <c r="KW5" s="95">
        <f t="shared" ref="KW5:LN5" si="5">KV5+1</f>
        <v>46005</v>
      </c>
      <c r="KX5" s="95">
        <f t="shared" si="5"/>
        <v>46006</v>
      </c>
      <c r="KY5" s="95">
        <f t="shared" si="5"/>
        <v>46007</v>
      </c>
      <c r="KZ5" s="95">
        <f t="shared" si="5"/>
        <v>46008</v>
      </c>
      <c r="LA5" s="95">
        <f t="shared" si="5"/>
        <v>46009</v>
      </c>
      <c r="LB5" s="95">
        <f t="shared" si="5"/>
        <v>46010</v>
      </c>
      <c r="LC5" s="95">
        <f t="shared" si="5"/>
        <v>46011</v>
      </c>
      <c r="LD5" s="95">
        <f t="shared" si="5"/>
        <v>46012</v>
      </c>
      <c r="LE5" s="95">
        <f t="shared" si="5"/>
        <v>46013</v>
      </c>
      <c r="LF5" s="95">
        <f t="shared" si="5"/>
        <v>46014</v>
      </c>
      <c r="LG5" s="95">
        <f t="shared" si="5"/>
        <v>46015</v>
      </c>
      <c r="LH5" s="95">
        <f t="shared" si="5"/>
        <v>46016</v>
      </c>
      <c r="LI5" s="95">
        <f t="shared" si="5"/>
        <v>46017</v>
      </c>
      <c r="LJ5" s="95">
        <f t="shared" si="5"/>
        <v>46018</v>
      </c>
      <c r="LK5" s="95">
        <f t="shared" si="5"/>
        <v>46019</v>
      </c>
      <c r="LL5" s="95">
        <f t="shared" si="5"/>
        <v>46020</v>
      </c>
      <c r="LM5" s="95">
        <f t="shared" si="5"/>
        <v>46021</v>
      </c>
      <c r="LN5" s="95">
        <f t="shared" si="5"/>
        <v>46022</v>
      </c>
    </row>
    <row r="6" spans="1:326" s="29" customFormat="1" x14ac:dyDescent="0.4">
      <c r="A6" s="377"/>
      <c r="B6" s="377"/>
      <c r="C6" s="377"/>
      <c r="D6" s="377"/>
      <c r="E6" s="96">
        <f>SUM(E10:E42)</f>
        <v>0</v>
      </c>
      <c r="F6" s="97">
        <f t="shared" ref="F6:F47" si="6">SUM(G6:LN6)</f>
        <v>0</v>
      </c>
      <c r="G6" s="98">
        <f t="shared" ref="G6:AL6" si="7">SUM(G10:G42)</f>
        <v>0</v>
      </c>
      <c r="H6" s="98">
        <f t="shared" si="7"/>
        <v>0</v>
      </c>
      <c r="I6" s="98">
        <f t="shared" si="7"/>
        <v>0</v>
      </c>
      <c r="J6" s="98">
        <f t="shared" si="7"/>
        <v>0</v>
      </c>
      <c r="K6" s="98">
        <f t="shared" si="7"/>
        <v>0</v>
      </c>
      <c r="L6" s="98">
        <f t="shared" si="7"/>
        <v>0</v>
      </c>
      <c r="M6" s="98">
        <f t="shared" si="7"/>
        <v>0</v>
      </c>
      <c r="N6" s="98">
        <f t="shared" si="7"/>
        <v>0</v>
      </c>
      <c r="O6" s="98">
        <f t="shared" si="7"/>
        <v>0</v>
      </c>
      <c r="P6" s="98">
        <f t="shared" si="7"/>
        <v>0</v>
      </c>
      <c r="Q6" s="98">
        <f t="shared" si="7"/>
        <v>0</v>
      </c>
      <c r="R6" s="98">
        <f t="shared" si="7"/>
        <v>0</v>
      </c>
      <c r="S6" s="98">
        <f t="shared" si="7"/>
        <v>0</v>
      </c>
      <c r="T6" s="98">
        <f t="shared" si="7"/>
        <v>0</v>
      </c>
      <c r="U6" s="98">
        <f t="shared" si="7"/>
        <v>0</v>
      </c>
      <c r="V6" s="98">
        <f t="shared" si="7"/>
        <v>0</v>
      </c>
      <c r="W6" s="98">
        <f t="shared" si="7"/>
        <v>0</v>
      </c>
      <c r="X6" s="98">
        <f t="shared" si="7"/>
        <v>0</v>
      </c>
      <c r="Y6" s="98">
        <f t="shared" si="7"/>
        <v>0</v>
      </c>
      <c r="Z6" s="98">
        <f t="shared" si="7"/>
        <v>0</v>
      </c>
      <c r="AA6" s="98">
        <f t="shared" si="7"/>
        <v>0</v>
      </c>
      <c r="AB6" s="98">
        <f t="shared" si="7"/>
        <v>0</v>
      </c>
      <c r="AC6" s="98">
        <f t="shared" si="7"/>
        <v>0</v>
      </c>
      <c r="AD6" s="98">
        <f t="shared" si="7"/>
        <v>0</v>
      </c>
      <c r="AE6" s="98">
        <f t="shared" si="7"/>
        <v>0</v>
      </c>
      <c r="AF6" s="98">
        <f t="shared" si="7"/>
        <v>0</v>
      </c>
      <c r="AG6" s="98">
        <f t="shared" si="7"/>
        <v>0</v>
      </c>
      <c r="AH6" s="98">
        <f t="shared" si="7"/>
        <v>0</v>
      </c>
      <c r="AI6" s="98">
        <f t="shared" si="7"/>
        <v>0</v>
      </c>
      <c r="AJ6" s="98">
        <f t="shared" si="7"/>
        <v>0</v>
      </c>
      <c r="AK6" s="98">
        <f t="shared" si="7"/>
        <v>0</v>
      </c>
      <c r="AL6" s="98">
        <f t="shared" si="7"/>
        <v>0</v>
      </c>
      <c r="AM6" s="98">
        <f t="shared" ref="AM6:BR6" si="8">SUM(AM10:AM42)</f>
        <v>0</v>
      </c>
      <c r="AN6" s="98">
        <f t="shared" si="8"/>
        <v>0</v>
      </c>
      <c r="AO6" s="98">
        <f t="shared" si="8"/>
        <v>0</v>
      </c>
      <c r="AP6" s="98">
        <f t="shared" si="8"/>
        <v>0</v>
      </c>
      <c r="AQ6" s="98">
        <f t="shared" si="8"/>
        <v>0</v>
      </c>
      <c r="AR6" s="98">
        <f t="shared" si="8"/>
        <v>0</v>
      </c>
      <c r="AS6" s="98">
        <f t="shared" si="8"/>
        <v>0</v>
      </c>
      <c r="AT6" s="98">
        <f t="shared" si="8"/>
        <v>0</v>
      </c>
      <c r="AU6" s="98">
        <f t="shared" si="8"/>
        <v>0</v>
      </c>
      <c r="AV6" s="98">
        <f t="shared" si="8"/>
        <v>0</v>
      </c>
      <c r="AW6" s="98">
        <f t="shared" si="8"/>
        <v>0</v>
      </c>
      <c r="AX6" s="98">
        <f t="shared" si="8"/>
        <v>0</v>
      </c>
      <c r="AY6" s="98">
        <f t="shared" si="8"/>
        <v>0</v>
      </c>
      <c r="AZ6" s="98">
        <f t="shared" si="8"/>
        <v>0</v>
      </c>
      <c r="BA6" s="98">
        <f t="shared" si="8"/>
        <v>0</v>
      </c>
      <c r="BB6" s="98">
        <f t="shared" si="8"/>
        <v>0</v>
      </c>
      <c r="BC6" s="98">
        <f t="shared" si="8"/>
        <v>0</v>
      </c>
      <c r="BD6" s="98">
        <f t="shared" si="8"/>
        <v>0</v>
      </c>
      <c r="BE6" s="98">
        <f t="shared" si="8"/>
        <v>0</v>
      </c>
      <c r="BF6" s="98">
        <f t="shared" si="8"/>
        <v>0</v>
      </c>
      <c r="BG6" s="98">
        <f t="shared" si="8"/>
        <v>0</v>
      </c>
      <c r="BH6" s="98">
        <f t="shared" si="8"/>
        <v>0</v>
      </c>
      <c r="BI6" s="98">
        <f t="shared" si="8"/>
        <v>0</v>
      </c>
      <c r="BJ6" s="98">
        <f t="shared" si="8"/>
        <v>0</v>
      </c>
      <c r="BK6" s="98">
        <f t="shared" si="8"/>
        <v>0</v>
      </c>
      <c r="BL6" s="98">
        <f t="shared" si="8"/>
        <v>0</v>
      </c>
      <c r="BM6" s="98">
        <f t="shared" si="8"/>
        <v>0</v>
      </c>
      <c r="BN6" s="98">
        <f t="shared" si="8"/>
        <v>0</v>
      </c>
      <c r="BO6" s="98">
        <f t="shared" si="8"/>
        <v>0</v>
      </c>
      <c r="BP6" s="98">
        <f t="shared" si="8"/>
        <v>0</v>
      </c>
      <c r="BQ6" s="98">
        <f t="shared" si="8"/>
        <v>0</v>
      </c>
      <c r="BR6" s="98">
        <f t="shared" si="8"/>
        <v>0</v>
      </c>
      <c r="BS6" s="98">
        <f t="shared" ref="BS6:BZ6" si="9">SUM(BS10:BS42)</f>
        <v>0</v>
      </c>
      <c r="BT6" s="98">
        <f t="shared" si="9"/>
        <v>0</v>
      </c>
      <c r="BU6" s="98">
        <f t="shared" si="9"/>
        <v>0</v>
      </c>
      <c r="BV6" s="98">
        <f t="shared" si="9"/>
        <v>0</v>
      </c>
      <c r="BW6" s="98">
        <f t="shared" si="9"/>
        <v>0</v>
      </c>
      <c r="BX6" s="98">
        <f t="shared" si="9"/>
        <v>0</v>
      </c>
      <c r="BY6" s="98">
        <f t="shared" si="9"/>
        <v>0</v>
      </c>
      <c r="BZ6" s="98">
        <f t="shared" si="9"/>
        <v>0</v>
      </c>
      <c r="CA6" s="98">
        <f t="shared" ref="CA6:DC6" si="10">SUM(CA11:CA42)</f>
        <v>0</v>
      </c>
      <c r="CB6" s="98">
        <f t="shared" si="10"/>
        <v>0</v>
      </c>
      <c r="CC6" s="98">
        <f t="shared" si="10"/>
        <v>0</v>
      </c>
      <c r="CD6" s="98">
        <f t="shared" si="10"/>
        <v>0</v>
      </c>
      <c r="CE6" s="98">
        <f t="shared" si="10"/>
        <v>0</v>
      </c>
      <c r="CF6" s="98">
        <f t="shared" si="10"/>
        <v>0</v>
      </c>
      <c r="CG6" s="98">
        <f t="shared" si="10"/>
        <v>0</v>
      </c>
      <c r="CH6" s="98">
        <f t="shared" si="10"/>
        <v>0</v>
      </c>
      <c r="CI6" s="98">
        <f t="shared" si="10"/>
        <v>0</v>
      </c>
      <c r="CJ6" s="98">
        <f t="shared" si="10"/>
        <v>0</v>
      </c>
      <c r="CK6" s="98">
        <f t="shared" si="10"/>
        <v>0</v>
      </c>
      <c r="CL6" s="98">
        <f t="shared" si="10"/>
        <v>0</v>
      </c>
      <c r="CM6" s="98">
        <f t="shared" si="10"/>
        <v>0</v>
      </c>
      <c r="CN6" s="98">
        <f t="shared" si="10"/>
        <v>0</v>
      </c>
      <c r="CO6" s="98">
        <f t="shared" si="10"/>
        <v>0</v>
      </c>
      <c r="CP6" s="98">
        <f t="shared" si="10"/>
        <v>0</v>
      </c>
      <c r="CQ6" s="98">
        <f t="shared" si="10"/>
        <v>0</v>
      </c>
      <c r="CR6" s="98">
        <f t="shared" si="10"/>
        <v>0</v>
      </c>
      <c r="CS6" s="98">
        <f t="shared" si="10"/>
        <v>0</v>
      </c>
      <c r="CT6" s="98">
        <f t="shared" si="10"/>
        <v>0</v>
      </c>
      <c r="CU6" s="98">
        <f t="shared" si="10"/>
        <v>0</v>
      </c>
      <c r="CV6" s="98">
        <f t="shared" si="10"/>
        <v>0</v>
      </c>
      <c r="CW6" s="98">
        <f t="shared" si="10"/>
        <v>0</v>
      </c>
      <c r="CX6" s="98">
        <f t="shared" si="10"/>
        <v>0</v>
      </c>
      <c r="CY6" s="98">
        <f t="shared" si="10"/>
        <v>0</v>
      </c>
      <c r="CZ6" s="98">
        <f t="shared" si="10"/>
        <v>0</v>
      </c>
      <c r="DA6" s="98">
        <f t="shared" si="10"/>
        <v>0</v>
      </c>
      <c r="DB6" s="98">
        <f t="shared" si="10"/>
        <v>0</v>
      </c>
      <c r="DC6" s="98">
        <f t="shared" si="10"/>
        <v>0</v>
      </c>
      <c r="DD6" s="98">
        <f t="shared" ref="DD6:EI6" si="11">SUM(DD11:DD44)</f>
        <v>0</v>
      </c>
      <c r="DE6" s="98">
        <f t="shared" si="11"/>
        <v>0</v>
      </c>
      <c r="DF6" s="98">
        <f t="shared" si="11"/>
        <v>0</v>
      </c>
      <c r="DG6" s="98">
        <f t="shared" si="11"/>
        <v>0</v>
      </c>
      <c r="DH6" s="98">
        <f t="shared" si="11"/>
        <v>0</v>
      </c>
      <c r="DI6" s="98">
        <f t="shared" si="11"/>
        <v>0</v>
      </c>
      <c r="DJ6" s="98">
        <f t="shared" si="11"/>
        <v>0</v>
      </c>
      <c r="DK6" s="98">
        <f t="shared" si="11"/>
        <v>0</v>
      </c>
      <c r="DL6" s="98">
        <f t="shared" si="11"/>
        <v>0</v>
      </c>
      <c r="DM6" s="98">
        <f t="shared" si="11"/>
        <v>0</v>
      </c>
      <c r="DN6" s="98">
        <f t="shared" si="11"/>
        <v>0</v>
      </c>
      <c r="DO6" s="98">
        <f t="shared" si="11"/>
        <v>0</v>
      </c>
      <c r="DP6" s="98">
        <f t="shared" si="11"/>
        <v>0</v>
      </c>
      <c r="DQ6" s="98">
        <f t="shared" si="11"/>
        <v>0</v>
      </c>
      <c r="DR6" s="98">
        <f t="shared" si="11"/>
        <v>0</v>
      </c>
      <c r="DS6" s="98">
        <f t="shared" si="11"/>
        <v>0</v>
      </c>
      <c r="DT6" s="98">
        <f t="shared" si="11"/>
        <v>0</v>
      </c>
      <c r="DU6" s="98">
        <f t="shared" si="11"/>
        <v>0</v>
      </c>
      <c r="DV6" s="98">
        <f t="shared" si="11"/>
        <v>0</v>
      </c>
      <c r="DW6" s="98">
        <f t="shared" si="11"/>
        <v>0</v>
      </c>
      <c r="DX6" s="98">
        <f t="shared" si="11"/>
        <v>0</v>
      </c>
      <c r="DY6" s="98">
        <f t="shared" si="11"/>
        <v>0</v>
      </c>
      <c r="DZ6" s="98">
        <f t="shared" si="11"/>
        <v>0</v>
      </c>
      <c r="EA6" s="98">
        <f t="shared" si="11"/>
        <v>0</v>
      </c>
      <c r="EB6" s="98">
        <f t="shared" si="11"/>
        <v>0</v>
      </c>
      <c r="EC6" s="98">
        <f t="shared" si="11"/>
        <v>0</v>
      </c>
      <c r="ED6" s="98">
        <f t="shared" si="11"/>
        <v>0</v>
      </c>
      <c r="EE6" s="98">
        <f t="shared" si="11"/>
        <v>0</v>
      </c>
      <c r="EF6" s="98">
        <f t="shared" si="11"/>
        <v>0</v>
      </c>
      <c r="EG6" s="98">
        <f t="shared" si="11"/>
        <v>0</v>
      </c>
      <c r="EH6" s="98">
        <f t="shared" si="11"/>
        <v>0</v>
      </c>
      <c r="EI6" s="98">
        <f t="shared" si="11"/>
        <v>0</v>
      </c>
      <c r="EJ6" s="98">
        <f t="shared" ref="EJ6:FT6" si="12">SUM(EJ11:EJ44)</f>
        <v>0</v>
      </c>
      <c r="EK6" s="98">
        <f t="shared" si="12"/>
        <v>0</v>
      </c>
      <c r="EL6" s="98">
        <f t="shared" si="12"/>
        <v>0</v>
      </c>
      <c r="EM6" s="98">
        <f t="shared" si="12"/>
        <v>0</v>
      </c>
      <c r="EN6" s="98">
        <f t="shared" si="12"/>
        <v>0</v>
      </c>
      <c r="EO6" s="98">
        <f t="shared" si="12"/>
        <v>0</v>
      </c>
      <c r="EP6" s="98">
        <f t="shared" si="12"/>
        <v>0</v>
      </c>
      <c r="EQ6" s="98">
        <f t="shared" si="12"/>
        <v>0</v>
      </c>
      <c r="ER6" s="98">
        <f t="shared" si="12"/>
        <v>0</v>
      </c>
      <c r="ES6" s="98">
        <f t="shared" si="12"/>
        <v>0</v>
      </c>
      <c r="ET6" s="98">
        <f t="shared" si="12"/>
        <v>0</v>
      </c>
      <c r="EU6" s="98">
        <f t="shared" si="12"/>
        <v>0</v>
      </c>
      <c r="EV6" s="98">
        <f t="shared" si="12"/>
        <v>0</v>
      </c>
      <c r="EW6" s="98">
        <f t="shared" si="12"/>
        <v>0</v>
      </c>
      <c r="EX6" s="98">
        <f t="shared" si="12"/>
        <v>0</v>
      </c>
      <c r="EY6" s="98">
        <f t="shared" si="12"/>
        <v>0</v>
      </c>
      <c r="EZ6" s="98">
        <f t="shared" si="12"/>
        <v>0</v>
      </c>
      <c r="FA6" s="98">
        <f t="shared" si="12"/>
        <v>0</v>
      </c>
      <c r="FB6" s="98">
        <f t="shared" si="12"/>
        <v>0</v>
      </c>
      <c r="FC6" s="98">
        <f t="shared" si="12"/>
        <v>0</v>
      </c>
      <c r="FD6" s="98">
        <f t="shared" si="12"/>
        <v>0</v>
      </c>
      <c r="FE6" s="98">
        <f t="shared" si="12"/>
        <v>0</v>
      </c>
      <c r="FF6" s="98">
        <f t="shared" si="12"/>
        <v>0</v>
      </c>
      <c r="FG6" s="98">
        <f t="shared" si="12"/>
        <v>0</v>
      </c>
      <c r="FH6" s="98">
        <f t="shared" si="12"/>
        <v>0</v>
      </c>
      <c r="FI6" s="98">
        <f t="shared" si="12"/>
        <v>0</v>
      </c>
      <c r="FJ6" s="98">
        <f t="shared" si="12"/>
        <v>0</v>
      </c>
      <c r="FK6" s="98">
        <f t="shared" si="12"/>
        <v>0</v>
      </c>
      <c r="FL6" s="98">
        <f t="shared" si="12"/>
        <v>0</v>
      </c>
      <c r="FM6" s="98">
        <f t="shared" si="12"/>
        <v>0</v>
      </c>
      <c r="FN6" s="98">
        <f t="shared" si="12"/>
        <v>0</v>
      </c>
      <c r="FO6" s="98">
        <f t="shared" si="12"/>
        <v>0</v>
      </c>
      <c r="FP6" s="98">
        <f t="shared" si="12"/>
        <v>0</v>
      </c>
      <c r="FQ6" s="98">
        <f t="shared" si="12"/>
        <v>0</v>
      </c>
      <c r="FR6" s="98">
        <f t="shared" si="12"/>
        <v>0</v>
      </c>
      <c r="FS6" s="98">
        <f t="shared" si="12"/>
        <v>0</v>
      </c>
      <c r="FT6" s="98">
        <f t="shared" si="12"/>
        <v>0</v>
      </c>
      <c r="FU6" s="98">
        <f t="shared" ref="FU6:GZ6" si="13">SUM(FU11:FU42)</f>
        <v>0</v>
      </c>
      <c r="FV6" s="98">
        <f t="shared" si="13"/>
        <v>0</v>
      </c>
      <c r="FW6" s="98">
        <f t="shared" si="13"/>
        <v>0</v>
      </c>
      <c r="FX6" s="98">
        <f t="shared" si="13"/>
        <v>0</v>
      </c>
      <c r="FY6" s="98">
        <f t="shared" si="13"/>
        <v>0</v>
      </c>
      <c r="FZ6" s="98">
        <f t="shared" si="13"/>
        <v>0</v>
      </c>
      <c r="GA6" s="98">
        <f t="shared" si="13"/>
        <v>0</v>
      </c>
      <c r="GB6" s="98">
        <f t="shared" si="13"/>
        <v>0</v>
      </c>
      <c r="GC6" s="98">
        <f t="shared" si="13"/>
        <v>0</v>
      </c>
      <c r="GD6" s="98">
        <f t="shared" si="13"/>
        <v>0</v>
      </c>
      <c r="GE6" s="98">
        <f t="shared" si="13"/>
        <v>0</v>
      </c>
      <c r="GF6" s="98">
        <f t="shared" si="13"/>
        <v>0</v>
      </c>
      <c r="GG6" s="98">
        <f t="shared" si="13"/>
        <v>0</v>
      </c>
      <c r="GH6" s="98">
        <f t="shared" si="13"/>
        <v>0</v>
      </c>
      <c r="GI6" s="98">
        <f t="shared" si="13"/>
        <v>0</v>
      </c>
      <c r="GJ6" s="98">
        <f t="shared" si="13"/>
        <v>0</v>
      </c>
      <c r="GK6" s="98">
        <f t="shared" si="13"/>
        <v>0</v>
      </c>
      <c r="GL6" s="98">
        <f t="shared" si="13"/>
        <v>0</v>
      </c>
      <c r="GM6" s="98">
        <f t="shared" si="13"/>
        <v>0</v>
      </c>
      <c r="GN6" s="98">
        <f t="shared" si="13"/>
        <v>0</v>
      </c>
      <c r="GO6" s="98">
        <f t="shared" si="13"/>
        <v>0</v>
      </c>
      <c r="GP6" s="98">
        <f t="shared" si="13"/>
        <v>0</v>
      </c>
      <c r="GQ6" s="98">
        <f t="shared" si="13"/>
        <v>0</v>
      </c>
      <c r="GR6" s="98">
        <f t="shared" si="13"/>
        <v>0</v>
      </c>
      <c r="GS6" s="98">
        <f t="shared" si="13"/>
        <v>0</v>
      </c>
      <c r="GT6" s="98">
        <f t="shared" si="13"/>
        <v>0</v>
      </c>
      <c r="GU6" s="98">
        <f t="shared" si="13"/>
        <v>0</v>
      </c>
      <c r="GV6" s="98">
        <f t="shared" si="13"/>
        <v>0</v>
      </c>
      <c r="GW6" s="98">
        <f t="shared" si="13"/>
        <v>0</v>
      </c>
      <c r="GX6" s="98">
        <f t="shared" si="13"/>
        <v>0</v>
      </c>
      <c r="GY6" s="98">
        <f t="shared" si="13"/>
        <v>0</v>
      </c>
      <c r="GZ6" s="98">
        <f t="shared" si="13"/>
        <v>0</v>
      </c>
      <c r="HA6" s="98">
        <f t="shared" ref="HA6:IF6" si="14">SUM(HA11:HA42)</f>
        <v>0</v>
      </c>
      <c r="HB6" s="98">
        <f t="shared" si="14"/>
        <v>0</v>
      </c>
      <c r="HC6" s="98">
        <f t="shared" si="14"/>
        <v>0</v>
      </c>
      <c r="HD6" s="98">
        <f t="shared" si="14"/>
        <v>0</v>
      </c>
      <c r="HE6" s="98">
        <f t="shared" si="14"/>
        <v>0</v>
      </c>
      <c r="HF6" s="98">
        <f t="shared" si="14"/>
        <v>0</v>
      </c>
      <c r="HG6" s="98">
        <f t="shared" si="14"/>
        <v>0</v>
      </c>
      <c r="HH6" s="98">
        <f t="shared" si="14"/>
        <v>0</v>
      </c>
      <c r="HI6" s="98">
        <f t="shared" si="14"/>
        <v>0</v>
      </c>
      <c r="HJ6" s="98">
        <f t="shared" si="14"/>
        <v>0</v>
      </c>
      <c r="HK6" s="98">
        <f t="shared" si="14"/>
        <v>0</v>
      </c>
      <c r="HL6" s="98">
        <f t="shared" si="14"/>
        <v>0</v>
      </c>
      <c r="HM6" s="98">
        <f t="shared" si="14"/>
        <v>0</v>
      </c>
      <c r="HN6" s="98">
        <f t="shared" si="14"/>
        <v>0</v>
      </c>
      <c r="HO6" s="98">
        <f t="shared" si="14"/>
        <v>0</v>
      </c>
      <c r="HP6" s="98">
        <f t="shared" si="14"/>
        <v>0</v>
      </c>
      <c r="HQ6" s="98">
        <f t="shared" si="14"/>
        <v>0</v>
      </c>
      <c r="HR6" s="98">
        <f t="shared" si="14"/>
        <v>0</v>
      </c>
      <c r="HS6" s="98">
        <f t="shared" si="14"/>
        <v>0</v>
      </c>
      <c r="HT6" s="98">
        <f t="shared" si="14"/>
        <v>0</v>
      </c>
      <c r="HU6" s="98">
        <f t="shared" si="14"/>
        <v>0</v>
      </c>
      <c r="HV6" s="98">
        <f t="shared" si="14"/>
        <v>0</v>
      </c>
      <c r="HW6" s="98">
        <f t="shared" si="14"/>
        <v>0</v>
      </c>
      <c r="HX6" s="98">
        <f t="shared" si="14"/>
        <v>0</v>
      </c>
      <c r="HY6" s="98">
        <f t="shared" si="14"/>
        <v>0</v>
      </c>
      <c r="HZ6" s="98">
        <f t="shared" si="14"/>
        <v>0</v>
      </c>
      <c r="IA6" s="98">
        <f t="shared" si="14"/>
        <v>0</v>
      </c>
      <c r="IB6" s="98">
        <f t="shared" si="14"/>
        <v>0</v>
      </c>
      <c r="IC6" s="98">
        <f t="shared" si="14"/>
        <v>0</v>
      </c>
      <c r="ID6" s="98">
        <f t="shared" si="14"/>
        <v>0</v>
      </c>
      <c r="IE6" s="98">
        <f t="shared" si="14"/>
        <v>0</v>
      </c>
      <c r="IF6" s="98">
        <f t="shared" si="14"/>
        <v>0</v>
      </c>
      <c r="IG6" s="98">
        <f t="shared" ref="IG6:JL6" si="15">SUM(IG11:IG42)</f>
        <v>0</v>
      </c>
      <c r="IH6" s="98">
        <f t="shared" si="15"/>
        <v>0</v>
      </c>
      <c r="II6" s="98">
        <f t="shared" si="15"/>
        <v>0</v>
      </c>
      <c r="IJ6" s="98">
        <f t="shared" si="15"/>
        <v>0</v>
      </c>
      <c r="IK6" s="98">
        <f t="shared" si="15"/>
        <v>0</v>
      </c>
      <c r="IL6" s="98">
        <f t="shared" si="15"/>
        <v>0</v>
      </c>
      <c r="IM6" s="98">
        <f t="shared" si="15"/>
        <v>0</v>
      </c>
      <c r="IN6" s="98">
        <f t="shared" si="15"/>
        <v>0</v>
      </c>
      <c r="IO6" s="98">
        <f t="shared" si="15"/>
        <v>0</v>
      </c>
      <c r="IP6" s="98">
        <f t="shared" si="15"/>
        <v>0</v>
      </c>
      <c r="IQ6" s="98">
        <f t="shared" si="15"/>
        <v>0</v>
      </c>
      <c r="IR6" s="98">
        <f t="shared" si="15"/>
        <v>0</v>
      </c>
      <c r="IS6" s="98">
        <f t="shared" si="15"/>
        <v>0</v>
      </c>
      <c r="IT6" s="98">
        <f t="shared" si="15"/>
        <v>0</v>
      </c>
      <c r="IU6" s="98">
        <f t="shared" si="15"/>
        <v>0</v>
      </c>
      <c r="IV6" s="98">
        <f t="shared" si="15"/>
        <v>0</v>
      </c>
      <c r="IW6" s="98">
        <f t="shared" si="15"/>
        <v>0</v>
      </c>
      <c r="IX6" s="98">
        <f t="shared" si="15"/>
        <v>0</v>
      </c>
      <c r="IY6" s="98">
        <f t="shared" si="15"/>
        <v>0</v>
      </c>
      <c r="IZ6" s="98">
        <f t="shared" si="15"/>
        <v>0</v>
      </c>
      <c r="JA6" s="98">
        <f t="shared" si="15"/>
        <v>0</v>
      </c>
      <c r="JB6" s="98">
        <f t="shared" si="15"/>
        <v>0</v>
      </c>
      <c r="JC6" s="98">
        <f t="shared" si="15"/>
        <v>0</v>
      </c>
      <c r="JD6" s="98">
        <f t="shared" si="15"/>
        <v>0</v>
      </c>
      <c r="JE6" s="98">
        <f t="shared" si="15"/>
        <v>0</v>
      </c>
      <c r="JF6" s="98">
        <f t="shared" si="15"/>
        <v>0</v>
      </c>
      <c r="JG6" s="98">
        <f t="shared" si="15"/>
        <v>0</v>
      </c>
      <c r="JH6" s="98">
        <f t="shared" si="15"/>
        <v>0</v>
      </c>
      <c r="JI6" s="98">
        <f t="shared" si="15"/>
        <v>0</v>
      </c>
      <c r="JJ6" s="98">
        <f t="shared" si="15"/>
        <v>0</v>
      </c>
      <c r="JK6" s="98">
        <f t="shared" si="15"/>
        <v>0</v>
      </c>
      <c r="JL6" s="98">
        <f t="shared" si="15"/>
        <v>0</v>
      </c>
      <c r="JM6" s="98">
        <f t="shared" ref="JM6:KR6" si="16">SUM(JM11:JM42)</f>
        <v>0</v>
      </c>
      <c r="JN6" s="98">
        <f t="shared" si="16"/>
        <v>0</v>
      </c>
      <c r="JO6" s="98">
        <f t="shared" si="16"/>
        <v>0</v>
      </c>
      <c r="JP6" s="98">
        <f t="shared" si="16"/>
        <v>0</v>
      </c>
      <c r="JQ6" s="98">
        <f t="shared" si="16"/>
        <v>0</v>
      </c>
      <c r="JR6" s="98">
        <f t="shared" si="16"/>
        <v>0</v>
      </c>
      <c r="JS6" s="98">
        <f t="shared" si="16"/>
        <v>0</v>
      </c>
      <c r="JT6" s="98">
        <f t="shared" si="16"/>
        <v>0</v>
      </c>
      <c r="JU6" s="98">
        <f t="shared" si="16"/>
        <v>0</v>
      </c>
      <c r="JV6" s="98">
        <f t="shared" si="16"/>
        <v>0</v>
      </c>
      <c r="JW6" s="98">
        <f t="shared" si="16"/>
        <v>0</v>
      </c>
      <c r="JX6" s="98">
        <f t="shared" si="16"/>
        <v>0</v>
      </c>
      <c r="JY6" s="98">
        <f t="shared" si="16"/>
        <v>0</v>
      </c>
      <c r="JZ6" s="98">
        <f t="shared" si="16"/>
        <v>0</v>
      </c>
      <c r="KA6" s="98">
        <f t="shared" si="16"/>
        <v>0</v>
      </c>
      <c r="KB6" s="98">
        <f t="shared" si="16"/>
        <v>0</v>
      </c>
      <c r="KC6" s="98">
        <f t="shared" si="16"/>
        <v>0</v>
      </c>
      <c r="KD6" s="98">
        <f t="shared" si="16"/>
        <v>0</v>
      </c>
      <c r="KE6" s="98">
        <f t="shared" si="16"/>
        <v>0</v>
      </c>
      <c r="KF6" s="98">
        <f t="shared" si="16"/>
        <v>0</v>
      </c>
      <c r="KG6" s="98">
        <f t="shared" si="16"/>
        <v>0</v>
      </c>
      <c r="KH6" s="98">
        <f t="shared" si="16"/>
        <v>0</v>
      </c>
      <c r="KI6" s="98">
        <f t="shared" si="16"/>
        <v>0</v>
      </c>
      <c r="KJ6" s="98">
        <f t="shared" si="16"/>
        <v>0</v>
      </c>
      <c r="KK6" s="98">
        <f t="shared" si="16"/>
        <v>0</v>
      </c>
      <c r="KL6" s="98">
        <f t="shared" si="16"/>
        <v>0</v>
      </c>
      <c r="KM6" s="98">
        <f t="shared" si="16"/>
        <v>0</v>
      </c>
      <c r="KN6" s="98">
        <f t="shared" si="16"/>
        <v>0</v>
      </c>
      <c r="KO6" s="98">
        <f t="shared" si="16"/>
        <v>0</v>
      </c>
      <c r="KP6" s="98">
        <f t="shared" si="16"/>
        <v>0</v>
      </c>
      <c r="KQ6" s="98">
        <f t="shared" si="16"/>
        <v>0</v>
      </c>
      <c r="KR6" s="98">
        <f t="shared" si="16"/>
        <v>0</v>
      </c>
      <c r="KS6" s="98">
        <f t="shared" ref="KS6:LN6" si="17">SUM(KS11:KS42)</f>
        <v>0</v>
      </c>
      <c r="KT6" s="98">
        <f t="shared" si="17"/>
        <v>0</v>
      </c>
      <c r="KU6" s="98">
        <f t="shared" si="17"/>
        <v>0</v>
      </c>
      <c r="KV6" s="98">
        <f t="shared" si="17"/>
        <v>0</v>
      </c>
      <c r="KW6" s="98">
        <f t="shared" si="17"/>
        <v>0</v>
      </c>
      <c r="KX6" s="98">
        <f t="shared" si="17"/>
        <v>0</v>
      </c>
      <c r="KY6" s="98">
        <f t="shared" si="17"/>
        <v>0</v>
      </c>
      <c r="KZ6" s="98">
        <f t="shared" si="17"/>
        <v>0</v>
      </c>
      <c r="LA6" s="98">
        <f t="shared" si="17"/>
        <v>0</v>
      </c>
      <c r="LB6" s="98">
        <f t="shared" si="17"/>
        <v>0</v>
      </c>
      <c r="LC6" s="98">
        <f t="shared" si="17"/>
        <v>0</v>
      </c>
      <c r="LD6" s="98">
        <f t="shared" si="17"/>
        <v>0</v>
      </c>
      <c r="LE6" s="98">
        <f t="shared" si="17"/>
        <v>0</v>
      </c>
      <c r="LF6" s="98">
        <f t="shared" si="17"/>
        <v>0</v>
      </c>
      <c r="LG6" s="98">
        <f t="shared" si="17"/>
        <v>0</v>
      </c>
      <c r="LH6" s="98">
        <f t="shared" si="17"/>
        <v>0</v>
      </c>
      <c r="LI6" s="98">
        <f t="shared" si="17"/>
        <v>0</v>
      </c>
      <c r="LJ6" s="98">
        <f t="shared" si="17"/>
        <v>0</v>
      </c>
      <c r="LK6" s="98">
        <f t="shared" si="17"/>
        <v>0</v>
      </c>
      <c r="LL6" s="98">
        <f t="shared" si="17"/>
        <v>0</v>
      </c>
      <c r="LM6" s="98">
        <f t="shared" si="17"/>
        <v>0</v>
      </c>
      <c r="LN6" s="98">
        <f t="shared" si="17"/>
        <v>0</v>
      </c>
    </row>
    <row r="7" spans="1:326" s="29" customFormat="1" x14ac:dyDescent="0.4">
      <c r="A7" s="74">
        <v>1</v>
      </c>
      <c r="B7" s="380" t="s">
        <v>402</v>
      </c>
      <c r="C7" s="380"/>
      <c r="D7" s="75" t="s">
        <v>270</v>
      </c>
      <c r="E7" s="76"/>
      <c r="F7" s="77">
        <f t="shared" si="6"/>
        <v>58</v>
      </c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3">
        <v>1</v>
      </c>
      <c r="BG7" s="3">
        <v>1</v>
      </c>
      <c r="BH7" s="3">
        <v>1</v>
      </c>
      <c r="BI7" s="3">
        <v>1</v>
      </c>
      <c r="BJ7" s="3">
        <v>2</v>
      </c>
      <c r="BK7" s="3">
        <v>2</v>
      </c>
      <c r="BL7" s="3">
        <v>1</v>
      </c>
      <c r="BM7" s="3">
        <v>1</v>
      </c>
      <c r="BN7" s="3"/>
      <c r="BO7" s="3"/>
      <c r="BP7" s="3">
        <v>4</v>
      </c>
      <c r="BQ7" s="3">
        <v>4</v>
      </c>
      <c r="BR7" s="3">
        <v>4</v>
      </c>
      <c r="BS7" s="3">
        <v>4</v>
      </c>
      <c r="BT7">
        <v>4</v>
      </c>
      <c r="BU7">
        <v>6</v>
      </c>
      <c r="BV7">
        <v>6</v>
      </c>
      <c r="BW7">
        <v>6</v>
      </c>
      <c r="BX7">
        <v>6</v>
      </c>
      <c r="BY7">
        <v>4</v>
      </c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/>
      <c r="HZ7" s="78"/>
      <c r="IA7" s="78"/>
      <c r="IB7" s="78"/>
      <c r="IC7" s="78"/>
      <c r="ID7" s="78"/>
      <c r="IE7" s="78"/>
      <c r="IF7" s="78"/>
      <c r="IG7" s="78"/>
      <c r="IH7" s="78"/>
      <c r="II7" s="78"/>
      <c r="IJ7" s="78"/>
      <c r="IK7" s="78"/>
      <c r="IL7" s="78"/>
      <c r="IM7" s="78"/>
      <c r="IN7" s="78"/>
      <c r="IO7" s="78"/>
      <c r="IP7" s="78"/>
      <c r="IQ7" s="78"/>
      <c r="IR7" s="78"/>
      <c r="IS7" s="78"/>
      <c r="IT7" s="78"/>
      <c r="IU7" s="78"/>
      <c r="IV7" s="78"/>
      <c r="IW7" s="78"/>
      <c r="IX7" s="78"/>
      <c r="IY7" s="78"/>
      <c r="IZ7" s="78"/>
      <c r="JA7" s="78"/>
      <c r="JB7" s="78"/>
      <c r="JC7" s="78"/>
      <c r="JD7" s="78"/>
      <c r="JE7" s="78"/>
      <c r="JF7" s="78"/>
      <c r="JG7" s="78"/>
      <c r="JH7" s="78"/>
      <c r="JI7" s="78"/>
      <c r="JJ7" s="78"/>
      <c r="JK7" s="78"/>
      <c r="JL7" s="78"/>
      <c r="JM7" s="78"/>
      <c r="JN7" s="78"/>
      <c r="JO7" s="78"/>
      <c r="JP7" s="78"/>
      <c r="JQ7" s="78"/>
      <c r="JR7" s="78"/>
      <c r="JS7" s="78"/>
      <c r="JT7" s="78"/>
      <c r="JU7" s="78"/>
      <c r="JV7" s="78"/>
      <c r="JW7" s="78"/>
      <c r="JX7" s="78"/>
      <c r="JY7" s="78"/>
      <c r="JZ7" s="78"/>
      <c r="KA7" s="78"/>
      <c r="KB7" s="78"/>
      <c r="KC7" s="78"/>
      <c r="KD7" s="78"/>
      <c r="KE7" s="78"/>
      <c r="KF7" s="78"/>
      <c r="KG7" s="78"/>
      <c r="KH7" s="78"/>
      <c r="KI7" s="78"/>
      <c r="KJ7" s="78"/>
      <c r="KK7" s="78"/>
      <c r="KL7" s="78"/>
      <c r="KM7" s="78"/>
      <c r="KN7" s="78"/>
      <c r="KO7" s="78"/>
      <c r="KP7" s="78"/>
      <c r="KQ7" s="78"/>
      <c r="KR7" s="78"/>
      <c r="KS7" s="78"/>
      <c r="KT7" s="78"/>
      <c r="KU7" s="78"/>
      <c r="KV7" s="78"/>
      <c r="KW7" s="78"/>
      <c r="KX7" s="78"/>
      <c r="KY7" s="78"/>
      <c r="KZ7" s="78"/>
      <c r="LA7" s="78"/>
      <c r="LB7" s="78"/>
      <c r="LC7" s="78"/>
      <c r="LD7" s="78"/>
      <c r="LE7" s="78"/>
      <c r="LF7" s="78"/>
      <c r="LG7" s="78"/>
      <c r="LH7" s="78"/>
      <c r="LI7" s="78"/>
      <c r="LJ7" s="78"/>
      <c r="LK7" s="78"/>
      <c r="LL7" s="78"/>
      <c r="LM7" s="78"/>
      <c r="LN7" s="78"/>
    </row>
    <row r="8" spans="1:326" s="29" customFormat="1" hidden="1" x14ac:dyDescent="0.4">
      <c r="A8" s="74">
        <f>A7+1</f>
        <v>2</v>
      </c>
      <c r="B8" s="380"/>
      <c r="C8" s="380"/>
      <c r="D8" s="75" t="s">
        <v>271</v>
      </c>
      <c r="E8" s="76"/>
      <c r="F8" s="77">
        <f t="shared" si="6"/>
        <v>0</v>
      </c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/>
      <c r="GE8" s="78"/>
      <c r="GF8" s="78"/>
      <c r="GG8" s="78"/>
      <c r="GH8" s="78"/>
      <c r="GI8" s="78"/>
      <c r="GJ8" s="78"/>
      <c r="GK8" s="78"/>
      <c r="GL8" s="78"/>
      <c r="GM8" s="78"/>
      <c r="GN8" s="78"/>
      <c r="GO8" s="78"/>
      <c r="GP8" s="78"/>
      <c r="GQ8" s="78"/>
      <c r="GR8" s="78"/>
      <c r="GS8" s="78"/>
      <c r="GT8" s="78"/>
      <c r="GU8" s="78"/>
      <c r="GV8" s="78"/>
      <c r="GW8" s="78"/>
      <c r="GX8" s="78"/>
      <c r="GY8" s="78"/>
      <c r="GZ8" s="78"/>
      <c r="HA8" s="78"/>
      <c r="HB8" s="78"/>
      <c r="HC8" s="78"/>
      <c r="HD8" s="78"/>
      <c r="HE8" s="78"/>
      <c r="HF8" s="78"/>
      <c r="HG8" s="78"/>
      <c r="HH8" s="78"/>
      <c r="HI8" s="78"/>
      <c r="HJ8" s="78"/>
      <c r="HK8" s="78"/>
      <c r="HL8" s="78"/>
      <c r="HM8" s="78"/>
      <c r="HN8" s="78"/>
      <c r="HO8" s="78"/>
      <c r="HP8" s="78"/>
      <c r="HQ8" s="78"/>
      <c r="HR8" s="78"/>
      <c r="HS8" s="78"/>
      <c r="HT8" s="78"/>
      <c r="HU8" s="78"/>
      <c r="HV8" s="78"/>
      <c r="HW8" s="78"/>
      <c r="HX8" s="78"/>
      <c r="HY8" s="78"/>
      <c r="HZ8" s="78"/>
      <c r="IA8" s="78"/>
      <c r="IB8" s="78"/>
      <c r="IC8" s="78"/>
      <c r="ID8" s="78"/>
      <c r="IE8" s="78"/>
      <c r="IF8" s="78"/>
      <c r="IG8" s="78"/>
      <c r="IH8" s="78"/>
      <c r="II8" s="78"/>
      <c r="IJ8" s="78"/>
      <c r="IK8" s="78"/>
      <c r="IL8" s="78"/>
      <c r="IM8" s="78"/>
      <c r="IN8" s="78"/>
      <c r="IO8" s="78"/>
      <c r="IP8" s="78"/>
      <c r="IQ8" s="78"/>
      <c r="IR8" s="78"/>
      <c r="IS8" s="78"/>
      <c r="IT8" s="78"/>
      <c r="IU8" s="78"/>
      <c r="IV8" s="78"/>
      <c r="IW8" s="78"/>
      <c r="IX8" s="78"/>
      <c r="IY8" s="78"/>
      <c r="IZ8" s="78"/>
      <c r="JA8" s="78"/>
      <c r="JB8" s="78"/>
      <c r="JC8" s="78"/>
      <c r="JD8" s="78"/>
      <c r="JE8" s="78"/>
      <c r="JF8" s="78"/>
      <c r="JG8" s="78"/>
      <c r="JH8" s="78"/>
      <c r="JI8" s="78"/>
      <c r="JJ8" s="78"/>
      <c r="JK8" s="78"/>
      <c r="JL8" s="78"/>
      <c r="JM8" s="78"/>
      <c r="JN8" s="78"/>
      <c r="JO8" s="78"/>
      <c r="JP8" s="78"/>
      <c r="JQ8" s="78"/>
      <c r="JR8" s="78"/>
      <c r="JS8" s="78"/>
      <c r="JT8" s="78"/>
      <c r="JU8" s="78"/>
      <c r="JV8" s="78"/>
      <c r="JW8" s="78"/>
      <c r="JX8" s="78"/>
      <c r="JY8" s="78"/>
      <c r="JZ8" s="78"/>
      <c r="KA8" s="78"/>
      <c r="KB8" s="78"/>
      <c r="KC8" s="78"/>
      <c r="KD8" s="78"/>
      <c r="KE8" s="78"/>
      <c r="KF8" s="78"/>
      <c r="KG8" s="78"/>
      <c r="KH8" s="78"/>
      <c r="KI8" s="78"/>
      <c r="KJ8" s="78"/>
      <c r="KK8" s="78"/>
      <c r="KL8" s="78"/>
      <c r="KM8" s="78"/>
      <c r="KN8" s="78"/>
      <c r="KO8" s="78"/>
      <c r="KP8" s="78"/>
      <c r="KQ8" s="78"/>
      <c r="KR8" s="78"/>
      <c r="KS8" s="78"/>
      <c r="KT8" s="78"/>
      <c r="KU8" s="78"/>
      <c r="KV8" s="78"/>
      <c r="KW8" s="78"/>
      <c r="KX8" s="78"/>
      <c r="KY8" s="78"/>
      <c r="KZ8" s="78"/>
      <c r="LA8" s="78"/>
      <c r="LB8" s="78"/>
      <c r="LC8" s="78"/>
      <c r="LD8" s="78"/>
      <c r="LE8" s="78"/>
      <c r="LF8" s="78"/>
      <c r="LG8" s="78"/>
      <c r="LH8" s="78"/>
      <c r="LI8" s="78"/>
      <c r="LJ8" s="78"/>
      <c r="LK8" s="78"/>
      <c r="LL8" s="78"/>
      <c r="LM8" s="78"/>
      <c r="LN8" s="78"/>
    </row>
    <row r="9" spans="1:326" s="29" customFormat="1" hidden="1" x14ac:dyDescent="0.4">
      <c r="A9" s="74">
        <f>A8+1</f>
        <v>3</v>
      </c>
      <c r="B9" s="380"/>
      <c r="C9" s="380"/>
      <c r="D9" s="75" t="s">
        <v>272</v>
      </c>
      <c r="E9" s="76"/>
      <c r="F9" s="77">
        <f t="shared" si="6"/>
        <v>0</v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  <c r="FU9" s="78"/>
      <c r="FV9" s="78"/>
      <c r="FW9" s="78"/>
      <c r="FX9" s="78"/>
      <c r="FY9" s="78"/>
      <c r="FZ9" s="78"/>
      <c r="GA9" s="78"/>
      <c r="GB9" s="78"/>
      <c r="GC9" s="78"/>
      <c r="GD9" s="78"/>
      <c r="GE9" s="78"/>
      <c r="GF9" s="78"/>
      <c r="GG9" s="78"/>
      <c r="GH9" s="78"/>
      <c r="GI9" s="78"/>
      <c r="GJ9" s="78"/>
      <c r="GK9" s="78"/>
      <c r="GL9" s="78"/>
      <c r="GM9" s="78"/>
      <c r="GN9" s="78"/>
      <c r="GO9" s="78"/>
      <c r="GP9" s="78"/>
      <c r="GQ9" s="78"/>
      <c r="GR9" s="78"/>
      <c r="GS9" s="78"/>
      <c r="GT9" s="78"/>
      <c r="GU9" s="78"/>
      <c r="GV9" s="78"/>
      <c r="GW9" s="78"/>
      <c r="GX9" s="78"/>
      <c r="GY9" s="78"/>
      <c r="GZ9" s="78"/>
      <c r="HA9" s="78"/>
      <c r="HB9" s="78"/>
      <c r="HC9" s="78"/>
      <c r="HD9" s="78"/>
      <c r="HE9" s="78"/>
      <c r="HF9" s="78"/>
      <c r="HG9" s="78"/>
      <c r="HH9" s="78"/>
      <c r="HI9" s="78"/>
      <c r="HJ9" s="78"/>
      <c r="HK9" s="78"/>
      <c r="HL9" s="78"/>
      <c r="HM9" s="78"/>
      <c r="HN9" s="78"/>
      <c r="HO9" s="78"/>
      <c r="HP9" s="78"/>
      <c r="HQ9" s="78"/>
      <c r="HR9" s="78"/>
      <c r="HS9" s="78"/>
      <c r="HT9" s="78"/>
      <c r="HU9" s="78"/>
      <c r="HV9" s="78"/>
      <c r="HW9" s="78"/>
      <c r="HX9" s="78"/>
      <c r="HY9" s="78"/>
      <c r="HZ9" s="78"/>
      <c r="IA9" s="78"/>
      <c r="IB9" s="78"/>
      <c r="IC9" s="78"/>
      <c r="ID9" s="78"/>
      <c r="IE9" s="78"/>
      <c r="IF9" s="78"/>
      <c r="IG9" s="78"/>
      <c r="IH9" s="78"/>
      <c r="II9" s="78"/>
      <c r="IJ9" s="78"/>
      <c r="IK9" s="78"/>
      <c r="IL9" s="78"/>
      <c r="IM9" s="78"/>
      <c r="IN9" s="78"/>
      <c r="IO9" s="78"/>
      <c r="IP9" s="78"/>
      <c r="IQ9" s="78"/>
      <c r="IR9" s="78"/>
      <c r="IS9" s="78"/>
      <c r="IT9" s="78"/>
      <c r="IU9" s="78"/>
      <c r="IV9" s="78"/>
      <c r="IW9" s="78"/>
      <c r="IX9" s="78"/>
      <c r="IY9" s="78"/>
      <c r="IZ9" s="78"/>
      <c r="JA9" s="78"/>
      <c r="JB9" s="78"/>
      <c r="JC9" s="78"/>
      <c r="JD9" s="78"/>
      <c r="JE9" s="78"/>
      <c r="JF9" s="78"/>
      <c r="JG9" s="78"/>
      <c r="JH9" s="78"/>
      <c r="JI9" s="78"/>
      <c r="JJ9" s="78"/>
      <c r="JK9" s="78"/>
      <c r="JL9" s="78"/>
      <c r="JM9" s="78"/>
      <c r="JN9" s="78"/>
      <c r="JO9" s="78"/>
      <c r="JP9" s="78"/>
      <c r="JQ9" s="78"/>
      <c r="JR9" s="78"/>
      <c r="JS9" s="78"/>
      <c r="JT9" s="78"/>
      <c r="JU9" s="78"/>
      <c r="JV9" s="78"/>
      <c r="JW9" s="78"/>
      <c r="JX9" s="78"/>
      <c r="JY9" s="78"/>
      <c r="JZ9" s="78"/>
      <c r="KA9" s="78"/>
      <c r="KB9" s="78"/>
      <c r="KC9" s="78"/>
      <c r="KD9" s="78"/>
      <c r="KE9" s="78"/>
      <c r="KF9" s="78"/>
      <c r="KG9" s="78"/>
      <c r="KH9" s="78"/>
      <c r="KI9" s="78"/>
      <c r="KJ9" s="78"/>
      <c r="KK9" s="78"/>
      <c r="KL9" s="78"/>
      <c r="KM9" s="78"/>
      <c r="KN9" s="78"/>
      <c r="KO9" s="78"/>
      <c r="KP9" s="78"/>
      <c r="KQ9" s="78"/>
      <c r="KR9" s="78"/>
      <c r="KS9" s="78"/>
      <c r="KT9" s="78"/>
      <c r="KU9" s="78"/>
      <c r="KV9" s="78"/>
      <c r="KW9" s="78"/>
      <c r="KX9" s="78"/>
      <c r="KY9" s="78"/>
      <c r="KZ9" s="78"/>
      <c r="LA9" s="78"/>
      <c r="LB9" s="78"/>
      <c r="LC9" s="78"/>
      <c r="LD9" s="78"/>
      <c r="LE9" s="78"/>
      <c r="LF9" s="78"/>
      <c r="LG9" s="78"/>
      <c r="LH9" s="78"/>
      <c r="LI9" s="78"/>
      <c r="LJ9" s="78"/>
      <c r="LK9" s="78"/>
      <c r="LL9" s="78"/>
      <c r="LM9" s="78"/>
      <c r="LN9" s="78"/>
    </row>
    <row r="10" spans="1:326" hidden="1" x14ac:dyDescent="0.4">
      <c r="A10" s="79">
        <f>ROW()-8</f>
        <v>2</v>
      </c>
      <c r="B10" s="380"/>
      <c r="C10" s="380"/>
      <c r="D10" s="80" t="s">
        <v>273</v>
      </c>
      <c r="E10" s="79">
        <f>SUMIFS(G10:XFD10,$G$5:$XFD$5,$E$5)</f>
        <v>0</v>
      </c>
      <c r="F10" s="77">
        <f t="shared" si="6"/>
        <v>0</v>
      </c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  <c r="HC10" s="81"/>
      <c r="HD10" s="81"/>
      <c r="HE10" s="81"/>
      <c r="HF10" s="81"/>
      <c r="HG10" s="81"/>
      <c r="HH10" s="81"/>
      <c r="HI10" s="81"/>
      <c r="HJ10" s="81"/>
      <c r="HK10" s="81"/>
      <c r="HL10" s="81"/>
      <c r="HM10" s="81"/>
      <c r="HN10" s="81"/>
      <c r="HO10" s="81"/>
      <c r="HP10" s="81"/>
      <c r="HQ10" s="81"/>
      <c r="HR10" s="81"/>
      <c r="HS10" s="81"/>
      <c r="HT10" s="81"/>
      <c r="HU10" s="81"/>
      <c r="HV10" s="81"/>
      <c r="HW10" s="81"/>
      <c r="HX10" s="81"/>
      <c r="HY10" s="81"/>
      <c r="HZ10" s="81"/>
      <c r="IA10" s="81"/>
      <c r="IB10" s="81"/>
      <c r="IC10" s="81"/>
      <c r="ID10" s="81"/>
      <c r="IE10" s="81"/>
      <c r="IF10" s="81"/>
      <c r="IG10" s="81"/>
      <c r="IH10" s="81"/>
      <c r="II10" s="81"/>
      <c r="IJ10" s="81"/>
      <c r="IK10" s="81"/>
      <c r="IL10" s="81"/>
      <c r="IM10" s="81"/>
      <c r="IN10" s="81"/>
      <c r="IO10" s="81"/>
      <c r="IP10" s="81"/>
      <c r="IQ10" s="81"/>
      <c r="IR10" s="81"/>
      <c r="IS10" s="81"/>
      <c r="IT10" s="81"/>
      <c r="IU10" s="81"/>
      <c r="IV10" s="81"/>
      <c r="IW10" s="81"/>
      <c r="IX10" s="81"/>
      <c r="IY10" s="81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  <c r="JX10" s="81"/>
      <c r="JY10" s="81"/>
      <c r="JZ10" s="81"/>
      <c r="KA10" s="81"/>
      <c r="KB10" s="81"/>
      <c r="KC10" s="81"/>
      <c r="KD10" s="81"/>
      <c r="KE10" s="81"/>
      <c r="KF10" s="81"/>
      <c r="KG10" s="81"/>
      <c r="KH10" s="81"/>
      <c r="KI10" s="81"/>
      <c r="KJ10" s="81"/>
      <c r="KK10" s="81"/>
      <c r="KL10" s="81"/>
      <c r="KM10" s="81"/>
      <c r="KN10" s="81"/>
      <c r="KO10" s="81"/>
      <c r="KP10" s="81"/>
      <c r="KQ10" s="81"/>
      <c r="KR10" s="81"/>
      <c r="KS10" s="81"/>
      <c r="KT10" s="81"/>
      <c r="KU10" s="81"/>
      <c r="KV10" s="81"/>
      <c r="KW10" s="81"/>
      <c r="KX10" s="81"/>
      <c r="KY10" s="81"/>
      <c r="KZ10" s="81"/>
      <c r="LA10" s="81"/>
      <c r="LB10" s="81"/>
      <c r="LC10" s="81"/>
      <c r="LD10" s="81"/>
      <c r="LE10" s="81"/>
      <c r="LF10" s="81"/>
      <c r="LG10" s="81"/>
      <c r="LH10" s="81"/>
      <c r="LI10" s="81"/>
      <c r="LJ10" s="81"/>
      <c r="LK10" s="81"/>
      <c r="LL10" s="81"/>
      <c r="LM10" s="81"/>
      <c r="LN10" s="81"/>
    </row>
    <row r="11" spans="1:326" x14ac:dyDescent="0.4">
      <c r="A11" s="82">
        <f>A10+1</f>
        <v>3</v>
      </c>
      <c r="B11" s="378" t="s">
        <v>274</v>
      </c>
      <c r="C11" s="381"/>
      <c r="D11" s="83" t="s">
        <v>275</v>
      </c>
      <c r="E11" s="79"/>
      <c r="F11" s="77">
        <f t="shared" si="6"/>
        <v>0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  <c r="HC11" s="81"/>
      <c r="HD11" s="81"/>
      <c r="HE11" s="81"/>
      <c r="HF11" s="81"/>
      <c r="HG11" s="81"/>
      <c r="HH11" s="81"/>
      <c r="HI11" s="81"/>
      <c r="HJ11" s="81"/>
      <c r="HK11" s="81"/>
      <c r="HL11" s="81"/>
      <c r="HM11" s="81"/>
      <c r="HN11" s="81"/>
      <c r="HO11" s="81"/>
      <c r="HP11" s="81"/>
      <c r="HQ11" s="81"/>
      <c r="HR11" s="81"/>
      <c r="HS11" s="81"/>
      <c r="HT11" s="81"/>
      <c r="HU11" s="81"/>
      <c r="HV11" s="81"/>
      <c r="HW11" s="81"/>
      <c r="HX11" s="81"/>
      <c r="HY11" s="81"/>
      <c r="HZ11" s="81"/>
      <c r="IA11" s="81"/>
      <c r="IB11" s="81"/>
      <c r="IC11" s="81"/>
      <c r="ID11" s="81"/>
      <c r="IE11" s="81"/>
      <c r="IF11" s="81"/>
      <c r="IG11" s="81"/>
      <c r="IH11" s="81"/>
      <c r="II11" s="81"/>
      <c r="IJ11" s="81"/>
      <c r="IK11" s="81"/>
      <c r="IL11" s="81"/>
      <c r="IM11" s="81"/>
      <c r="IN11" s="81"/>
      <c r="IO11" s="81"/>
      <c r="IP11" s="81"/>
      <c r="IQ11" s="81"/>
      <c r="IR11" s="81"/>
      <c r="IS11" s="81"/>
      <c r="IT11" s="81"/>
      <c r="IU11" s="81"/>
      <c r="IV11" s="81"/>
      <c r="IW11" s="81"/>
      <c r="IX11" s="81"/>
      <c r="IY11" s="81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  <c r="JX11" s="81"/>
      <c r="JY11" s="81"/>
      <c r="JZ11" s="81"/>
      <c r="KA11" s="81"/>
      <c r="KB11" s="81"/>
      <c r="KC11" s="81"/>
      <c r="KD11" s="81"/>
      <c r="KE11" s="81"/>
      <c r="KF11" s="81"/>
      <c r="KG11" s="81"/>
      <c r="KH11" s="81"/>
      <c r="KI11" s="81"/>
      <c r="KJ11" s="81"/>
      <c r="KK11" s="81"/>
      <c r="KL11" s="81"/>
      <c r="KM11" s="81"/>
      <c r="KN11" s="81"/>
      <c r="KO11" s="81"/>
      <c r="KP11" s="81"/>
      <c r="KQ11" s="81"/>
      <c r="KR11" s="81"/>
      <c r="KS11" s="81"/>
      <c r="KT11" s="81"/>
      <c r="KU11" s="81"/>
      <c r="KV11" s="81"/>
      <c r="KW11" s="81"/>
      <c r="KX11" s="81"/>
      <c r="KY11" s="81"/>
      <c r="KZ11" s="81"/>
      <c r="LA11" s="81"/>
      <c r="LB11" s="81"/>
      <c r="LC11" s="81"/>
      <c r="LD11" s="81"/>
      <c r="LE11" s="81"/>
      <c r="LF11" s="81"/>
      <c r="LG11" s="81"/>
      <c r="LH11" s="81"/>
      <c r="LI11" s="81"/>
      <c r="LJ11" s="81"/>
      <c r="LK11" s="81"/>
      <c r="LL11" s="81"/>
      <c r="LM11" s="81"/>
      <c r="LN11" s="81"/>
    </row>
    <row r="12" spans="1:326" x14ac:dyDescent="0.4">
      <c r="A12" s="82">
        <f t="shared" ref="A12:A15" si="18">A11+1</f>
        <v>4</v>
      </c>
      <c r="B12" s="378"/>
      <c r="C12" s="381"/>
      <c r="D12" s="83" t="s">
        <v>276</v>
      </c>
      <c r="E12" s="79"/>
      <c r="F12" s="77">
        <f t="shared" si="6"/>
        <v>0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  <c r="HC12" s="81"/>
      <c r="HD12" s="81"/>
      <c r="HE12" s="81"/>
      <c r="HF12" s="81"/>
      <c r="HG12" s="81"/>
      <c r="HH12" s="81"/>
      <c r="HI12" s="81"/>
      <c r="HJ12" s="81"/>
      <c r="HK12" s="81"/>
      <c r="HL12" s="81"/>
      <c r="HM12" s="81"/>
      <c r="HN12" s="81"/>
      <c r="HO12" s="81"/>
      <c r="HP12" s="81"/>
      <c r="HQ12" s="81"/>
      <c r="HR12" s="81"/>
      <c r="HS12" s="81"/>
      <c r="HT12" s="81"/>
      <c r="HU12" s="81"/>
      <c r="HV12" s="81"/>
      <c r="HW12" s="81"/>
      <c r="HX12" s="81"/>
      <c r="HY12" s="81"/>
      <c r="HZ12" s="81"/>
      <c r="IA12" s="81"/>
      <c r="IB12" s="81"/>
      <c r="IC12" s="81"/>
      <c r="ID12" s="81"/>
      <c r="IE12" s="81"/>
      <c r="IF12" s="81"/>
      <c r="IG12" s="81"/>
      <c r="IH12" s="81"/>
      <c r="II12" s="81"/>
      <c r="IJ12" s="81"/>
      <c r="IK12" s="81"/>
      <c r="IL12" s="81"/>
      <c r="IM12" s="81"/>
      <c r="IN12" s="81"/>
      <c r="IO12" s="81"/>
      <c r="IP12" s="81"/>
      <c r="IQ12" s="81"/>
      <c r="IR12" s="81"/>
      <c r="IS12" s="81"/>
      <c r="IT12" s="81"/>
      <c r="IU12" s="81"/>
      <c r="IV12" s="81"/>
      <c r="IW12" s="81"/>
      <c r="IX12" s="81"/>
      <c r="IY12" s="81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  <c r="JX12" s="81"/>
      <c r="JY12" s="81"/>
      <c r="JZ12" s="81"/>
      <c r="KA12" s="81"/>
      <c r="KB12" s="81"/>
      <c r="KC12" s="81"/>
      <c r="KD12" s="81"/>
      <c r="KE12" s="81"/>
      <c r="KF12" s="81"/>
      <c r="KG12" s="81"/>
      <c r="KH12" s="81"/>
      <c r="KI12" s="81"/>
      <c r="KJ12" s="81"/>
      <c r="KK12" s="81"/>
      <c r="KL12" s="81"/>
      <c r="KM12" s="81"/>
      <c r="KN12" s="81"/>
      <c r="KO12" s="81"/>
      <c r="KP12" s="81"/>
      <c r="KQ12" s="81"/>
      <c r="KR12" s="81"/>
      <c r="KS12" s="81"/>
      <c r="KT12" s="81"/>
      <c r="KU12" s="81"/>
      <c r="KV12" s="81"/>
      <c r="KW12" s="81"/>
      <c r="KX12" s="81"/>
      <c r="KY12" s="81"/>
      <c r="KZ12" s="81"/>
      <c r="LA12" s="81"/>
      <c r="LB12" s="81"/>
      <c r="LC12" s="81"/>
      <c r="LD12" s="81"/>
      <c r="LE12" s="81"/>
      <c r="LF12" s="81"/>
      <c r="LG12" s="81"/>
      <c r="LH12" s="81"/>
      <c r="LI12" s="81"/>
      <c r="LJ12" s="81"/>
      <c r="LK12" s="81"/>
      <c r="LL12" s="81"/>
      <c r="LM12" s="81"/>
      <c r="LN12" s="81"/>
    </row>
    <row r="13" spans="1:326" x14ac:dyDescent="0.4">
      <c r="A13" s="82">
        <f t="shared" si="18"/>
        <v>5</v>
      </c>
      <c r="B13" s="378"/>
      <c r="C13" s="381"/>
      <c r="D13" s="83" t="s">
        <v>277</v>
      </c>
      <c r="E13" s="79"/>
      <c r="F13" s="77">
        <f t="shared" si="6"/>
        <v>0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  <c r="HC13" s="81"/>
      <c r="HD13" s="81"/>
      <c r="HE13" s="81"/>
      <c r="HF13" s="81"/>
      <c r="HG13" s="81"/>
      <c r="HH13" s="81"/>
      <c r="HI13" s="81"/>
      <c r="HJ13" s="81"/>
      <c r="HK13" s="81"/>
      <c r="HL13" s="81"/>
      <c r="HM13" s="81"/>
      <c r="HN13" s="81"/>
      <c r="HO13" s="81"/>
      <c r="HP13" s="81"/>
      <c r="HQ13" s="81"/>
      <c r="HR13" s="81"/>
      <c r="HS13" s="81"/>
      <c r="HT13" s="81"/>
      <c r="HU13" s="81"/>
      <c r="HV13" s="81"/>
      <c r="HW13" s="81"/>
      <c r="HX13" s="81"/>
      <c r="HY13" s="81"/>
      <c r="HZ13" s="81"/>
      <c r="IA13" s="81"/>
      <c r="IB13" s="81"/>
      <c r="IC13" s="81"/>
      <c r="ID13" s="81"/>
      <c r="IE13" s="81"/>
      <c r="IF13" s="81"/>
      <c r="IG13" s="81"/>
      <c r="IH13" s="81"/>
      <c r="II13" s="81"/>
      <c r="IJ13" s="81"/>
      <c r="IK13" s="81"/>
      <c r="IL13" s="81"/>
      <c r="IM13" s="81"/>
      <c r="IN13" s="81"/>
      <c r="IO13" s="81"/>
      <c r="IP13" s="81"/>
      <c r="IQ13" s="81"/>
      <c r="IR13" s="81"/>
      <c r="IS13" s="81"/>
      <c r="IT13" s="81"/>
      <c r="IU13" s="81"/>
      <c r="IV13" s="81"/>
      <c r="IW13" s="81"/>
      <c r="IX13" s="81"/>
      <c r="IY13" s="81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  <c r="JX13" s="81"/>
      <c r="JY13" s="81"/>
      <c r="JZ13" s="81"/>
      <c r="KA13" s="81"/>
      <c r="KB13" s="81"/>
      <c r="KC13" s="81"/>
      <c r="KD13" s="81"/>
      <c r="KE13" s="81"/>
      <c r="KF13" s="81"/>
      <c r="KG13" s="81"/>
      <c r="KH13" s="81"/>
      <c r="KI13" s="81"/>
      <c r="KJ13" s="81"/>
      <c r="KK13" s="81"/>
      <c r="KL13" s="81"/>
      <c r="KM13" s="81"/>
      <c r="KN13" s="81"/>
      <c r="KO13" s="81"/>
      <c r="KP13" s="81"/>
      <c r="KQ13" s="81"/>
      <c r="KR13" s="81"/>
      <c r="KS13" s="81"/>
      <c r="KT13" s="81"/>
      <c r="KU13" s="81"/>
      <c r="KV13" s="81"/>
      <c r="KW13" s="81"/>
      <c r="KX13" s="81"/>
      <c r="KY13" s="81"/>
      <c r="KZ13" s="81"/>
      <c r="LA13" s="81"/>
      <c r="LB13" s="81"/>
      <c r="LC13" s="81"/>
      <c r="LD13" s="81"/>
      <c r="LE13" s="81"/>
      <c r="LF13" s="81"/>
      <c r="LG13" s="81"/>
      <c r="LH13" s="81"/>
      <c r="LI13" s="81"/>
      <c r="LJ13" s="81"/>
      <c r="LK13" s="81"/>
      <c r="LL13" s="81"/>
      <c r="LM13" s="81"/>
      <c r="LN13" s="81"/>
    </row>
    <row r="14" spans="1:326" ht="14.5" customHeight="1" x14ac:dyDescent="0.4">
      <c r="A14" s="82">
        <f t="shared" si="18"/>
        <v>6</v>
      </c>
      <c r="B14" s="378"/>
      <c r="C14" s="381"/>
      <c r="D14" s="83" t="s">
        <v>278</v>
      </c>
      <c r="E14" s="79"/>
      <c r="F14" s="77">
        <f t="shared" si="6"/>
        <v>0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  <c r="HC14" s="81"/>
      <c r="HD14" s="81"/>
      <c r="HE14" s="81"/>
      <c r="HF14" s="81"/>
      <c r="HG14" s="81"/>
      <c r="HH14" s="81"/>
      <c r="HI14" s="81"/>
      <c r="HJ14" s="81"/>
      <c r="HK14" s="81"/>
      <c r="HL14" s="81"/>
      <c r="HM14" s="81"/>
      <c r="HN14" s="81"/>
      <c r="HO14" s="81"/>
      <c r="HP14" s="81"/>
      <c r="HQ14" s="81"/>
      <c r="HR14" s="81"/>
      <c r="HS14" s="81"/>
      <c r="HT14" s="81"/>
      <c r="HU14" s="81"/>
      <c r="HV14" s="81"/>
      <c r="HW14" s="81"/>
      <c r="HX14" s="81"/>
      <c r="HY14" s="81"/>
      <c r="HZ14" s="81"/>
      <c r="IA14" s="81"/>
      <c r="IB14" s="81"/>
      <c r="IC14" s="81"/>
      <c r="ID14" s="81"/>
      <c r="IE14" s="81"/>
      <c r="IF14" s="81"/>
      <c r="IG14" s="81"/>
      <c r="IH14" s="81"/>
      <c r="II14" s="81"/>
      <c r="IJ14" s="81"/>
      <c r="IK14" s="81"/>
      <c r="IL14" s="81"/>
      <c r="IM14" s="81"/>
      <c r="IN14" s="81"/>
      <c r="IO14" s="81"/>
      <c r="IP14" s="81"/>
      <c r="IQ14" s="81"/>
      <c r="IR14" s="81"/>
      <c r="IS14" s="81"/>
      <c r="IT14" s="81"/>
      <c r="IU14" s="81"/>
      <c r="IV14" s="81"/>
      <c r="IW14" s="81"/>
      <c r="IX14" s="81"/>
      <c r="IY14" s="81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  <c r="JX14" s="81"/>
      <c r="JY14" s="81"/>
      <c r="JZ14" s="81"/>
      <c r="KA14" s="81"/>
      <c r="KB14" s="81"/>
      <c r="KC14" s="81"/>
      <c r="KD14" s="81"/>
      <c r="KE14" s="81"/>
      <c r="KF14" s="81"/>
      <c r="KG14" s="81"/>
      <c r="KH14" s="81"/>
      <c r="KI14" s="81"/>
      <c r="KJ14" s="81"/>
      <c r="KK14" s="81"/>
      <c r="KL14" s="81"/>
      <c r="KM14" s="81"/>
      <c r="KN14" s="81"/>
      <c r="KO14" s="81"/>
      <c r="KP14" s="81"/>
      <c r="KQ14" s="81"/>
      <c r="KR14" s="81"/>
      <c r="KS14" s="81"/>
      <c r="KT14" s="81"/>
      <c r="KU14" s="81"/>
      <c r="KV14" s="81"/>
      <c r="KW14" s="81"/>
      <c r="KX14" s="81"/>
      <c r="KY14" s="81"/>
      <c r="KZ14" s="81"/>
      <c r="LA14" s="81"/>
      <c r="LB14" s="81"/>
      <c r="LC14" s="81"/>
      <c r="LD14" s="81"/>
      <c r="LE14" s="81"/>
      <c r="LF14" s="81"/>
      <c r="LG14" s="81"/>
      <c r="LH14" s="81"/>
      <c r="LI14" s="81"/>
      <c r="LJ14" s="81"/>
      <c r="LK14" s="81"/>
      <c r="LL14" s="81"/>
      <c r="LM14" s="81"/>
      <c r="LN14" s="81"/>
    </row>
    <row r="15" spans="1:326" x14ac:dyDescent="0.4">
      <c r="A15" s="82">
        <f t="shared" si="18"/>
        <v>7</v>
      </c>
      <c r="B15" s="378"/>
      <c r="C15" s="381"/>
      <c r="D15" s="83" t="s">
        <v>279</v>
      </c>
      <c r="E15" s="79"/>
      <c r="F15" s="77">
        <f t="shared" si="6"/>
        <v>0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  <c r="HC15" s="81"/>
      <c r="HD15" s="81"/>
      <c r="HE15" s="81"/>
      <c r="HF15" s="81"/>
      <c r="HG15" s="81"/>
      <c r="HH15" s="81"/>
      <c r="HI15" s="81"/>
      <c r="HJ15" s="81"/>
      <c r="HK15" s="81"/>
      <c r="HL15" s="81"/>
      <c r="HM15" s="81"/>
      <c r="HN15" s="81"/>
      <c r="HO15" s="81"/>
      <c r="HP15" s="81"/>
      <c r="HQ15" s="81"/>
      <c r="HR15" s="81"/>
      <c r="HS15" s="81"/>
      <c r="HT15" s="81"/>
      <c r="HU15" s="81"/>
      <c r="HV15" s="81"/>
      <c r="HW15" s="81"/>
      <c r="HX15" s="81"/>
      <c r="HY15" s="81"/>
      <c r="HZ15" s="81"/>
      <c r="IA15" s="81"/>
      <c r="IB15" s="81"/>
      <c r="IC15" s="81"/>
      <c r="ID15" s="81"/>
      <c r="IE15" s="81"/>
      <c r="IF15" s="81"/>
      <c r="IG15" s="81"/>
      <c r="IH15" s="81"/>
      <c r="II15" s="81"/>
      <c r="IJ15" s="81"/>
      <c r="IK15" s="81"/>
      <c r="IL15" s="81"/>
      <c r="IM15" s="81"/>
      <c r="IN15" s="81"/>
      <c r="IO15" s="81"/>
      <c r="IP15" s="81"/>
      <c r="IQ15" s="81"/>
      <c r="IR15" s="81"/>
      <c r="IS15" s="81"/>
      <c r="IT15" s="81"/>
      <c r="IU15" s="81"/>
      <c r="IV15" s="81"/>
      <c r="IW15" s="81"/>
      <c r="IX15" s="81"/>
      <c r="IY15" s="81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  <c r="JX15" s="81"/>
      <c r="JY15" s="81"/>
      <c r="JZ15" s="81"/>
      <c r="KA15" s="81"/>
      <c r="KB15" s="81"/>
      <c r="KC15" s="81"/>
      <c r="KD15" s="81"/>
      <c r="KE15" s="81"/>
      <c r="KF15" s="81"/>
      <c r="KG15" s="81"/>
      <c r="KH15" s="81"/>
      <c r="KI15" s="81"/>
      <c r="KJ15" s="81"/>
      <c r="KK15" s="81"/>
      <c r="KL15" s="81"/>
      <c r="KM15" s="81"/>
      <c r="KN15" s="81"/>
      <c r="KO15" s="81"/>
      <c r="KP15" s="81"/>
      <c r="KQ15" s="81"/>
      <c r="KR15" s="81"/>
      <c r="KS15" s="81"/>
      <c r="KT15" s="81"/>
      <c r="KU15" s="81"/>
      <c r="KV15" s="81"/>
      <c r="KW15" s="81"/>
      <c r="KX15" s="81"/>
      <c r="KY15" s="81"/>
      <c r="KZ15" s="81"/>
      <c r="LA15" s="81"/>
      <c r="LB15" s="81"/>
      <c r="LC15" s="81"/>
      <c r="LD15" s="81"/>
      <c r="LE15" s="81"/>
      <c r="LF15" s="81"/>
      <c r="LG15" s="81"/>
      <c r="LH15" s="81"/>
      <c r="LI15" s="81"/>
      <c r="LJ15" s="81"/>
      <c r="LK15" s="81"/>
      <c r="LL15" s="81"/>
      <c r="LM15" s="81"/>
      <c r="LN15" s="81"/>
    </row>
    <row r="16" spans="1:326" x14ac:dyDescent="0.4">
      <c r="A16" s="82">
        <v>13</v>
      </c>
      <c r="B16" s="378" t="s">
        <v>280</v>
      </c>
      <c r="C16" s="379"/>
      <c r="D16" s="83" t="s">
        <v>270</v>
      </c>
      <c r="E16" s="79"/>
      <c r="F16" s="77">
        <f t="shared" si="6"/>
        <v>0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  <c r="HC16" s="81"/>
      <c r="HD16" s="81"/>
      <c r="HE16" s="81"/>
      <c r="HF16" s="81"/>
      <c r="HG16" s="81"/>
      <c r="HH16" s="81"/>
      <c r="HI16" s="81"/>
      <c r="HJ16" s="81"/>
      <c r="HK16" s="81"/>
      <c r="HL16" s="81"/>
      <c r="HM16" s="81"/>
      <c r="HN16" s="81"/>
      <c r="HO16" s="81"/>
      <c r="HP16" s="81"/>
      <c r="HQ16" s="81"/>
      <c r="HR16" s="81"/>
      <c r="HS16" s="81"/>
      <c r="HT16" s="81"/>
      <c r="HU16" s="81"/>
      <c r="HV16" s="81"/>
      <c r="HW16" s="81"/>
      <c r="HX16" s="81"/>
      <c r="HY16" s="81"/>
      <c r="HZ16" s="81"/>
      <c r="IA16" s="81"/>
      <c r="IB16" s="81"/>
      <c r="IC16" s="81"/>
      <c r="ID16" s="81"/>
      <c r="IE16" s="81"/>
      <c r="IF16" s="81"/>
      <c r="IG16" s="81"/>
      <c r="IH16" s="81"/>
      <c r="II16" s="81"/>
      <c r="IJ16" s="81"/>
      <c r="IK16" s="81"/>
      <c r="IL16" s="81"/>
      <c r="IM16" s="81"/>
      <c r="IN16" s="81"/>
      <c r="IO16" s="81"/>
      <c r="IP16" s="81"/>
      <c r="IQ16" s="81"/>
      <c r="IR16" s="81"/>
      <c r="IS16" s="81"/>
      <c r="IT16" s="81"/>
      <c r="IU16" s="81"/>
      <c r="IV16" s="81"/>
      <c r="IW16" s="81"/>
      <c r="IX16" s="81"/>
      <c r="IY16" s="81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  <c r="JX16" s="81"/>
      <c r="JY16" s="81"/>
      <c r="JZ16" s="81"/>
      <c r="KA16" s="81"/>
      <c r="KB16" s="81"/>
      <c r="KC16" s="81"/>
      <c r="KD16" s="81"/>
      <c r="KE16" s="81"/>
      <c r="KF16" s="81"/>
      <c r="KG16" s="81"/>
      <c r="KH16" s="81"/>
      <c r="KI16" s="81"/>
      <c r="KJ16" s="81"/>
      <c r="KK16" s="81"/>
      <c r="KL16" s="81"/>
      <c r="KM16" s="81"/>
      <c r="KN16" s="81"/>
      <c r="KO16" s="81"/>
      <c r="KP16" s="81"/>
      <c r="KQ16" s="81"/>
      <c r="KR16" s="81"/>
      <c r="KS16" s="81"/>
      <c r="KT16" s="81"/>
      <c r="KU16" s="81"/>
      <c r="KV16" s="81"/>
      <c r="KW16" s="81"/>
      <c r="KX16" s="81"/>
      <c r="KY16" s="81"/>
      <c r="KZ16" s="81"/>
      <c r="LA16" s="81"/>
      <c r="LB16" s="81"/>
      <c r="LC16" s="81"/>
      <c r="LD16" s="81"/>
      <c r="LE16" s="81"/>
      <c r="LF16" s="81"/>
      <c r="LG16" s="81"/>
      <c r="LH16" s="81"/>
      <c r="LI16" s="81"/>
      <c r="LJ16" s="81"/>
      <c r="LK16" s="81"/>
      <c r="LL16" s="81"/>
      <c r="LM16" s="81"/>
      <c r="LN16" s="81"/>
    </row>
    <row r="17" spans="1:326" ht="14.5" customHeight="1" x14ac:dyDescent="0.4">
      <c r="A17" s="82">
        <v>14</v>
      </c>
      <c r="B17" s="378"/>
      <c r="C17" s="379"/>
      <c r="D17" s="83" t="s">
        <v>277</v>
      </c>
      <c r="E17" s="79"/>
      <c r="F17" s="77">
        <f t="shared" si="6"/>
        <v>0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  <c r="FW17" s="81"/>
      <c r="FX17" s="81"/>
      <c r="FY17" s="81"/>
      <c r="FZ17" s="81"/>
      <c r="GA17" s="81"/>
      <c r="GB17" s="81"/>
      <c r="GC17" s="81"/>
      <c r="GD17" s="81"/>
      <c r="GE17" s="81"/>
      <c r="GF17" s="81"/>
      <c r="GG17" s="81"/>
      <c r="GH17" s="81"/>
      <c r="GI17" s="81"/>
      <c r="GJ17" s="81"/>
      <c r="GK17" s="81"/>
      <c r="GL17" s="81"/>
      <c r="GM17" s="81"/>
      <c r="GN17" s="81"/>
      <c r="GO17" s="81"/>
      <c r="GP17" s="81"/>
      <c r="GQ17" s="81"/>
      <c r="GR17" s="81"/>
      <c r="GS17" s="81"/>
      <c r="GT17" s="81"/>
      <c r="GU17" s="81"/>
      <c r="GV17" s="81"/>
      <c r="GW17" s="81"/>
      <c r="GX17" s="81"/>
      <c r="GY17" s="81"/>
      <c r="GZ17" s="81"/>
      <c r="HA17" s="81"/>
      <c r="HB17" s="81"/>
      <c r="HC17" s="81"/>
      <c r="HD17" s="81"/>
      <c r="HE17" s="81"/>
      <c r="HF17" s="81"/>
      <c r="HG17" s="81"/>
      <c r="HH17" s="81"/>
      <c r="HI17" s="81"/>
      <c r="HJ17" s="81"/>
      <c r="HK17" s="81"/>
      <c r="HL17" s="81"/>
      <c r="HM17" s="81"/>
      <c r="HN17" s="81"/>
      <c r="HO17" s="81"/>
      <c r="HP17" s="81"/>
      <c r="HQ17" s="81"/>
      <c r="HR17" s="81"/>
      <c r="HS17" s="81"/>
      <c r="HT17" s="81"/>
      <c r="HU17" s="81"/>
      <c r="HV17" s="81"/>
      <c r="HW17" s="81"/>
      <c r="HX17" s="81"/>
      <c r="HY17" s="81"/>
      <c r="HZ17" s="81"/>
      <c r="IA17" s="81"/>
      <c r="IB17" s="81"/>
      <c r="IC17" s="81"/>
      <c r="ID17" s="81"/>
      <c r="IE17" s="81"/>
      <c r="IF17" s="81"/>
      <c r="IG17" s="81"/>
      <c r="IH17" s="81"/>
      <c r="II17" s="81"/>
      <c r="IJ17" s="81"/>
      <c r="IK17" s="81"/>
      <c r="IL17" s="81"/>
      <c r="IM17" s="81"/>
      <c r="IN17" s="81"/>
      <c r="IO17" s="81"/>
      <c r="IP17" s="81"/>
      <c r="IQ17" s="81"/>
      <c r="IR17" s="81"/>
      <c r="IS17" s="81"/>
      <c r="IT17" s="81"/>
      <c r="IU17" s="81"/>
      <c r="IV17" s="81"/>
      <c r="IW17" s="81"/>
      <c r="IX17" s="81"/>
      <c r="IY17" s="81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  <c r="JX17" s="81"/>
      <c r="JY17" s="81"/>
      <c r="JZ17" s="81"/>
      <c r="KA17" s="81"/>
      <c r="KB17" s="81"/>
      <c r="KC17" s="81"/>
      <c r="KD17" s="81"/>
      <c r="KE17" s="81"/>
      <c r="KF17" s="81"/>
      <c r="KG17" s="81"/>
      <c r="KH17" s="81"/>
      <c r="KI17" s="81"/>
      <c r="KJ17" s="81"/>
      <c r="KK17" s="81"/>
      <c r="KL17" s="81"/>
      <c r="KM17" s="81"/>
      <c r="KN17" s="81"/>
      <c r="KO17" s="81"/>
      <c r="KP17" s="81"/>
      <c r="KQ17" s="81"/>
      <c r="KR17" s="81"/>
      <c r="KS17" s="81"/>
      <c r="KT17" s="81"/>
      <c r="KU17" s="81"/>
      <c r="KV17" s="81"/>
      <c r="KW17" s="81"/>
      <c r="KX17" s="81"/>
      <c r="KY17" s="81"/>
      <c r="KZ17" s="81"/>
      <c r="LA17" s="81"/>
      <c r="LB17" s="81"/>
      <c r="LC17" s="81"/>
      <c r="LD17" s="81"/>
      <c r="LE17" s="81"/>
      <c r="LF17" s="81"/>
      <c r="LG17" s="81"/>
      <c r="LH17" s="81"/>
      <c r="LI17" s="81"/>
      <c r="LJ17" s="81"/>
      <c r="LK17" s="81"/>
      <c r="LL17" s="81"/>
      <c r="LM17" s="81"/>
      <c r="LN17" s="81"/>
    </row>
    <row r="18" spans="1:326" x14ac:dyDescent="0.4">
      <c r="A18" s="82">
        <v>18</v>
      </c>
      <c r="B18" s="378" t="s">
        <v>282</v>
      </c>
      <c r="C18" s="381"/>
      <c r="D18" s="83" t="s">
        <v>283</v>
      </c>
      <c r="E18" s="79"/>
      <c r="F18" s="77">
        <f t="shared" si="6"/>
        <v>0</v>
      </c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  <c r="FU18" s="81"/>
      <c r="FV18" s="81"/>
      <c r="FW18" s="81"/>
      <c r="FX18" s="81"/>
      <c r="FY18" s="81"/>
      <c r="FZ18" s="81"/>
      <c r="GA18" s="81"/>
      <c r="GB18" s="81"/>
      <c r="GC18" s="81"/>
      <c r="GD18" s="81"/>
      <c r="GE18" s="81"/>
      <c r="GF18" s="81"/>
      <c r="GG18" s="81"/>
      <c r="GH18" s="81"/>
      <c r="GI18" s="81"/>
      <c r="GJ18" s="81"/>
      <c r="GK18" s="81"/>
      <c r="GL18" s="81"/>
      <c r="GM18" s="81"/>
      <c r="GN18" s="81"/>
      <c r="GO18" s="81"/>
      <c r="GP18" s="81"/>
      <c r="GQ18" s="81"/>
      <c r="GR18" s="81"/>
      <c r="GS18" s="81"/>
      <c r="GT18" s="81"/>
      <c r="GU18" s="81"/>
      <c r="GV18" s="81"/>
      <c r="GW18" s="81"/>
      <c r="GX18" s="81"/>
      <c r="GY18" s="81"/>
      <c r="GZ18" s="81"/>
      <c r="HA18" s="81"/>
      <c r="HB18" s="81"/>
      <c r="HC18" s="81"/>
      <c r="HD18" s="81"/>
      <c r="HE18" s="81"/>
      <c r="HF18" s="81"/>
      <c r="HG18" s="81"/>
      <c r="HH18" s="81"/>
      <c r="HI18" s="81"/>
      <c r="HJ18" s="81"/>
      <c r="HK18" s="81"/>
      <c r="HL18" s="81"/>
      <c r="HM18" s="81"/>
      <c r="HN18" s="81"/>
      <c r="HO18" s="81"/>
      <c r="HP18" s="81"/>
      <c r="HQ18" s="81"/>
      <c r="HR18" s="81"/>
      <c r="HS18" s="81"/>
      <c r="HT18" s="81"/>
      <c r="HU18" s="81"/>
      <c r="HV18" s="81"/>
      <c r="HW18" s="81"/>
      <c r="HX18" s="81"/>
      <c r="HY18" s="81"/>
      <c r="HZ18" s="81"/>
      <c r="IA18" s="81"/>
      <c r="IB18" s="81"/>
      <c r="IC18" s="81"/>
      <c r="ID18" s="81"/>
      <c r="IE18" s="81"/>
      <c r="IF18" s="81"/>
      <c r="IG18" s="81"/>
      <c r="IH18" s="81"/>
      <c r="II18" s="81"/>
      <c r="IJ18" s="81"/>
      <c r="IK18" s="81"/>
      <c r="IL18" s="81"/>
      <c r="IM18" s="81"/>
      <c r="IN18" s="81"/>
      <c r="IO18" s="81"/>
      <c r="IP18" s="81"/>
      <c r="IQ18" s="81"/>
      <c r="IR18" s="81"/>
      <c r="IS18" s="81"/>
      <c r="IT18" s="81"/>
      <c r="IU18" s="81"/>
      <c r="IV18" s="81"/>
      <c r="IW18" s="81"/>
      <c r="IX18" s="81"/>
      <c r="IY18" s="81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  <c r="JX18" s="81"/>
      <c r="JY18" s="81"/>
      <c r="JZ18" s="81"/>
      <c r="KA18" s="81"/>
      <c r="KB18" s="81"/>
      <c r="KC18" s="81"/>
      <c r="KD18" s="81"/>
      <c r="KE18" s="81"/>
      <c r="KF18" s="81"/>
      <c r="KG18" s="81"/>
      <c r="KH18" s="81"/>
      <c r="KI18" s="81"/>
      <c r="KJ18" s="81"/>
      <c r="KK18" s="81"/>
      <c r="KL18" s="81"/>
      <c r="KM18" s="81"/>
      <c r="KN18" s="81"/>
      <c r="KO18" s="81"/>
      <c r="KP18" s="81"/>
      <c r="KQ18" s="81"/>
      <c r="KR18" s="81"/>
      <c r="KS18" s="81"/>
      <c r="KT18" s="81"/>
      <c r="KU18" s="81"/>
      <c r="KV18" s="81"/>
      <c r="KW18" s="81"/>
      <c r="KX18" s="81"/>
      <c r="KY18" s="81"/>
      <c r="KZ18" s="81"/>
      <c r="LA18" s="81"/>
      <c r="LB18" s="81"/>
      <c r="LC18" s="81"/>
      <c r="LD18" s="81"/>
      <c r="LE18" s="81"/>
      <c r="LF18" s="81"/>
      <c r="LG18" s="81"/>
      <c r="LH18" s="81"/>
      <c r="LI18" s="81"/>
      <c r="LJ18" s="81"/>
      <c r="LK18" s="81"/>
      <c r="LL18" s="81"/>
      <c r="LM18" s="81"/>
      <c r="LN18" s="81"/>
    </row>
    <row r="19" spans="1:326" x14ac:dyDescent="0.4">
      <c r="A19" s="82">
        <v>19</v>
      </c>
      <c r="B19" s="378"/>
      <c r="C19" s="381"/>
      <c r="D19" s="83" t="s">
        <v>284</v>
      </c>
      <c r="E19" s="79"/>
      <c r="F19" s="77">
        <f t="shared" si="6"/>
        <v>0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  <c r="FU19" s="81"/>
      <c r="FV19" s="81"/>
      <c r="FW19" s="81"/>
      <c r="FX19" s="81"/>
      <c r="FY19" s="81"/>
      <c r="FZ19" s="81"/>
      <c r="GA19" s="81"/>
      <c r="GB19" s="81"/>
      <c r="GC19" s="81"/>
      <c r="GD19" s="81"/>
      <c r="GE19" s="81"/>
      <c r="GF19" s="81"/>
      <c r="GG19" s="81"/>
      <c r="GH19" s="81"/>
      <c r="GI19" s="81"/>
      <c r="GJ19" s="81"/>
      <c r="GK19" s="81"/>
      <c r="GL19" s="81"/>
      <c r="GM19" s="81"/>
      <c r="GN19" s="81"/>
      <c r="GO19" s="81"/>
      <c r="GP19" s="81"/>
      <c r="GQ19" s="81"/>
      <c r="GR19" s="81"/>
      <c r="GS19" s="81"/>
      <c r="GT19" s="81"/>
      <c r="GU19" s="81"/>
      <c r="GV19" s="81"/>
      <c r="GW19" s="81"/>
      <c r="GX19" s="81"/>
      <c r="GY19" s="81"/>
      <c r="GZ19" s="81"/>
      <c r="HA19" s="81"/>
      <c r="HB19" s="81"/>
      <c r="HC19" s="81"/>
      <c r="HD19" s="81"/>
      <c r="HE19" s="81"/>
      <c r="HF19" s="81"/>
      <c r="HG19" s="81"/>
      <c r="HH19" s="81"/>
      <c r="HI19" s="81"/>
      <c r="HJ19" s="81"/>
      <c r="HK19" s="81"/>
      <c r="HL19" s="81"/>
      <c r="HM19" s="81"/>
      <c r="HN19" s="81"/>
      <c r="HO19" s="81"/>
      <c r="HP19" s="81"/>
      <c r="HQ19" s="81"/>
      <c r="HR19" s="81"/>
      <c r="HS19" s="81"/>
      <c r="HT19" s="81"/>
      <c r="HU19" s="81"/>
      <c r="HV19" s="81"/>
      <c r="HW19" s="81"/>
      <c r="HX19" s="81"/>
      <c r="HY19" s="81"/>
      <c r="HZ19" s="81"/>
      <c r="IA19" s="81"/>
      <c r="IB19" s="81"/>
      <c r="IC19" s="81"/>
      <c r="ID19" s="81"/>
      <c r="IE19" s="81"/>
      <c r="IF19" s="81"/>
      <c r="IG19" s="81"/>
      <c r="IH19" s="81"/>
      <c r="II19" s="81"/>
      <c r="IJ19" s="81"/>
      <c r="IK19" s="81"/>
      <c r="IL19" s="81"/>
      <c r="IM19" s="81"/>
      <c r="IN19" s="81"/>
      <c r="IO19" s="81"/>
      <c r="IP19" s="81"/>
      <c r="IQ19" s="81"/>
      <c r="IR19" s="81"/>
      <c r="IS19" s="81"/>
      <c r="IT19" s="81"/>
      <c r="IU19" s="81"/>
      <c r="IV19" s="81"/>
      <c r="IW19" s="81"/>
      <c r="IX19" s="81"/>
      <c r="IY19" s="81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  <c r="JX19" s="81"/>
      <c r="JY19" s="81"/>
      <c r="JZ19" s="81"/>
      <c r="KA19" s="81"/>
      <c r="KB19" s="81"/>
      <c r="KC19" s="81"/>
      <c r="KD19" s="81"/>
      <c r="KE19" s="81"/>
      <c r="KF19" s="81"/>
      <c r="KG19" s="81"/>
      <c r="KH19" s="81"/>
      <c r="KI19" s="81"/>
      <c r="KJ19" s="81"/>
      <c r="KK19" s="81"/>
      <c r="KL19" s="81"/>
      <c r="KM19" s="81"/>
      <c r="KN19" s="81"/>
      <c r="KO19" s="81"/>
      <c r="KP19" s="81"/>
      <c r="KQ19" s="81"/>
      <c r="KR19" s="81"/>
      <c r="KS19" s="81"/>
      <c r="KT19" s="81"/>
      <c r="KU19" s="81"/>
      <c r="KV19" s="81"/>
      <c r="KW19" s="81"/>
      <c r="KX19" s="81"/>
      <c r="KY19" s="81"/>
      <c r="KZ19" s="81"/>
      <c r="LA19" s="81"/>
      <c r="LB19" s="81"/>
      <c r="LC19" s="81"/>
      <c r="LD19" s="81"/>
      <c r="LE19" s="81"/>
      <c r="LF19" s="81"/>
      <c r="LG19" s="81"/>
      <c r="LH19" s="81"/>
      <c r="LI19" s="81"/>
      <c r="LJ19" s="81"/>
      <c r="LK19" s="81"/>
      <c r="LL19" s="81"/>
      <c r="LM19" s="81"/>
      <c r="LN19" s="81"/>
    </row>
    <row r="20" spans="1:326" x14ac:dyDescent="0.4">
      <c r="A20" s="82">
        <v>20</v>
      </c>
      <c r="B20" s="378"/>
      <c r="C20" s="381"/>
      <c r="D20" s="83" t="s">
        <v>285</v>
      </c>
      <c r="E20" s="79"/>
      <c r="F20" s="77">
        <f t="shared" si="6"/>
        <v>0</v>
      </c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  <c r="EM20" s="81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I20" s="81"/>
      <c r="FJ20" s="81"/>
      <c r="FK20" s="81"/>
      <c r="FL20" s="81"/>
      <c r="FM20" s="81"/>
      <c r="FN20" s="81"/>
      <c r="FO20" s="81"/>
      <c r="FP20" s="81"/>
      <c r="FQ20" s="81"/>
      <c r="FR20" s="81"/>
      <c r="FS20" s="81"/>
      <c r="FT20" s="81"/>
      <c r="FU20" s="81"/>
      <c r="FV20" s="81"/>
      <c r="FW20" s="81"/>
      <c r="FX20" s="81"/>
      <c r="FY20" s="81"/>
      <c r="FZ20" s="81"/>
      <c r="GA20" s="81"/>
      <c r="GB20" s="81"/>
      <c r="GC20" s="81"/>
      <c r="GD20" s="81"/>
      <c r="GE20" s="81"/>
      <c r="GF20" s="81"/>
      <c r="GG20" s="81"/>
      <c r="GH20" s="81"/>
      <c r="GI20" s="81"/>
      <c r="GJ20" s="81"/>
      <c r="GK20" s="81"/>
      <c r="GL20" s="81"/>
      <c r="GM20" s="81"/>
      <c r="GN20" s="81"/>
      <c r="GO20" s="81"/>
      <c r="GP20" s="81"/>
      <c r="GQ20" s="81"/>
      <c r="GR20" s="81"/>
      <c r="GS20" s="81"/>
      <c r="GT20" s="81"/>
      <c r="GU20" s="81"/>
      <c r="GV20" s="81"/>
      <c r="GW20" s="81"/>
      <c r="GX20" s="81"/>
      <c r="GY20" s="81"/>
      <c r="GZ20" s="81"/>
      <c r="HA20" s="81"/>
      <c r="HB20" s="81"/>
      <c r="HC20" s="81"/>
      <c r="HD20" s="81"/>
      <c r="HE20" s="81"/>
      <c r="HF20" s="81"/>
      <c r="HG20" s="81"/>
      <c r="HH20" s="81"/>
      <c r="HI20" s="81"/>
      <c r="HJ20" s="81"/>
      <c r="HK20" s="81"/>
      <c r="HL20" s="81"/>
      <c r="HM20" s="81"/>
      <c r="HN20" s="81"/>
      <c r="HO20" s="81"/>
      <c r="HP20" s="81"/>
      <c r="HQ20" s="81"/>
      <c r="HR20" s="81"/>
      <c r="HS20" s="81"/>
      <c r="HT20" s="81"/>
      <c r="HU20" s="81"/>
      <c r="HV20" s="81"/>
      <c r="HW20" s="81"/>
      <c r="HX20" s="81"/>
      <c r="HY20" s="81"/>
      <c r="HZ20" s="81"/>
      <c r="IA20" s="81"/>
      <c r="IB20" s="81"/>
      <c r="IC20" s="81"/>
      <c r="ID20" s="81"/>
      <c r="IE20" s="81"/>
      <c r="IF20" s="81"/>
      <c r="IG20" s="81"/>
      <c r="IH20" s="81"/>
      <c r="II20" s="81"/>
      <c r="IJ20" s="81"/>
      <c r="IK20" s="81"/>
      <c r="IL20" s="81"/>
      <c r="IM20" s="81"/>
      <c r="IN20" s="81"/>
      <c r="IO20" s="81"/>
      <c r="IP20" s="81"/>
      <c r="IQ20" s="81"/>
      <c r="IR20" s="81"/>
      <c r="IS20" s="81"/>
      <c r="IT20" s="81"/>
      <c r="IU20" s="81"/>
      <c r="IV20" s="81"/>
      <c r="IW20" s="81"/>
      <c r="IX20" s="81"/>
      <c r="IY20" s="81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  <c r="JX20" s="81"/>
      <c r="JY20" s="81"/>
      <c r="JZ20" s="81"/>
      <c r="KA20" s="81"/>
      <c r="KB20" s="81"/>
      <c r="KC20" s="81"/>
      <c r="KD20" s="81"/>
      <c r="KE20" s="81"/>
      <c r="KF20" s="81"/>
      <c r="KG20" s="81"/>
      <c r="KH20" s="81"/>
      <c r="KI20" s="81"/>
      <c r="KJ20" s="81"/>
      <c r="KK20" s="81"/>
      <c r="KL20" s="81"/>
      <c r="KM20" s="81"/>
      <c r="KN20" s="81"/>
      <c r="KO20" s="81"/>
      <c r="KP20" s="81"/>
      <c r="KQ20" s="81"/>
      <c r="KR20" s="81"/>
      <c r="KS20" s="81"/>
      <c r="KT20" s="81"/>
      <c r="KU20" s="81"/>
      <c r="KV20" s="81"/>
      <c r="KW20" s="81"/>
      <c r="KX20" s="81"/>
      <c r="KY20" s="81"/>
      <c r="KZ20" s="81"/>
      <c r="LA20" s="81"/>
      <c r="LB20" s="81"/>
      <c r="LC20" s="81"/>
      <c r="LD20" s="81"/>
      <c r="LE20" s="81"/>
      <c r="LF20" s="81"/>
      <c r="LG20" s="81"/>
      <c r="LH20" s="81"/>
      <c r="LI20" s="81"/>
      <c r="LJ20" s="81"/>
      <c r="LK20" s="81"/>
      <c r="LL20" s="81"/>
      <c r="LM20" s="81"/>
      <c r="LN20" s="81"/>
    </row>
    <row r="21" spans="1:326" x14ac:dyDescent="0.4">
      <c r="A21" s="82">
        <v>21</v>
      </c>
      <c r="B21" s="378"/>
      <c r="C21" s="381"/>
      <c r="D21" s="83" t="s">
        <v>281</v>
      </c>
      <c r="E21" s="79"/>
      <c r="F21" s="77">
        <f t="shared" si="6"/>
        <v>0</v>
      </c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  <c r="EM21" s="81"/>
      <c r="EN21" s="81"/>
      <c r="EO21" s="81"/>
      <c r="EP21" s="81"/>
      <c r="EQ21" s="81"/>
      <c r="ER21" s="81"/>
      <c r="ES21" s="81"/>
      <c r="ET21" s="81"/>
      <c r="EU21" s="81"/>
      <c r="EV21" s="81"/>
      <c r="EW21" s="81"/>
      <c r="EX21" s="81"/>
      <c r="EY21" s="81"/>
      <c r="EZ21" s="81"/>
      <c r="FA21" s="81"/>
      <c r="FB21" s="81"/>
      <c r="FC21" s="81"/>
      <c r="FD21" s="81"/>
      <c r="FE21" s="81"/>
      <c r="FF21" s="81"/>
      <c r="FG21" s="81"/>
      <c r="FH21" s="81"/>
      <c r="FI21" s="81"/>
      <c r="FJ21" s="81"/>
      <c r="FK21" s="81"/>
      <c r="FL21" s="81"/>
      <c r="FM21" s="81"/>
      <c r="FN21" s="81"/>
      <c r="FO21" s="81"/>
      <c r="FP21" s="81"/>
      <c r="FQ21" s="81"/>
      <c r="FR21" s="81"/>
      <c r="FS21" s="81"/>
      <c r="FT21" s="81"/>
      <c r="FU21" s="81"/>
      <c r="FV21" s="81"/>
      <c r="FW21" s="81"/>
      <c r="FX21" s="81"/>
      <c r="FY21" s="81"/>
      <c r="FZ21" s="81"/>
      <c r="GA21" s="81"/>
      <c r="GB21" s="81"/>
      <c r="GC21" s="81"/>
      <c r="GD21" s="81"/>
      <c r="GE21" s="81"/>
      <c r="GF21" s="81"/>
      <c r="GG21" s="81"/>
      <c r="GH21" s="81"/>
      <c r="GI21" s="81"/>
      <c r="GJ21" s="81"/>
      <c r="GK21" s="81"/>
      <c r="GL21" s="81"/>
      <c r="GM21" s="81"/>
      <c r="GN21" s="81"/>
      <c r="GO21" s="81"/>
      <c r="GP21" s="81"/>
      <c r="GQ21" s="81"/>
      <c r="GR21" s="81"/>
      <c r="GS21" s="81"/>
      <c r="GT21" s="81"/>
      <c r="GU21" s="81"/>
      <c r="GV21" s="81"/>
      <c r="GW21" s="81"/>
      <c r="GX21" s="81"/>
      <c r="GY21" s="81"/>
      <c r="GZ21" s="81"/>
      <c r="HA21" s="81"/>
      <c r="HB21" s="81"/>
      <c r="HC21" s="81"/>
      <c r="HD21" s="81"/>
      <c r="HE21" s="81"/>
      <c r="HF21" s="81"/>
      <c r="HG21" s="81"/>
      <c r="HH21" s="81"/>
      <c r="HI21" s="81"/>
      <c r="HJ21" s="81"/>
      <c r="HK21" s="81"/>
      <c r="HL21" s="81"/>
      <c r="HM21" s="81"/>
      <c r="HN21" s="81"/>
      <c r="HO21" s="81"/>
      <c r="HP21" s="81"/>
      <c r="HQ21" s="81"/>
      <c r="HR21" s="81"/>
      <c r="HS21" s="81"/>
      <c r="HT21" s="81"/>
      <c r="HU21" s="81"/>
      <c r="HV21" s="81"/>
      <c r="HW21" s="81"/>
      <c r="HX21" s="81"/>
      <c r="HY21" s="81"/>
      <c r="HZ21" s="81"/>
      <c r="IA21" s="81"/>
      <c r="IB21" s="81"/>
      <c r="IC21" s="81"/>
      <c r="ID21" s="81"/>
      <c r="IE21" s="81"/>
      <c r="IF21" s="81"/>
      <c r="IG21" s="81"/>
      <c r="IH21" s="81"/>
      <c r="II21" s="81"/>
      <c r="IJ21" s="81"/>
      <c r="IK21" s="81"/>
      <c r="IL21" s="81"/>
      <c r="IM21" s="81"/>
      <c r="IN21" s="81"/>
      <c r="IO21" s="81"/>
      <c r="IP21" s="81"/>
      <c r="IQ21" s="81"/>
      <c r="IR21" s="81"/>
      <c r="IS21" s="81"/>
      <c r="IT21" s="81"/>
      <c r="IU21" s="81"/>
      <c r="IV21" s="81"/>
      <c r="IW21" s="81"/>
      <c r="IX21" s="81"/>
      <c r="IY21" s="81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  <c r="JX21" s="81"/>
      <c r="JY21" s="81"/>
      <c r="JZ21" s="81"/>
      <c r="KA21" s="81"/>
      <c r="KB21" s="81"/>
      <c r="KC21" s="81"/>
      <c r="KD21" s="81"/>
      <c r="KE21" s="81"/>
      <c r="KF21" s="81"/>
      <c r="KG21" s="81"/>
      <c r="KH21" s="81"/>
      <c r="KI21" s="81"/>
      <c r="KJ21" s="81"/>
      <c r="KK21" s="81"/>
      <c r="KL21" s="81"/>
      <c r="KM21" s="81"/>
      <c r="KN21" s="81"/>
      <c r="KO21" s="81"/>
      <c r="KP21" s="81"/>
      <c r="KQ21" s="81"/>
      <c r="KR21" s="81"/>
      <c r="KS21" s="81"/>
      <c r="KT21" s="81"/>
      <c r="KU21" s="81"/>
      <c r="KV21" s="81"/>
      <c r="KW21" s="81"/>
      <c r="KX21" s="81"/>
      <c r="KY21" s="81"/>
      <c r="KZ21" s="81"/>
      <c r="LA21" s="81"/>
      <c r="LB21" s="81"/>
      <c r="LC21" s="81"/>
      <c r="LD21" s="81"/>
      <c r="LE21" s="81"/>
      <c r="LF21" s="81"/>
      <c r="LG21" s="81"/>
      <c r="LH21" s="81"/>
      <c r="LI21" s="81"/>
      <c r="LJ21" s="81"/>
      <c r="LK21" s="81"/>
      <c r="LL21" s="81"/>
      <c r="LM21" s="81"/>
      <c r="LN21" s="81"/>
    </row>
    <row r="22" spans="1:326" x14ac:dyDescent="0.4">
      <c r="A22" s="82">
        <v>22</v>
      </c>
      <c r="B22" s="378"/>
      <c r="C22" s="381"/>
      <c r="D22" s="83" t="s">
        <v>278</v>
      </c>
      <c r="E22" s="79"/>
      <c r="F22" s="77">
        <f t="shared" si="6"/>
        <v>0</v>
      </c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  <c r="EM22" s="81"/>
      <c r="EN22" s="81"/>
      <c r="EO22" s="81"/>
      <c r="EP22" s="81"/>
      <c r="EQ22" s="81"/>
      <c r="ER22" s="81"/>
      <c r="ES22" s="81"/>
      <c r="ET22" s="81"/>
      <c r="EU22" s="81"/>
      <c r="EV22" s="81"/>
      <c r="EW22" s="81"/>
      <c r="EX22" s="81"/>
      <c r="EY22" s="81"/>
      <c r="EZ22" s="81"/>
      <c r="FA22" s="81"/>
      <c r="FB22" s="81"/>
      <c r="FC22" s="81"/>
      <c r="FD22" s="81"/>
      <c r="FE22" s="81"/>
      <c r="FF22" s="81"/>
      <c r="FG22" s="81"/>
      <c r="FH22" s="81"/>
      <c r="FI22" s="81"/>
      <c r="FJ22" s="81"/>
      <c r="FK22" s="81"/>
      <c r="FL22" s="81"/>
      <c r="FM22" s="81"/>
      <c r="FN22" s="81"/>
      <c r="FO22" s="81"/>
      <c r="FP22" s="81"/>
      <c r="FQ22" s="81"/>
      <c r="FR22" s="81"/>
      <c r="FS22" s="81"/>
      <c r="FT22" s="81"/>
      <c r="FU22" s="81"/>
      <c r="FV22" s="81"/>
      <c r="FW22" s="81"/>
      <c r="FX22" s="81"/>
      <c r="FY22" s="81"/>
      <c r="FZ22" s="81"/>
      <c r="GA22" s="81"/>
      <c r="GB22" s="81"/>
      <c r="GC22" s="81"/>
      <c r="GD22" s="81"/>
      <c r="GE22" s="81"/>
      <c r="GF22" s="81"/>
      <c r="GG22" s="81"/>
      <c r="GH22" s="81"/>
      <c r="GI22" s="81"/>
      <c r="GJ22" s="81"/>
      <c r="GK22" s="81"/>
      <c r="GL22" s="81"/>
      <c r="GM22" s="81"/>
      <c r="GN22" s="81"/>
      <c r="GO22" s="81"/>
      <c r="GP22" s="81"/>
      <c r="GQ22" s="81"/>
      <c r="GR22" s="81"/>
      <c r="GS22" s="81"/>
      <c r="GT22" s="81"/>
      <c r="GU22" s="81"/>
      <c r="GV22" s="81"/>
      <c r="GW22" s="81"/>
      <c r="GX22" s="81"/>
      <c r="GY22" s="81"/>
      <c r="GZ22" s="81"/>
      <c r="HA22" s="81"/>
      <c r="HB22" s="81"/>
      <c r="HC22" s="81"/>
      <c r="HD22" s="81"/>
      <c r="HE22" s="81"/>
      <c r="HF22" s="81"/>
      <c r="HG22" s="81"/>
      <c r="HH22" s="81"/>
      <c r="HI22" s="81"/>
      <c r="HJ22" s="81"/>
      <c r="HK22" s="81"/>
      <c r="HL22" s="81"/>
      <c r="HM22" s="81"/>
      <c r="HN22" s="81"/>
      <c r="HO22" s="81"/>
      <c r="HP22" s="81"/>
      <c r="HQ22" s="81"/>
      <c r="HR22" s="81"/>
      <c r="HS22" s="81"/>
      <c r="HT22" s="81"/>
      <c r="HU22" s="81"/>
      <c r="HV22" s="81"/>
      <c r="HW22" s="81"/>
      <c r="HX22" s="81"/>
      <c r="HY22" s="81"/>
      <c r="HZ22" s="81"/>
      <c r="IA22" s="81"/>
      <c r="IB22" s="81"/>
      <c r="IC22" s="81"/>
      <c r="ID22" s="81"/>
      <c r="IE22" s="81"/>
      <c r="IF22" s="81"/>
      <c r="IG22" s="81"/>
      <c r="IH22" s="81"/>
      <c r="II22" s="81"/>
      <c r="IJ22" s="81"/>
      <c r="IK22" s="81"/>
      <c r="IL22" s="81"/>
      <c r="IM22" s="81"/>
      <c r="IN22" s="81"/>
      <c r="IO22" s="81"/>
      <c r="IP22" s="81"/>
      <c r="IQ22" s="81"/>
      <c r="IR22" s="81"/>
      <c r="IS22" s="81"/>
      <c r="IT22" s="81"/>
      <c r="IU22" s="81"/>
      <c r="IV22" s="81"/>
      <c r="IW22" s="81"/>
      <c r="IX22" s="81"/>
      <c r="IY22" s="81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  <c r="JX22" s="81"/>
      <c r="JY22" s="81"/>
      <c r="JZ22" s="81"/>
      <c r="KA22" s="81"/>
      <c r="KB22" s="81"/>
      <c r="KC22" s="81"/>
      <c r="KD22" s="81"/>
      <c r="KE22" s="81"/>
      <c r="KF22" s="81"/>
      <c r="KG22" s="81"/>
      <c r="KH22" s="81"/>
      <c r="KI22" s="81"/>
      <c r="KJ22" s="81"/>
      <c r="KK22" s="81"/>
      <c r="KL22" s="81"/>
      <c r="KM22" s="81"/>
      <c r="KN22" s="81"/>
      <c r="KO22" s="81"/>
      <c r="KP22" s="81"/>
      <c r="KQ22" s="81"/>
      <c r="KR22" s="81"/>
      <c r="KS22" s="81"/>
      <c r="KT22" s="81"/>
      <c r="KU22" s="81"/>
      <c r="KV22" s="81"/>
      <c r="KW22" s="81"/>
      <c r="KX22" s="81"/>
      <c r="KY22" s="81"/>
      <c r="KZ22" s="81"/>
      <c r="LA22" s="81"/>
      <c r="LB22" s="81"/>
      <c r="LC22" s="81"/>
      <c r="LD22" s="81"/>
      <c r="LE22" s="81"/>
      <c r="LF22" s="81"/>
      <c r="LG22" s="81"/>
      <c r="LH22" s="81"/>
      <c r="LI22" s="81"/>
      <c r="LJ22" s="81"/>
      <c r="LK22" s="81"/>
      <c r="LL22" s="81"/>
      <c r="LM22" s="81"/>
      <c r="LN22" s="81"/>
    </row>
    <row r="23" spans="1:326" x14ac:dyDescent="0.4">
      <c r="A23" s="82">
        <v>23</v>
      </c>
      <c r="B23" s="378" t="s">
        <v>286</v>
      </c>
      <c r="C23" s="381"/>
      <c r="D23" s="84" t="s">
        <v>283</v>
      </c>
      <c r="E23" s="79"/>
      <c r="F23" s="77">
        <f t="shared" si="6"/>
        <v>0</v>
      </c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  <c r="FU23" s="81"/>
      <c r="FV23" s="81"/>
      <c r="FW23" s="81"/>
      <c r="FX23" s="81"/>
      <c r="FY23" s="81"/>
      <c r="FZ23" s="81"/>
      <c r="GA23" s="81"/>
      <c r="GB23" s="81"/>
      <c r="GC23" s="81"/>
      <c r="GD23" s="81"/>
      <c r="GE23" s="81"/>
      <c r="GF23" s="81"/>
      <c r="GG23" s="81"/>
      <c r="GH23" s="81"/>
      <c r="GI23" s="81"/>
      <c r="GJ23" s="81"/>
      <c r="GK23" s="81"/>
      <c r="GL23" s="81"/>
      <c r="GM23" s="81"/>
      <c r="GN23" s="81"/>
      <c r="GO23" s="81"/>
      <c r="GP23" s="81"/>
      <c r="GQ23" s="81"/>
      <c r="GR23" s="81"/>
      <c r="GS23" s="81"/>
      <c r="GT23" s="81"/>
      <c r="GU23" s="81"/>
      <c r="GV23" s="81"/>
      <c r="GW23" s="81"/>
      <c r="GX23" s="81"/>
      <c r="GY23" s="81"/>
      <c r="GZ23" s="81"/>
      <c r="HA23" s="81"/>
      <c r="HB23" s="81"/>
      <c r="HC23" s="81"/>
      <c r="HD23" s="81"/>
      <c r="HE23" s="81"/>
      <c r="HF23" s="81"/>
      <c r="HG23" s="81"/>
      <c r="HH23" s="81"/>
      <c r="HI23" s="81"/>
      <c r="HJ23" s="81"/>
      <c r="HK23" s="81"/>
      <c r="HL23" s="81"/>
      <c r="HM23" s="81"/>
      <c r="HN23" s="81"/>
      <c r="HO23" s="81"/>
      <c r="HP23" s="81"/>
      <c r="HQ23" s="81"/>
      <c r="HR23" s="81"/>
      <c r="HS23" s="81"/>
      <c r="HT23" s="81"/>
      <c r="HU23" s="81"/>
      <c r="HV23" s="81"/>
      <c r="HW23" s="81"/>
      <c r="HX23" s="81"/>
      <c r="HY23" s="81"/>
      <c r="HZ23" s="81"/>
      <c r="IA23" s="81"/>
      <c r="IB23" s="81"/>
      <c r="IC23" s="81"/>
      <c r="ID23" s="81"/>
      <c r="IE23" s="81"/>
      <c r="IF23" s="81"/>
      <c r="IG23" s="81"/>
      <c r="IH23" s="81"/>
      <c r="II23" s="81"/>
      <c r="IJ23" s="81"/>
      <c r="IK23" s="81"/>
      <c r="IL23" s="81"/>
      <c r="IM23" s="81"/>
      <c r="IN23" s="81"/>
      <c r="IO23" s="81"/>
      <c r="IP23" s="81"/>
      <c r="IQ23" s="81"/>
      <c r="IR23" s="81"/>
      <c r="IS23" s="81"/>
      <c r="IT23" s="81"/>
      <c r="IU23" s="81"/>
      <c r="IV23" s="81"/>
      <c r="IW23" s="81"/>
      <c r="IX23" s="81"/>
      <c r="IY23" s="81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  <c r="JX23" s="81"/>
      <c r="JY23" s="81"/>
      <c r="JZ23" s="81"/>
      <c r="KA23" s="81"/>
      <c r="KB23" s="81"/>
      <c r="KC23" s="81"/>
      <c r="KD23" s="81"/>
      <c r="KE23" s="81"/>
      <c r="KF23" s="81"/>
      <c r="KG23" s="81"/>
      <c r="KH23" s="81"/>
      <c r="KI23" s="81"/>
      <c r="KJ23" s="81"/>
      <c r="KK23" s="81"/>
      <c r="KL23" s="81"/>
      <c r="KM23" s="81"/>
      <c r="KN23" s="81"/>
      <c r="KO23" s="81"/>
      <c r="KP23" s="81"/>
      <c r="KQ23" s="81"/>
      <c r="KR23" s="81"/>
      <c r="KS23" s="81"/>
      <c r="KT23" s="81"/>
      <c r="KU23" s="81"/>
      <c r="KV23" s="81"/>
      <c r="KW23" s="81"/>
      <c r="KX23" s="81"/>
      <c r="KY23" s="81"/>
      <c r="KZ23" s="81"/>
      <c r="LA23" s="81"/>
      <c r="LB23" s="81"/>
      <c r="LC23" s="81"/>
      <c r="LD23" s="81"/>
      <c r="LE23" s="81"/>
      <c r="LF23" s="81"/>
      <c r="LG23" s="81"/>
      <c r="LH23" s="81"/>
      <c r="LI23" s="81"/>
      <c r="LJ23" s="81"/>
      <c r="LK23" s="81"/>
      <c r="LL23" s="81"/>
      <c r="LM23" s="81"/>
      <c r="LN23" s="81"/>
    </row>
    <row r="24" spans="1:326" ht="26.15" customHeight="1" x14ac:dyDescent="0.4">
      <c r="A24" s="82">
        <v>24</v>
      </c>
      <c r="B24" s="378"/>
      <c r="C24" s="381"/>
      <c r="D24" s="84" t="s">
        <v>284</v>
      </c>
      <c r="E24" s="79"/>
      <c r="F24" s="77">
        <f t="shared" si="6"/>
        <v>0</v>
      </c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  <c r="FU24" s="81"/>
      <c r="FV24" s="81"/>
      <c r="FW24" s="81"/>
      <c r="FX24" s="81"/>
      <c r="FY24" s="81"/>
      <c r="FZ24" s="81"/>
      <c r="GA24" s="81"/>
      <c r="GB24" s="81"/>
      <c r="GC24" s="81"/>
      <c r="GD24" s="81"/>
      <c r="GE24" s="81"/>
      <c r="GF24" s="81"/>
      <c r="GG24" s="81"/>
      <c r="GH24" s="81"/>
      <c r="GI24" s="81"/>
      <c r="GJ24" s="81"/>
      <c r="GK24" s="81"/>
      <c r="GL24" s="81"/>
      <c r="GM24" s="81"/>
      <c r="GN24" s="81"/>
      <c r="GO24" s="81"/>
      <c r="GP24" s="81"/>
      <c r="GQ24" s="81"/>
      <c r="GR24" s="81"/>
      <c r="GS24" s="81"/>
      <c r="GT24" s="81"/>
      <c r="GU24" s="81"/>
      <c r="GV24" s="81"/>
      <c r="GW24" s="81"/>
      <c r="GX24" s="81"/>
      <c r="GY24" s="81"/>
      <c r="GZ24" s="81"/>
      <c r="HA24" s="81"/>
      <c r="HB24" s="81"/>
      <c r="HC24" s="81"/>
      <c r="HD24" s="81"/>
      <c r="HE24" s="81"/>
      <c r="HF24" s="81"/>
      <c r="HG24" s="81"/>
      <c r="HH24" s="81"/>
      <c r="HI24" s="81"/>
      <c r="HJ24" s="81"/>
      <c r="HK24" s="81"/>
      <c r="HL24" s="81"/>
      <c r="HM24" s="81"/>
      <c r="HN24" s="81"/>
      <c r="HO24" s="81"/>
      <c r="HP24" s="81"/>
      <c r="HQ24" s="81"/>
      <c r="HR24" s="81"/>
      <c r="HS24" s="81"/>
      <c r="HT24" s="81"/>
      <c r="HU24" s="81"/>
      <c r="HV24" s="81"/>
      <c r="HW24" s="81"/>
      <c r="HX24" s="81"/>
      <c r="HY24" s="81"/>
      <c r="HZ24" s="81"/>
      <c r="IA24" s="81"/>
      <c r="IB24" s="81"/>
      <c r="IC24" s="81"/>
      <c r="ID24" s="81"/>
      <c r="IE24" s="81"/>
      <c r="IF24" s="81"/>
      <c r="IG24" s="81"/>
      <c r="IH24" s="81"/>
      <c r="II24" s="81"/>
      <c r="IJ24" s="81"/>
      <c r="IK24" s="81"/>
      <c r="IL24" s="81"/>
      <c r="IM24" s="81"/>
      <c r="IN24" s="81"/>
      <c r="IO24" s="81"/>
      <c r="IP24" s="81"/>
      <c r="IQ24" s="81"/>
      <c r="IR24" s="81"/>
      <c r="IS24" s="81"/>
      <c r="IT24" s="81"/>
      <c r="IU24" s="81"/>
      <c r="IV24" s="81"/>
      <c r="IW24" s="81"/>
      <c r="IX24" s="81"/>
      <c r="IY24" s="81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  <c r="JX24" s="81"/>
      <c r="JY24" s="81"/>
      <c r="JZ24" s="81"/>
      <c r="KA24" s="81"/>
      <c r="KB24" s="81"/>
      <c r="KC24" s="81"/>
      <c r="KD24" s="81"/>
      <c r="KE24" s="81"/>
      <c r="KF24" s="81"/>
      <c r="KG24" s="81"/>
      <c r="KH24" s="81"/>
      <c r="KI24" s="81"/>
      <c r="KJ24" s="81"/>
      <c r="KK24" s="81"/>
      <c r="KL24" s="81"/>
      <c r="KM24" s="81"/>
      <c r="KN24" s="81"/>
      <c r="KO24" s="81"/>
      <c r="KP24" s="81"/>
      <c r="KQ24" s="81"/>
      <c r="KR24" s="81"/>
      <c r="KS24" s="81"/>
      <c r="KT24" s="81"/>
      <c r="KU24" s="81"/>
      <c r="KV24" s="81"/>
      <c r="KW24" s="81"/>
      <c r="KX24" s="81"/>
      <c r="KY24" s="81"/>
      <c r="KZ24" s="81"/>
      <c r="LA24" s="81"/>
      <c r="LB24" s="81"/>
      <c r="LC24" s="81"/>
      <c r="LD24" s="81"/>
      <c r="LE24" s="81"/>
      <c r="LF24" s="81"/>
      <c r="LG24" s="81"/>
      <c r="LH24" s="81"/>
      <c r="LI24" s="81"/>
      <c r="LJ24" s="81"/>
      <c r="LK24" s="81"/>
      <c r="LL24" s="81"/>
      <c r="LM24" s="81"/>
      <c r="LN24" s="81"/>
    </row>
    <row r="25" spans="1:326" x14ac:dyDescent="0.4">
      <c r="A25" s="82">
        <v>25</v>
      </c>
      <c r="B25" s="378"/>
      <c r="C25" s="381"/>
      <c r="D25" s="84" t="s">
        <v>285</v>
      </c>
      <c r="E25" s="79"/>
      <c r="F25" s="77">
        <f t="shared" si="6"/>
        <v>0</v>
      </c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  <c r="FP25" s="81"/>
      <c r="FQ25" s="81"/>
      <c r="FR25" s="81"/>
      <c r="FS25" s="81"/>
      <c r="FT25" s="81"/>
      <c r="FU25" s="81"/>
      <c r="FV25" s="81"/>
      <c r="FW25" s="81"/>
      <c r="FX25" s="81"/>
      <c r="FY25" s="81"/>
      <c r="FZ25" s="81"/>
      <c r="GA25" s="81"/>
      <c r="GB25" s="81"/>
      <c r="GC25" s="81"/>
      <c r="GD25" s="81"/>
      <c r="GE25" s="81"/>
      <c r="GF25" s="81"/>
      <c r="GG25" s="81"/>
      <c r="GH25" s="81"/>
      <c r="GI25" s="81"/>
      <c r="GJ25" s="81"/>
      <c r="GK25" s="81"/>
      <c r="GL25" s="81"/>
      <c r="GM25" s="81"/>
      <c r="GN25" s="81"/>
      <c r="GO25" s="81"/>
      <c r="GP25" s="81"/>
      <c r="GQ25" s="81"/>
      <c r="GR25" s="81"/>
      <c r="GS25" s="81"/>
      <c r="GT25" s="81"/>
      <c r="GU25" s="81"/>
      <c r="GV25" s="81"/>
      <c r="GW25" s="81"/>
      <c r="GX25" s="81"/>
      <c r="GY25" s="81"/>
      <c r="GZ25" s="81"/>
      <c r="HA25" s="81"/>
      <c r="HB25" s="81"/>
      <c r="HC25" s="81"/>
      <c r="HD25" s="81"/>
      <c r="HE25" s="81"/>
      <c r="HF25" s="81"/>
      <c r="HG25" s="81"/>
      <c r="HH25" s="81"/>
      <c r="HI25" s="81"/>
      <c r="HJ25" s="81"/>
      <c r="HK25" s="81"/>
      <c r="HL25" s="81"/>
      <c r="HM25" s="81"/>
      <c r="HN25" s="81"/>
      <c r="HO25" s="81"/>
      <c r="HP25" s="81"/>
      <c r="HQ25" s="81"/>
      <c r="HR25" s="81"/>
      <c r="HS25" s="81"/>
      <c r="HT25" s="81"/>
      <c r="HU25" s="81"/>
      <c r="HV25" s="81"/>
      <c r="HW25" s="81"/>
      <c r="HX25" s="81"/>
      <c r="HY25" s="81"/>
      <c r="HZ25" s="81"/>
      <c r="IA25" s="81"/>
      <c r="IB25" s="81"/>
      <c r="IC25" s="81"/>
      <c r="ID25" s="81"/>
      <c r="IE25" s="81"/>
      <c r="IF25" s="81"/>
      <c r="IG25" s="81"/>
      <c r="IH25" s="81"/>
      <c r="II25" s="81"/>
      <c r="IJ25" s="81"/>
      <c r="IK25" s="81"/>
      <c r="IL25" s="81"/>
      <c r="IM25" s="81"/>
      <c r="IN25" s="81"/>
      <c r="IO25" s="81"/>
      <c r="IP25" s="81"/>
      <c r="IQ25" s="81"/>
      <c r="IR25" s="81"/>
      <c r="IS25" s="81"/>
      <c r="IT25" s="81"/>
      <c r="IU25" s="81"/>
      <c r="IV25" s="81"/>
      <c r="IW25" s="81"/>
      <c r="IX25" s="81"/>
      <c r="IY25" s="81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  <c r="JX25" s="81"/>
      <c r="JY25" s="81"/>
      <c r="JZ25" s="81"/>
      <c r="KA25" s="81"/>
      <c r="KB25" s="81"/>
      <c r="KC25" s="81"/>
      <c r="KD25" s="81"/>
      <c r="KE25" s="81"/>
      <c r="KF25" s="81"/>
      <c r="KG25" s="81"/>
      <c r="KH25" s="81"/>
      <c r="KI25" s="81"/>
      <c r="KJ25" s="81"/>
      <c r="KK25" s="81"/>
      <c r="KL25" s="81"/>
      <c r="KM25" s="81"/>
      <c r="KN25" s="81"/>
      <c r="KO25" s="81"/>
      <c r="KP25" s="81"/>
      <c r="KQ25" s="81"/>
      <c r="KR25" s="81"/>
      <c r="KS25" s="81"/>
      <c r="KT25" s="81"/>
      <c r="KU25" s="81"/>
      <c r="KV25" s="81"/>
      <c r="KW25" s="81"/>
      <c r="KX25" s="81"/>
      <c r="KY25" s="81"/>
      <c r="KZ25" s="81"/>
      <c r="LA25" s="81"/>
      <c r="LB25" s="81"/>
      <c r="LC25" s="81"/>
      <c r="LD25" s="81"/>
      <c r="LE25" s="81"/>
      <c r="LF25" s="81"/>
      <c r="LG25" s="81"/>
      <c r="LH25" s="81"/>
      <c r="LI25" s="81"/>
      <c r="LJ25" s="81"/>
      <c r="LK25" s="81"/>
      <c r="LL25" s="81"/>
      <c r="LM25" s="81"/>
      <c r="LN25" s="81"/>
    </row>
    <row r="26" spans="1:326" x14ac:dyDescent="0.4">
      <c r="A26" s="82">
        <v>26</v>
      </c>
      <c r="B26" s="378"/>
      <c r="C26" s="381"/>
      <c r="D26" s="84" t="s">
        <v>287</v>
      </c>
      <c r="E26" s="79"/>
      <c r="F26" s="77">
        <f t="shared" si="6"/>
        <v>0</v>
      </c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/>
      <c r="DX26" s="81"/>
      <c r="DY26" s="81"/>
      <c r="DZ26" s="81"/>
      <c r="EA26" s="81"/>
      <c r="EB26" s="81"/>
      <c r="EC26" s="81"/>
      <c r="ED26" s="81"/>
      <c r="EE26" s="81"/>
      <c r="EF26" s="81"/>
      <c r="EG26" s="81"/>
      <c r="EH26" s="81"/>
      <c r="EI26" s="81"/>
      <c r="EJ26" s="81"/>
      <c r="EK26" s="81"/>
      <c r="EL26" s="81"/>
      <c r="EM26" s="81"/>
      <c r="EN26" s="81"/>
      <c r="EO26" s="81"/>
      <c r="EP26" s="81"/>
      <c r="EQ26" s="81"/>
      <c r="ER26" s="81"/>
      <c r="ES26" s="81"/>
      <c r="ET26" s="81"/>
      <c r="EU26" s="81"/>
      <c r="EV26" s="81"/>
      <c r="EW26" s="81"/>
      <c r="EX26" s="81"/>
      <c r="EY26" s="81"/>
      <c r="EZ26" s="81"/>
      <c r="FA26" s="81"/>
      <c r="FB26" s="81"/>
      <c r="FC26" s="81"/>
      <c r="FD26" s="81"/>
      <c r="FE26" s="81"/>
      <c r="FF26" s="81"/>
      <c r="FG26" s="81"/>
      <c r="FH26" s="81"/>
      <c r="FI26" s="81"/>
      <c r="FJ26" s="81"/>
      <c r="FK26" s="81"/>
      <c r="FL26" s="81"/>
      <c r="FM26" s="81"/>
      <c r="FN26" s="81"/>
      <c r="FO26" s="81"/>
      <c r="FP26" s="81"/>
      <c r="FQ26" s="81"/>
      <c r="FR26" s="81"/>
      <c r="FS26" s="81"/>
      <c r="FT26" s="81"/>
      <c r="FU26" s="81"/>
      <c r="FV26" s="81"/>
      <c r="FW26" s="81"/>
      <c r="FX26" s="81"/>
      <c r="FY26" s="81"/>
      <c r="FZ26" s="81"/>
      <c r="GA26" s="81"/>
      <c r="GB26" s="81"/>
      <c r="GC26" s="81"/>
      <c r="GD26" s="81"/>
      <c r="GE26" s="81"/>
      <c r="GF26" s="81"/>
      <c r="GG26" s="81"/>
      <c r="GH26" s="81"/>
      <c r="GI26" s="81"/>
      <c r="GJ26" s="81"/>
      <c r="GK26" s="81"/>
      <c r="GL26" s="81"/>
      <c r="GM26" s="81"/>
      <c r="GN26" s="81"/>
      <c r="GO26" s="81"/>
      <c r="GP26" s="81"/>
      <c r="GQ26" s="81"/>
      <c r="GR26" s="81"/>
      <c r="GS26" s="81"/>
      <c r="GT26" s="81"/>
      <c r="GU26" s="81"/>
      <c r="GV26" s="81"/>
      <c r="GW26" s="81"/>
      <c r="GX26" s="81"/>
      <c r="GY26" s="81"/>
      <c r="GZ26" s="81"/>
      <c r="HA26" s="81"/>
      <c r="HB26" s="81"/>
      <c r="HC26" s="81"/>
      <c r="HD26" s="81"/>
      <c r="HE26" s="81"/>
      <c r="HF26" s="81"/>
      <c r="HG26" s="81"/>
      <c r="HH26" s="81"/>
      <c r="HI26" s="81"/>
      <c r="HJ26" s="81"/>
      <c r="HK26" s="81"/>
      <c r="HL26" s="81"/>
      <c r="HM26" s="81"/>
      <c r="HN26" s="81"/>
      <c r="HO26" s="81"/>
      <c r="HP26" s="81"/>
      <c r="HQ26" s="81"/>
      <c r="HR26" s="81"/>
      <c r="HS26" s="81"/>
      <c r="HT26" s="81"/>
      <c r="HU26" s="81"/>
      <c r="HV26" s="81"/>
      <c r="HW26" s="81"/>
      <c r="HX26" s="81"/>
      <c r="HY26" s="81"/>
      <c r="HZ26" s="81"/>
      <c r="IA26" s="81"/>
      <c r="IB26" s="81"/>
      <c r="IC26" s="81"/>
      <c r="ID26" s="81"/>
      <c r="IE26" s="81"/>
      <c r="IF26" s="81"/>
      <c r="IG26" s="81"/>
      <c r="IH26" s="81"/>
      <c r="II26" s="81"/>
      <c r="IJ26" s="81"/>
      <c r="IK26" s="81"/>
      <c r="IL26" s="81"/>
      <c r="IM26" s="81"/>
      <c r="IN26" s="81"/>
      <c r="IO26" s="81"/>
      <c r="IP26" s="81"/>
      <c r="IQ26" s="81"/>
      <c r="IR26" s="81"/>
      <c r="IS26" s="81"/>
      <c r="IT26" s="81"/>
      <c r="IU26" s="81"/>
      <c r="IV26" s="81"/>
      <c r="IW26" s="81"/>
      <c r="IX26" s="81"/>
      <c r="IY26" s="81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  <c r="JX26" s="81"/>
      <c r="JY26" s="81"/>
      <c r="JZ26" s="81"/>
      <c r="KA26" s="81"/>
      <c r="KB26" s="81"/>
      <c r="KC26" s="81"/>
      <c r="KD26" s="81"/>
      <c r="KE26" s="81"/>
      <c r="KF26" s="81"/>
      <c r="KG26" s="81"/>
      <c r="KH26" s="81"/>
      <c r="KI26" s="81"/>
      <c r="KJ26" s="81"/>
      <c r="KK26" s="81"/>
      <c r="KL26" s="81"/>
      <c r="KM26" s="81"/>
      <c r="KN26" s="81"/>
      <c r="KO26" s="81"/>
      <c r="KP26" s="81"/>
      <c r="KQ26" s="81"/>
      <c r="KR26" s="81"/>
      <c r="KS26" s="81"/>
      <c r="KT26" s="81"/>
      <c r="KU26" s="81"/>
      <c r="KV26" s="81"/>
      <c r="KW26" s="81"/>
      <c r="KX26" s="81"/>
      <c r="KY26" s="81"/>
      <c r="KZ26" s="81"/>
      <c r="LA26" s="81"/>
      <c r="LB26" s="81"/>
      <c r="LC26" s="81"/>
      <c r="LD26" s="81"/>
      <c r="LE26" s="81"/>
      <c r="LF26" s="81"/>
      <c r="LG26" s="81"/>
      <c r="LH26" s="81"/>
      <c r="LI26" s="81"/>
      <c r="LJ26" s="81"/>
      <c r="LK26" s="81"/>
      <c r="LL26" s="81"/>
      <c r="LM26" s="81"/>
      <c r="LN26" s="81"/>
    </row>
    <row r="27" spans="1:326" ht="14.5" customHeight="1" x14ac:dyDescent="0.4">
      <c r="A27" s="82">
        <v>27</v>
      </c>
      <c r="B27" s="378"/>
      <c r="C27" s="381"/>
      <c r="D27" s="84" t="s">
        <v>278</v>
      </c>
      <c r="E27" s="79"/>
      <c r="F27" s="77">
        <f t="shared" si="6"/>
        <v>0</v>
      </c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  <c r="FF27" s="81"/>
      <c r="FG27" s="81"/>
      <c r="FH27" s="81"/>
      <c r="FI27" s="81"/>
      <c r="FJ27" s="81"/>
      <c r="FK27" s="81"/>
      <c r="FL27" s="81"/>
      <c r="FM27" s="81"/>
      <c r="FN27" s="81"/>
      <c r="FO27" s="81"/>
      <c r="FP27" s="81"/>
      <c r="FQ27" s="81"/>
      <c r="FR27" s="81"/>
      <c r="FS27" s="81"/>
      <c r="FT27" s="81"/>
      <c r="FU27" s="81"/>
      <c r="FV27" s="81"/>
      <c r="FW27" s="81"/>
      <c r="FX27" s="81"/>
      <c r="FY27" s="81"/>
      <c r="FZ27" s="81"/>
      <c r="GA27" s="81"/>
      <c r="GB27" s="81"/>
      <c r="GC27" s="81"/>
      <c r="GD27" s="81"/>
      <c r="GE27" s="81"/>
      <c r="GF27" s="81"/>
      <c r="GG27" s="81"/>
      <c r="GH27" s="81"/>
      <c r="GI27" s="81"/>
      <c r="GJ27" s="81"/>
      <c r="GK27" s="81"/>
      <c r="GL27" s="81"/>
      <c r="GM27" s="81"/>
      <c r="GN27" s="81"/>
      <c r="GO27" s="81"/>
      <c r="GP27" s="81"/>
      <c r="GQ27" s="81"/>
      <c r="GR27" s="81"/>
      <c r="GS27" s="81"/>
      <c r="GT27" s="81"/>
      <c r="GU27" s="81"/>
      <c r="GV27" s="81"/>
      <c r="GW27" s="81"/>
      <c r="GX27" s="81"/>
      <c r="GY27" s="81"/>
      <c r="GZ27" s="81"/>
      <c r="HA27" s="81"/>
      <c r="HB27" s="81"/>
      <c r="HC27" s="81"/>
      <c r="HD27" s="81"/>
      <c r="HE27" s="81"/>
      <c r="HF27" s="81"/>
      <c r="HG27" s="81"/>
      <c r="HH27" s="81"/>
      <c r="HI27" s="81"/>
      <c r="HJ27" s="81"/>
      <c r="HK27" s="81"/>
      <c r="HL27" s="81"/>
      <c r="HM27" s="81"/>
      <c r="HN27" s="81"/>
      <c r="HO27" s="81"/>
      <c r="HP27" s="81"/>
      <c r="HQ27" s="81"/>
      <c r="HR27" s="81"/>
      <c r="HS27" s="81"/>
      <c r="HT27" s="81"/>
      <c r="HU27" s="81"/>
      <c r="HV27" s="81"/>
      <c r="HW27" s="81"/>
      <c r="HX27" s="81"/>
      <c r="HY27" s="81"/>
      <c r="HZ27" s="81"/>
      <c r="IA27" s="81"/>
      <c r="IB27" s="81"/>
      <c r="IC27" s="81"/>
      <c r="ID27" s="81"/>
      <c r="IE27" s="81"/>
      <c r="IF27" s="81"/>
      <c r="IG27" s="81"/>
      <c r="IH27" s="81"/>
      <c r="II27" s="81"/>
      <c r="IJ27" s="81"/>
      <c r="IK27" s="81"/>
      <c r="IL27" s="81"/>
      <c r="IM27" s="81"/>
      <c r="IN27" s="81"/>
      <c r="IO27" s="81"/>
      <c r="IP27" s="81"/>
      <c r="IQ27" s="81"/>
      <c r="IR27" s="81"/>
      <c r="IS27" s="81"/>
      <c r="IT27" s="81"/>
      <c r="IU27" s="81"/>
      <c r="IV27" s="81"/>
      <c r="IW27" s="81"/>
      <c r="IX27" s="81"/>
      <c r="IY27" s="81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  <c r="JX27" s="81"/>
      <c r="JY27" s="81"/>
      <c r="JZ27" s="81"/>
      <c r="KA27" s="81"/>
      <c r="KB27" s="81"/>
      <c r="KC27" s="81"/>
      <c r="KD27" s="81"/>
      <c r="KE27" s="81"/>
      <c r="KF27" s="81"/>
      <c r="KG27" s="81"/>
      <c r="KH27" s="81"/>
      <c r="KI27" s="81"/>
      <c r="KJ27" s="81"/>
      <c r="KK27" s="81"/>
      <c r="KL27" s="81"/>
      <c r="KM27" s="81"/>
      <c r="KN27" s="81"/>
      <c r="KO27" s="81"/>
      <c r="KP27" s="81"/>
      <c r="KQ27" s="81"/>
      <c r="KR27" s="81"/>
      <c r="KS27" s="81"/>
      <c r="KT27" s="81"/>
      <c r="KU27" s="81"/>
      <c r="KV27" s="81"/>
      <c r="KW27" s="81"/>
      <c r="KX27" s="81"/>
      <c r="KY27" s="81"/>
      <c r="KZ27" s="81"/>
      <c r="LA27" s="81"/>
      <c r="LB27" s="81"/>
      <c r="LC27" s="81"/>
      <c r="LD27" s="81"/>
      <c r="LE27" s="81"/>
      <c r="LF27" s="81"/>
      <c r="LG27" s="81"/>
      <c r="LH27" s="81"/>
      <c r="LI27" s="81"/>
      <c r="LJ27" s="81"/>
      <c r="LK27" s="81"/>
      <c r="LL27" s="81"/>
      <c r="LM27" s="81"/>
      <c r="LN27" s="81"/>
    </row>
    <row r="28" spans="1:326" x14ac:dyDescent="0.4">
      <c r="A28" s="82">
        <v>33</v>
      </c>
      <c r="B28" s="382" t="s">
        <v>288</v>
      </c>
      <c r="C28" s="383"/>
      <c r="D28" s="84" t="s">
        <v>289</v>
      </c>
      <c r="E28" s="79"/>
      <c r="F28" s="77">
        <f t="shared" si="6"/>
        <v>0</v>
      </c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  <c r="FP28" s="81"/>
      <c r="FQ28" s="81"/>
      <c r="FR28" s="81"/>
      <c r="FS28" s="81"/>
      <c r="FT28" s="81"/>
      <c r="FU28" s="81"/>
      <c r="FV28" s="81"/>
      <c r="FW28" s="81"/>
      <c r="FX28" s="81"/>
      <c r="FY28" s="81"/>
      <c r="FZ28" s="81"/>
      <c r="GA28" s="81"/>
      <c r="GB28" s="81"/>
      <c r="GC28" s="81"/>
      <c r="GD28" s="81"/>
      <c r="GE28" s="81"/>
      <c r="GF28" s="81"/>
      <c r="GG28" s="81"/>
      <c r="GH28" s="81"/>
      <c r="GI28" s="81"/>
      <c r="GJ28" s="81"/>
      <c r="GK28" s="81"/>
      <c r="GL28" s="81"/>
      <c r="GM28" s="81"/>
      <c r="GN28" s="81"/>
      <c r="GO28" s="81"/>
      <c r="GP28" s="81"/>
      <c r="GQ28" s="81"/>
      <c r="GR28" s="81"/>
      <c r="GS28" s="81"/>
      <c r="GT28" s="81"/>
      <c r="GU28" s="81"/>
      <c r="GV28" s="81"/>
      <c r="GW28" s="81"/>
      <c r="GX28" s="81"/>
      <c r="GY28" s="81"/>
      <c r="GZ28" s="81"/>
      <c r="HA28" s="81"/>
      <c r="HB28" s="81"/>
      <c r="HC28" s="81"/>
      <c r="HD28" s="81"/>
      <c r="HE28" s="81"/>
      <c r="HF28" s="81"/>
      <c r="HG28" s="81"/>
      <c r="HH28" s="81"/>
      <c r="HI28" s="81"/>
      <c r="HJ28" s="81"/>
      <c r="HK28" s="81"/>
      <c r="HL28" s="81"/>
      <c r="HM28" s="81"/>
      <c r="HN28" s="81"/>
      <c r="HO28" s="81"/>
      <c r="HP28" s="81"/>
      <c r="HQ28" s="81"/>
      <c r="HR28" s="81"/>
      <c r="HS28" s="81"/>
      <c r="HT28" s="81"/>
      <c r="HU28" s="81"/>
      <c r="HV28" s="81"/>
      <c r="HW28" s="81"/>
      <c r="HX28" s="81"/>
      <c r="HY28" s="81"/>
      <c r="HZ28" s="81"/>
      <c r="IA28" s="81"/>
      <c r="IB28" s="81"/>
      <c r="IC28" s="81"/>
      <c r="ID28" s="81"/>
      <c r="IE28" s="81"/>
      <c r="IF28" s="81"/>
      <c r="IG28" s="81"/>
      <c r="IH28" s="81"/>
      <c r="II28" s="81"/>
      <c r="IJ28" s="81"/>
      <c r="IK28" s="81"/>
      <c r="IL28" s="81"/>
      <c r="IM28" s="81"/>
      <c r="IN28" s="81"/>
      <c r="IO28" s="81"/>
      <c r="IP28" s="81"/>
      <c r="IQ28" s="81"/>
      <c r="IR28" s="81"/>
      <c r="IS28" s="81"/>
      <c r="IT28" s="81"/>
      <c r="IU28" s="81"/>
      <c r="IV28" s="81"/>
      <c r="IW28" s="81"/>
      <c r="IX28" s="81"/>
      <c r="IY28" s="81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  <c r="JX28" s="81"/>
      <c r="JY28" s="81"/>
      <c r="JZ28" s="81"/>
      <c r="KA28" s="81"/>
      <c r="KB28" s="81"/>
      <c r="KC28" s="81"/>
      <c r="KD28" s="81"/>
      <c r="KE28" s="81"/>
      <c r="KF28" s="81"/>
      <c r="KG28" s="81"/>
      <c r="KH28" s="81"/>
      <c r="KI28" s="81"/>
      <c r="KJ28" s="81"/>
      <c r="KK28" s="81"/>
      <c r="KL28" s="81"/>
      <c r="KM28" s="81"/>
      <c r="KN28" s="81"/>
      <c r="KO28" s="81"/>
      <c r="KP28" s="81"/>
      <c r="KQ28" s="81"/>
      <c r="KR28" s="81"/>
      <c r="KS28" s="81"/>
      <c r="KT28" s="81"/>
      <c r="KU28" s="81"/>
      <c r="KV28" s="81"/>
      <c r="KW28" s="81"/>
      <c r="KX28" s="81"/>
      <c r="KY28" s="81"/>
      <c r="KZ28" s="81"/>
      <c r="LA28" s="81"/>
      <c r="LB28" s="81"/>
      <c r="LC28" s="81"/>
      <c r="LD28" s="81"/>
      <c r="LE28" s="81"/>
      <c r="LF28" s="81"/>
      <c r="LG28" s="81"/>
      <c r="LH28" s="81"/>
      <c r="LI28" s="81"/>
      <c r="LJ28" s="81"/>
      <c r="LK28" s="81"/>
      <c r="LL28" s="81"/>
      <c r="LM28" s="81"/>
      <c r="LN28" s="81"/>
    </row>
    <row r="29" spans="1:326" x14ac:dyDescent="0.4">
      <c r="A29" s="82">
        <v>34</v>
      </c>
      <c r="B29" s="382"/>
      <c r="C29" s="383"/>
      <c r="D29" s="84" t="s">
        <v>290</v>
      </c>
      <c r="E29" s="79"/>
      <c r="F29" s="77">
        <f t="shared" si="6"/>
        <v>0</v>
      </c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  <c r="FF29" s="81"/>
      <c r="FG29" s="81"/>
      <c r="FH29" s="81"/>
      <c r="FI29" s="81"/>
      <c r="FJ29" s="81"/>
      <c r="FK29" s="81"/>
      <c r="FL29" s="81"/>
      <c r="FM29" s="81"/>
      <c r="FN29" s="81"/>
      <c r="FO29" s="81"/>
      <c r="FP29" s="81"/>
      <c r="FQ29" s="81"/>
      <c r="FR29" s="81"/>
      <c r="FS29" s="81"/>
      <c r="FT29" s="81"/>
      <c r="FU29" s="81"/>
      <c r="FV29" s="81"/>
      <c r="FW29" s="81"/>
      <c r="FX29" s="81"/>
      <c r="FY29" s="81"/>
      <c r="FZ29" s="81"/>
      <c r="GA29" s="81"/>
      <c r="GB29" s="81"/>
      <c r="GC29" s="81"/>
      <c r="GD29" s="81"/>
      <c r="GE29" s="81"/>
      <c r="GF29" s="81"/>
      <c r="GG29" s="81"/>
      <c r="GH29" s="81"/>
      <c r="GI29" s="81"/>
      <c r="GJ29" s="81"/>
      <c r="GK29" s="81"/>
      <c r="GL29" s="81"/>
      <c r="GM29" s="81"/>
      <c r="GN29" s="81"/>
      <c r="GO29" s="81"/>
      <c r="GP29" s="81"/>
      <c r="GQ29" s="81"/>
      <c r="GR29" s="81"/>
      <c r="GS29" s="81"/>
      <c r="GT29" s="81"/>
      <c r="GU29" s="81"/>
      <c r="GV29" s="81"/>
      <c r="GW29" s="81"/>
      <c r="GX29" s="81"/>
      <c r="GY29" s="81"/>
      <c r="GZ29" s="81"/>
      <c r="HA29" s="81"/>
      <c r="HB29" s="81"/>
      <c r="HC29" s="81"/>
      <c r="HD29" s="81"/>
      <c r="HE29" s="81"/>
      <c r="HF29" s="81"/>
      <c r="HG29" s="81"/>
      <c r="HH29" s="81"/>
      <c r="HI29" s="81"/>
      <c r="HJ29" s="81"/>
      <c r="HK29" s="81"/>
      <c r="HL29" s="81"/>
      <c r="HM29" s="81"/>
      <c r="HN29" s="81"/>
      <c r="HO29" s="81"/>
      <c r="HP29" s="81"/>
      <c r="HQ29" s="81"/>
      <c r="HR29" s="81"/>
      <c r="HS29" s="81"/>
      <c r="HT29" s="81"/>
      <c r="HU29" s="81"/>
      <c r="HV29" s="81"/>
      <c r="HW29" s="81"/>
      <c r="HX29" s="81"/>
      <c r="HY29" s="81"/>
      <c r="HZ29" s="81"/>
      <c r="IA29" s="81"/>
      <c r="IB29" s="81"/>
      <c r="IC29" s="81"/>
      <c r="ID29" s="81"/>
      <c r="IE29" s="81"/>
      <c r="IF29" s="81"/>
      <c r="IG29" s="81"/>
      <c r="IH29" s="81"/>
      <c r="II29" s="81"/>
      <c r="IJ29" s="81"/>
      <c r="IK29" s="81"/>
      <c r="IL29" s="81"/>
      <c r="IM29" s="81"/>
      <c r="IN29" s="81"/>
      <c r="IO29" s="81"/>
      <c r="IP29" s="81"/>
      <c r="IQ29" s="81"/>
      <c r="IR29" s="81"/>
      <c r="IS29" s="81"/>
      <c r="IT29" s="81"/>
      <c r="IU29" s="81"/>
      <c r="IV29" s="81"/>
      <c r="IW29" s="81"/>
      <c r="IX29" s="81"/>
      <c r="IY29" s="81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  <c r="JX29" s="81"/>
      <c r="JY29" s="81"/>
      <c r="JZ29" s="81"/>
      <c r="KA29" s="81"/>
      <c r="KB29" s="81"/>
      <c r="KC29" s="81"/>
      <c r="KD29" s="81"/>
      <c r="KE29" s="81"/>
      <c r="KF29" s="81"/>
      <c r="KG29" s="81"/>
      <c r="KH29" s="81"/>
      <c r="KI29" s="81"/>
      <c r="KJ29" s="81"/>
      <c r="KK29" s="81"/>
      <c r="KL29" s="81"/>
      <c r="KM29" s="81"/>
      <c r="KN29" s="81"/>
      <c r="KO29" s="81"/>
      <c r="KP29" s="81"/>
      <c r="KQ29" s="81"/>
      <c r="KR29" s="81"/>
      <c r="KS29" s="81"/>
      <c r="KT29" s="81"/>
      <c r="KU29" s="81"/>
      <c r="KV29" s="81"/>
      <c r="KW29" s="81"/>
      <c r="KX29" s="81"/>
      <c r="KY29" s="81"/>
      <c r="KZ29" s="81"/>
      <c r="LA29" s="81"/>
      <c r="LB29" s="81"/>
      <c r="LC29" s="81"/>
      <c r="LD29" s="81"/>
      <c r="LE29" s="81"/>
      <c r="LF29" s="81"/>
      <c r="LG29" s="81"/>
      <c r="LH29" s="81"/>
      <c r="LI29" s="81"/>
      <c r="LJ29" s="81"/>
      <c r="LK29" s="81"/>
      <c r="LL29" s="81"/>
      <c r="LM29" s="81"/>
      <c r="LN29" s="81"/>
    </row>
    <row r="30" spans="1:326" x14ac:dyDescent="0.4">
      <c r="A30" s="82">
        <v>35</v>
      </c>
      <c r="B30" s="382"/>
      <c r="C30" s="383"/>
      <c r="D30" s="84" t="s">
        <v>278</v>
      </c>
      <c r="E30" s="79"/>
      <c r="F30" s="77">
        <f t="shared" si="6"/>
        <v>0</v>
      </c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  <c r="EM30" s="81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81"/>
      <c r="FF30" s="81"/>
      <c r="FG30" s="81"/>
      <c r="FH30" s="81"/>
      <c r="FI30" s="81"/>
      <c r="FJ30" s="81"/>
      <c r="FK30" s="81"/>
      <c r="FL30" s="81"/>
      <c r="FM30" s="81"/>
      <c r="FN30" s="81"/>
      <c r="FO30" s="81"/>
      <c r="FP30" s="81"/>
      <c r="FQ30" s="81"/>
      <c r="FR30" s="81"/>
      <c r="FS30" s="81"/>
      <c r="FT30" s="81"/>
      <c r="FU30" s="81"/>
      <c r="FV30" s="81"/>
      <c r="FW30" s="81"/>
      <c r="FX30" s="81"/>
      <c r="FY30" s="81"/>
      <c r="FZ30" s="81"/>
      <c r="GA30" s="81"/>
      <c r="GB30" s="81"/>
      <c r="GC30" s="81"/>
      <c r="GD30" s="81"/>
      <c r="GE30" s="81"/>
      <c r="GF30" s="81"/>
      <c r="GG30" s="81"/>
      <c r="GH30" s="81"/>
      <c r="GI30" s="81"/>
      <c r="GJ30" s="81"/>
      <c r="GK30" s="81"/>
      <c r="GL30" s="81"/>
      <c r="GM30" s="81"/>
      <c r="GN30" s="81"/>
      <c r="GO30" s="81"/>
      <c r="GP30" s="81"/>
      <c r="GQ30" s="81"/>
      <c r="GR30" s="81"/>
      <c r="GS30" s="81"/>
      <c r="GT30" s="81"/>
      <c r="GU30" s="81"/>
      <c r="GV30" s="81"/>
      <c r="GW30" s="81"/>
      <c r="GX30" s="81"/>
      <c r="GY30" s="81"/>
      <c r="GZ30" s="81"/>
      <c r="HA30" s="81"/>
      <c r="HB30" s="81"/>
      <c r="HC30" s="81"/>
      <c r="HD30" s="81"/>
      <c r="HE30" s="81"/>
      <c r="HF30" s="81"/>
      <c r="HG30" s="81"/>
      <c r="HH30" s="81"/>
      <c r="HI30" s="81"/>
      <c r="HJ30" s="81"/>
      <c r="HK30" s="81"/>
      <c r="HL30" s="81"/>
      <c r="HM30" s="81"/>
      <c r="HN30" s="81"/>
      <c r="HO30" s="81"/>
      <c r="HP30" s="81"/>
      <c r="HQ30" s="81"/>
      <c r="HR30" s="81"/>
      <c r="HS30" s="81"/>
      <c r="HT30" s="81"/>
      <c r="HU30" s="81"/>
      <c r="HV30" s="81"/>
      <c r="HW30" s="81"/>
      <c r="HX30" s="81"/>
      <c r="HY30" s="81"/>
      <c r="HZ30" s="81"/>
      <c r="IA30" s="81"/>
      <c r="IB30" s="81"/>
      <c r="IC30" s="81"/>
      <c r="ID30" s="81"/>
      <c r="IE30" s="81"/>
      <c r="IF30" s="81"/>
      <c r="IG30" s="81"/>
      <c r="IH30" s="81"/>
      <c r="II30" s="81"/>
      <c r="IJ30" s="81"/>
      <c r="IK30" s="81"/>
      <c r="IL30" s="81"/>
      <c r="IM30" s="81"/>
      <c r="IN30" s="81"/>
      <c r="IO30" s="81"/>
      <c r="IP30" s="81"/>
      <c r="IQ30" s="81"/>
      <c r="IR30" s="81"/>
      <c r="IS30" s="81"/>
      <c r="IT30" s="81"/>
      <c r="IU30" s="81"/>
      <c r="IV30" s="81"/>
      <c r="IW30" s="81"/>
      <c r="IX30" s="81"/>
      <c r="IY30" s="81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  <c r="JX30" s="81"/>
      <c r="JY30" s="81"/>
      <c r="JZ30" s="81"/>
      <c r="KA30" s="81"/>
      <c r="KB30" s="81"/>
      <c r="KC30" s="81"/>
      <c r="KD30" s="81"/>
      <c r="KE30" s="81"/>
      <c r="KF30" s="81"/>
      <c r="KG30" s="81"/>
      <c r="KH30" s="81"/>
      <c r="KI30" s="81"/>
      <c r="KJ30" s="81"/>
      <c r="KK30" s="81"/>
      <c r="KL30" s="81"/>
      <c r="KM30" s="81"/>
      <c r="KN30" s="81"/>
      <c r="KO30" s="81"/>
      <c r="KP30" s="81"/>
      <c r="KQ30" s="81"/>
      <c r="KR30" s="81"/>
      <c r="KS30" s="81"/>
      <c r="KT30" s="81"/>
      <c r="KU30" s="81"/>
      <c r="KV30" s="81"/>
      <c r="KW30" s="81"/>
      <c r="KX30" s="81"/>
      <c r="KY30" s="81"/>
      <c r="KZ30" s="81"/>
      <c r="LA30" s="81"/>
      <c r="LB30" s="81"/>
      <c r="LC30" s="81"/>
      <c r="LD30" s="81"/>
      <c r="LE30" s="81"/>
      <c r="LF30" s="81"/>
      <c r="LG30" s="81"/>
      <c r="LH30" s="81"/>
      <c r="LI30" s="81"/>
      <c r="LJ30" s="81"/>
      <c r="LK30" s="81"/>
      <c r="LL30" s="81"/>
      <c r="LM30" s="81"/>
      <c r="LN30" s="81"/>
    </row>
    <row r="31" spans="1:326" x14ac:dyDescent="0.4">
      <c r="A31" s="82">
        <v>36</v>
      </c>
      <c r="B31" s="382"/>
      <c r="C31" s="383"/>
      <c r="D31" s="84" t="s">
        <v>277</v>
      </c>
      <c r="E31" s="79"/>
      <c r="F31" s="77">
        <f t="shared" si="6"/>
        <v>0</v>
      </c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81"/>
      <c r="FF31" s="81"/>
      <c r="FG31" s="81"/>
      <c r="FH31" s="81"/>
      <c r="FI31" s="81"/>
      <c r="FJ31" s="81"/>
      <c r="FK31" s="81"/>
      <c r="FL31" s="81"/>
      <c r="FM31" s="81"/>
      <c r="FN31" s="81"/>
      <c r="FO31" s="81"/>
      <c r="FP31" s="81"/>
      <c r="FQ31" s="81"/>
      <c r="FR31" s="81"/>
      <c r="FS31" s="81"/>
      <c r="FT31" s="81"/>
      <c r="FU31" s="81"/>
      <c r="FV31" s="81"/>
      <c r="FW31" s="81"/>
      <c r="FX31" s="81"/>
      <c r="FY31" s="81"/>
      <c r="FZ31" s="81"/>
      <c r="GA31" s="81"/>
      <c r="GB31" s="81"/>
      <c r="GC31" s="81"/>
      <c r="GD31" s="81"/>
      <c r="GE31" s="81"/>
      <c r="GF31" s="81"/>
      <c r="GG31" s="81"/>
      <c r="GH31" s="81"/>
      <c r="GI31" s="81"/>
      <c r="GJ31" s="81"/>
      <c r="GK31" s="81"/>
      <c r="GL31" s="81"/>
      <c r="GM31" s="81"/>
      <c r="GN31" s="81"/>
      <c r="GO31" s="81"/>
      <c r="GP31" s="81"/>
      <c r="GQ31" s="81"/>
      <c r="GR31" s="81"/>
      <c r="GS31" s="81"/>
      <c r="GT31" s="81"/>
      <c r="GU31" s="81"/>
      <c r="GV31" s="81"/>
      <c r="GW31" s="81"/>
      <c r="GX31" s="81"/>
      <c r="GY31" s="81"/>
      <c r="GZ31" s="81"/>
      <c r="HA31" s="81"/>
      <c r="HB31" s="81"/>
      <c r="HC31" s="81"/>
      <c r="HD31" s="81"/>
      <c r="HE31" s="81"/>
      <c r="HF31" s="81"/>
      <c r="HG31" s="81"/>
      <c r="HH31" s="81"/>
      <c r="HI31" s="81"/>
      <c r="HJ31" s="81"/>
      <c r="HK31" s="81"/>
      <c r="HL31" s="81"/>
      <c r="HM31" s="81"/>
      <c r="HN31" s="81"/>
      <c r="HO31" s="81"/>
      <c r="HP31" s="81"/>
      <c r="HQ31" s="81"/>
      <c r="HR31" s="81"/>
      <c r="HS31" s="81"/>
      <c r="HT31" s="81"/>
      <c r="HU31" s="81"/>
      <c r="HV31" s="81"/>
      <c r="HW31" s="81"/>
      <c r="HX31" s="81"/>
      <c r="HY31" s="81"/>
      <c r="HZ31" s="81"/>
      <c r="IA31" s="81"/>
      <c r="IB31" s="81"/>
      <c r="IC31" s="81"/>
      <c r="ID31" s="81"/>
      <c r="IE31" s="81"/>
      <c r="IF31" s="81"/>
      <c r="IG31" s="81"/>
      <c r="IH31" s="81"/>
      <c r="II31" s="81"/>
      <c r="IJ31" s="81"/>
      <c r="IK31" s="81"/>
      <c r="IL31" s="81"/>
      <c r="IM31" s="81"/>
      <c r="IN31" s="81"/>
      <c r="IO31" s="81"/>
      <c r="IP31" s="81"/>
      <c r="IQ31" s="81"/>
      <c r="IR31" s="81"/>
      <c r="IS31" s="81"/>
      <c r="IT31" s="81"/>
      <c r="IU31" s="81"/>
      <c r="IV31" s="81"/>
      <c r="IW31" s="81"/>
      <c r="IX31" s="81"/>
      <c r="IY31" s="81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  <c r="JX31" s="81"/>
      <c r="JY31" s="81"/>
      <c r="JZ31" s="81"/>
      <c r="KA31" s="81"/>
      <c r="KB31" s="81"/>
      <c r="KC31" s="81"/>
      <c r="KD31" s="81"/>
      <c r="KE31" s="81"/>
      <c r="KF31" s="81"/>
      <c r="KG31" s="81"/>
      <c r="KH31" s="81"/>
      <c r="KI31" s="81"/>
      <c r="KJ31" s="81"/>
      <c r="KK31" s="81"/>
      <c r="KL31" s="81"/>
      <c r="KM31" s="81"/>
      <c r="KN31" s="81"/>
      <c r="KO31" s="81"/>
      <c r="KP31" s="81"/>
      <c r="KQ31" s="81"/>
      <c r="KR31" s="81"/>
      <c r="KS31" s="81"/>
      <c r="KT31" s="81"/>
      <c r="KU31" s="81"/>
      <c r="KV31" s="81"/>
      <c r="KW31" s="81"/>
      <c r="KX31" s="81"/>
      <c r="KY31" s="81"/>
      <c r="KZ31" s="81"/>
      <c r="LA31" s="81"/>
      <c r="LB31" s="81"/>
      <c r="LC31" s="81"/>
      <c r="LD31" s="81"/>
      <c r="LE31" s="81"/>
      <c r="LF31" s="81"/>
      <c r="LG31" s="81"/>
      <c r="LH31" s="81"/>
      <c r="LI31" s="81"/>
      <c r="LJ31" s="81"/>
      <c r="LK31" s="81"/>
      <c r="LL31" s="81"/>
      <c r="LM31" s="81"/>
      <c r="LN31" s="81"/>
    </row>
    <row r="32" spans="1:326" x14ac:dyDescent="0.4">
      <c r="A32" s="82">
        <v>37</v>
      </c>
      <c r="B32" s="382"/>
      <c r="C32" s="383"/>
      <c r="D32" s="84" t="s">
        <v>270</v>
      </c>
      <c r="E32" s="79"/>
      <c r="F32" s="77">
        <f t="shared" si="6"/>
        <v>0</v>
      </c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81"/>
      <c r="FF32" s="81"/>
      <c r="FG32" s="81"/>
      <c r="FH32" s="81"/>
      <c r="FI32" s="81"/>
      <c r="FJ32" s="81"/>
      <c r="FK32" s="81"/>
      <c r="FL32" s="81"/>
      <c r="FM32" s="81"/>
      <c r="FN32" s="81"/>
      <c r="FO32" s="81"/>
      <c r="FP32" s="81"/>
      <c r="FQ32" s="81"/>
      <c r="FR32" s="81"/>
      <c r="FS32" s="81"/>
      <c r="FT32" s="81"/>
      <c r="FU32" s="81"/>
      <c r="FV32" s="81"/>
      <c r="FW32" s="81"/>
      <c r="FX32" s="81"/>
      <c r="FY32" s="81"/>
      <c r="FZ32" s="81"/>
      <c r="GA32" s="81"/>
      <c r="GB32" s="81"/>
      <c r="GC32" s="81"/>
      <c r="GD32" s="81"/>
      <c r="GE32" s="81"/>
      <c r="GF32" s="81"/>
      <c r="GG32" s="81"/>
      <c r="GH32" s="81"/>
      <c r="GI32" s="81"/>
      <c r="GJ32" s="81"/>
      <c r="GK32" s="81"/>
      <c r="GL32" s="81"/>
      <c r="GM32" s="81"/>
      <c r="GN32" s="81"/>
      <c r="GO32" s="81"/>
      <c r="GP32" s="81"/>
      <c r="GQ32" s="81"/>
      <c r="GR32" s="81"/>
      <c r="GS32" s="81"/>
      <c r="GT32" s="81"/>
      <c r="GU32" s="81"/>
      <c r="GV32" s="81"/>
      <c r="GW32" s="81"/>
      <c r="GX32" s="81"/>
      <c r="GY32" s="81"/>
      <c r="GZ32" s="81"/>
      <c r="HA32" s="81"/>
      <c r="HB32" s="81"/>
      <c r="HC32" s="81"/>
      <c r="HD32" s="81"/>
      <c r="HE32" s="81"/>
      <c r="HF32" s="81"/>
      <c r="HG32" s="81"/>
      <c r="HH32" s="81"/>
      <c r="HI32" s="81"/>
      <c r="HJ32" s="81"/>
      <c r="HK32" s="81"/>
      <c r="HL32" s="81"/>
      <c r="HM32" s="81"/>
      <c r="HN32" s="81"/>
      <c r="HO32" s="81"/>
      <c r="HP32" s="81"/>
      <c r="HQ32" s="81"/>
      <c r="HR32" s="81"/>
      <c r="HS32" s="81"/>
      <c r="HT32" s="81"/>
      <c r="HU32" s="81"/>
      <c r="HV32" s="81"/>
      <c r="HW32" s="81"/>
      <c r="HX32" s="81"/>
      <c r="HY32" s="81"/>
      <c r="HZ32" s="81"/>
      <c r="IA32" s="81"/>
      <c r="IB32" s="81"/>
      <c r="IC32" s="81"/>
      <c r="ID32" s="81"/>
      <c r="IE32" s="81"/>
      <c r="IF32" s="81"/>
      <c r="IG32" s="81"/>
      <c r="IH32" s="81"/>
      <c r="II32" s="81"/>
      <c r="IJ32" s="81"/>
      <c r="IK32" s="81"/>
      <c r="IL32" s="81"/>
      <c r="IM32" s="81"/>
      <c r="IN32" s="81"/>
      <c r="IO32" s="81"/>
      <c r="IP32" s="81"/>
      <c r="IQ32" s="81"/>
      <c r="IR32" s="81"/>
      <c r="IS32" s="81"/>
      <c r="IT32" s="81"/>
      <c r="IU32" s="81"/>
      <c r="IV32" s="81"/>
      <c r="IW32" s="81"/>
      <c r="IX32" s="81"/>
      <c r="IY32" s="81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  <c r="JX32" s="81"/>
      <c r="JY32" s="81"/>
      <c r="JZ32" s="81"/>
      <c r="KA32" s="81"/>
      <c r="KB32" s="81"/>
      <c r="KC32" s="81"/>
      <c r="KD32" s="81"/>
      <c r="KE32" s="81"/>
      <c r="KF32" s="81"/>
      <c r="KG32" s="81"/>
      <c r="KH32" s="81"/>
      <c r="KI32" s="81"/>
      <c r="KJ32" s="81"/>
      <c r="KK32" s="81"/>
      <c r="KL32" s="81"/>
      <c r="KM32" s="81"/>
      <c r="KN32" s="81"/>
      <c r="KO32" s="81"/>
      <c r="KP32" s="81"/>
      <c r="KQ32" s="81"/>
      <c r="KR32" s="81"/>
      <c r="KS32" s="81"/>
      <c r="KT32" s="81"/>
      <c r="KU32" s="81"/>
      <c r="KV32" s="81"/>
      <c r="KW32" s="81"/>
      <c r="KX32" s="81"/>
      <c r="KY32" s="81"/>
      <c r="KZ32" s="81"/>
      <c r="LA32" s="81"/>
      <c r="LB32" s="81"/>
      <c r="LC32" s="81"/>
      <c r="LD32" s="81"/>
      <c r="LE32" s="81"/>
      <c r="LF32" s="81"/>
      <c r="LG32" s="81"/>
      <c r="LH32" s="81"/>
      <c r="LI32" s="81"/>
      <c r="LJ32" s="81"/>
      <c r="LK32" s="81"/>
      <c r="LL32" s="81"/>
      <c r="LM32" s="81"/>
      <c r="LN32" s="81"/>
    </row>
    <row r="33" spans="1:326" x14ac:dyDescent="0.4">
      <c r="A33" s="82">
        <v>38</v>
      </c>
      <c r="B33" s="382"/>
      <c r="C33" s="383"/>
      <c r="D33" s="84" t="s">
        <v>291</v>
      </c>
      <c r="E33" s="79"/>
      <c r="F33" s="77">
        <f t="shared" si="6"/>
        <v>0</v>
      </c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  <c r="FU33" s="81"/>
      <c r="FV33" s="81"/>
      <c r="FW33" s="81"/>
      <c r="FX33" s="81"/>
      <c r="FY33" s="81"/>
      <c r="FZ33" s="81"/>
      <c r="GA33" s="81"/>
      <c r="GB33" s="81"/>
      <c r="GC33" s="81"/>
      <c r="GD33" s="81"/>
      <c r="GE33" s="81"/>
      <c r="GF33" s="81"/>
      <c r="GG33" s="81"/>
      <c r="GH33" s="81"/>
      <c r="GI33" s="81"/>
      <c r="GJ33" s="81"/>
      <c r="GK33" s="81"/>
      <c r="GL33" s="81"/>
      <c r="GM33" s="81"/>
      <c r="GN33" s="81"/>
      <c r="GO33" s="81"/>
      <c r="GP33" s="81"/>
      <c r="GQ33" s="81"/>
      <c r="GR33" s="81"/>
      <c r="GS33" s="81"/>
      <c r="GT33" s="81"/>
      <c r="GU33" s="81"/>
      <c r="GV33" s="81"/>
      <c r="GW33" s="81"/>
      <c r="GX33" s="81"/>
      <c r="GY33" s="81"/>
      <c r="GZ33" s="81"/>
      <c r="HA33" s="81"/>
      <c r="HB33" s="81"/>
      <c r="HC33" s="81"/>
      <c r="HD33" s="81"/>
      <c r="HE33" s="81"/>
      <c r="HF33" s="81"/>
      <c r="HG33" s="81"/>
      <c r="HH33" s="81"/>
      <c r="HI33" s="81"/>
      <c r="HJ33" s="81"/>
      <c r="HK33" s="81"/>
      <c r="HL33" s="81"/>
      <c r="HM33" s="81"/>
      <c r="HN33" s="81"/>
      <c r="HO33" s="81"/>
      <c r="HP33" s="81"/>
      <c r="HQ33" s="81"/>
      <c r="HR33" s="81"/>
      <c r="HS33" s="81"/>
      <c r="HT33" s="81"/>
      <c r="HU33" s="81"/>
      <c r="HV33" s="81"/>
      <c r="HW33" s="81"/>
      <c r="HX33" s="81"/>
      <c r="HY33" s="81"/>
      <c r="HZ33" s="81"/>
      <c r="IA33" s="81"/>
      <c r="IB33" s="81"/>
      <c r="IC33" s="81"/>
      <c r="ID33" s="81"/>
      <c r="IE33" s="81"/>
      <c r="IF33" s="81"/>
      <c r="IG33" s="81"/>
      <c r="IH33" s="81"/>
      <c r="II33" s="81"/>
      <c r="IJ33" s="81"/>
      <c r="IK33" s="81"/>
      <c r="IL33" s="81"/>
      <c r="IM33" s="81"/>
      <c r="IN33" s="81"/>
      <c r="IO33" s="81"/>
      <c r="IP33" s="81"/>
      <c r="IQ33" s="81"/>
      <c r="IR33" s="81"/>
      <c r="IS33" s="81"/>
      <c r="IT33" s="81"/>
      <c r="IU33" s="81"/>
      <c r="IV33" s="81"/>
      <c r="IW33" s="81"/>
      <c r="IX33" s="81"/>
      <c r="IY33" s="81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  <c r="JX33" s="81"/>
      <c r="JY33" s="81"/>
      <c r="JZ33" s="81"/>
      <c r="KA33" s="81"/>
      <c r="KB33" s="81"/>
      <c r="KC33" s="81"/>
      <c r="KD33" s="81"/>
      <c r="KE33" s="81"/>
      <c r="KF33" s="81"/>
      <c r="KG33" s="81"/>
      <c r="KH33" s="81"/>
      <c r="KI33" s="81"/>
      <c r="KJ33" s="81"/>
      <c r="KK33" s="81"/>
      <c r="KL33" s="81"/>
      <c r="KM33" s="81"/>
      <c r="KN33" s="81"/>
      <c r="KO33" s="81"/>
      <c r="KP33" s="81"/>
      <c r="KQ33" s="81"/>
      <c r="KR33" s="81"/>
      <c r="KS33" s="81"/>
      <c r="KT33" s="81"/>
      <c r="KU33" s="81"/>
      <c r="KV33" s="81"/>
      <c r="KW33" s="81"/>
      <c r="KX33" s="81"/>
      <c r="KY33" s="81"/>
      <c r="KZ33" s="81"/>
      <c r="LA33" s="81"/>
      <c r="LB33" s="81"/>
      <c r="LC33" s="81"/>
      <c r="LD33" s="81"/>
      <c r="LE33" s="81"/>
      <c r="LF33" s="81"/>
      <c r="LG33" s="81"/>
      <c r="LH33" s="81"/>
      <c r="LI33" s="81"/>
      <c r="LJ33" s="81"/>
      <c r="LK33" s="81"/>
      <c r="LL33" s="81"/>
      <c r="LM33" s="81"/>
      <c r="LN33" s="81"/>
    </row>
    <row r="34" spans="1:326" x14ac:dyDescent="0.4">
      <c r="A34" s="82">
        <v>77</v>
      </c>
      <c r="B34" s="382" t="s">
        <v>292</v>
      </c>
      <c r="C34" s="383"/>
      <c r="D34" s="84" t="s">
        <v>293</v>
      </c>
      <c r="E34" s="79"/>
      <c r="F34" s="77">
        <f t="shared" si="6"/>
        <v>0</v>
      </c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  <c r="FU34" s="81"/>
      <c r="FV34" s="81"/>
      <c r="FW34" s="81"/>
      <c r="FX34" s="81"/>
      <c r="FY34" s="81"/>
      <c r="FZ34" s="81"/>
      <c r="GA34" s="81"/>
      <c r="GB34" s="81"/>
      <c r="GC34" s="81"/>
      <c r="GD34" s="81"/>
      <c r="GE34" s="81"/>
      <c r="GF34" s="81"/>
      <c r="GG34" s="81"/>
      <c r="GH34" s="81"/>
      <c r="GI34" s="81"/>
      <c r="GJ34" s="81"/>
      <c r="GK34" s="81"/>
      <c r="GL34" s="81"/>
      <c r="GM34" s="81"/>
      <c r="GN34" s="81"/>
      <c r="GO34" s="81"/>
      <c r="GP34" s="81"/>
      <c r="GQ34" s="81"/>
      <c r="GR34" s="81"/>
      <c r="GS34" s="81"/>
      <c r="GT34" s="81"/>
      <c r="GU34" s="81"/>
      <c r="GV34" s="81"/>
      <c r="GW34" s="81"/>
      <c r="GX34" s="81"/>
      <c r="GY34" s="81"/>
      <c r="GZ34" s="81"/>
      <c r="HA34" s="81"/>
      <c r="HB34" s="81"/>
      <c r="HC34" s="81"/>
      <c r="HD34" s="81"/>
      <c r="HE34" s="81"/>
      <c r="HF34" s="81"/>
      <c r="HG34" s="81"/>
      <c r="HH34" s="81"/>
      <c r="HI34" s="81"/>
      <c r="HJ34" s="81"/>
      <c r="HK34" s="81"/>
      <c r="HL34" s="81"/>
      <c r="HM34" s="81"/>
      <c r="HN34" s="81"/>
      <c r="HO34" s="81"/>
      <c r="HP34" s="81"/>
      <c r="HQ34" s="81"/>
      <c r="HR34" s="81"/>
      <c r="HS34" s="81"/>
      <c r="HT34" s="81"/>
      <c r="HU34" s="81"/>
      <c r="HV34" s="81"/>
      <c r="HW34" s="81"/>
      <c r="HX34" s="81"/>
      <c r="HY34" s="81"/>
      <c r="HZ34" s="81"/>
      <c r="IA34" s="81"/>
      <c r="IB34" s="81"/>
      <c r="IC34" s="81"/>
      <c r="ID34" s="81"/>
      <c r="IE34" s="81"/>
      <c r="IF34" s="81"/>
      <c r="IG34" s="81"/>
      <c r="IH34" s="81"/>
      <c r="II34" s="81"/>
      <c r="IJ34" s="81"/>
      <c r="IK34" s="81"/>
      <c r="IL34" s="81"/>
      <c r="IM34" s="81"/>
      <c r="IN34" s="81"/>
      <c r="IO34" s="81"/>
      <c r="IP34" s="81"/>
      <c r="IQ34" s="81"/>
      <c r="IR34" s="81"/>
      <c r="IS34" s="81"/>
      <c r="IT34" s="81"/>
      <c r="IU34" s="81"/>
      <c r="IV34" s="81"/>
      <c r="IW34" s="81"/>
      <c r="IX34" s="81"/>
      <c r="IY34" s="81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  <c r="JX34" s="81"/>
      <c r="JY34" s="81"/>
      <c r="JZ34" s="81"/>
      <c r="KA34" s="81"/>
      <c r="KB34" s="81"/>
      <c r="KC34" s="81"/>
      <c r="KD34" s="81"/>
      <c r="KE34" s="81"/>
      <c r="KF34" s="81"/>
      <c r="KG34" s="81"/>
      <c r="KH34" s="81"/>
      <c r="KI34" s="81"/>
      <c r="KJ34" s="81"/>
      <c r="KK34" s="81"/>
      <c r="KL34" s="81"/>
      <c r="KM34" s="81"/>
      <c r="KN34" s="81"/>
      <c r="KO34" s="81"/>
      <c r="KP34" s="81"/>
      <c r="KQ34" s="81"/>
      <c r="KR34" s="81"/>
      <c r="KS34" s="81"/>
      <c r="KT34" s="81"/>
      <c r="KU34" s="81"/>
      <c r="KV34" s="81"/>
      <c r="KW34" s="81"/>
      <c r="KX34" s="81"/>
      <c r="KY34" s="81"/>
      <c r="KZ34" s="81"/>
      <c r="LA34" s="81"/>
      <c r="LB34" s="81"/>
      <c r="LC34" s="81"/>
      <c r="LD34" s="81"/>
      <c r="LE34" s="81"/>
      <c r="LF34" s="81"/>
      <c r="LG34" s="81"/>
      <c r="LH34" s="81"/>
      <c r="LI34" s="81"/>
      <c r="LJ34" s="81"/>
      <c r="LK34" s="81"/>
      <c r="LL34" s="81"/>
      <c r="LM34" s="81"/>
      <c r="LN34" s="81"/>
    </row>
    <row r="35" spans="1:326" x14ac:dyDescent="0.4">
      <c r="A35" s="82">
        <v>78</v>
      </c>
      <c r="B35" s="382"/>
      <c r="C35" s="383"/>
      <c r="D35" s="84" t="s">
        <v>277</v>
      </c>
      <c r="E35" s="79"/>
      <c r="F35" s="77">
        <f t="shared" si="6"/>
        <v>0</v>
      </c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1"/>
      <c r="EK35" s="81"/>
      <c r="EL35" s="81"/>
      <c r="EM35" s="81"/>
      <c r="EN35" s="81"/>
      <c r="EO35" s="81"/>
      <c r="EP35" s="81"/>
      <c r="EQ35" s="81"/>
      <c r="ER35" s="81"/>
      <c r="ES35" s="81"/>
      <c r="ET35" s="81"/>
      <c r="EU35" s="81"/>
      <c r="EV35" s="81"/>
      <c r="EW35" s="81"/>
      <c r="EX35" s="81"/>
      <c r="EY35" s="81"/>
      <c r="EZ35" s="81"/>
      <c r="FA35" s="81"/>
      <c r="FB35" s="81"/>
      <c r="FC35" s="81"/>
      <c r="FD35" s="81"/>
      <c r="FE35" s="81"/>
      <c r="FF35" s="81"/>
      <c r="FG35" s="81"/>
      <c r="FH35" s="81"/>
      <c r="FI35" s="81"/>
      <c r="FJ35" s="81"/>
      <c r="FK35" s="81"/>
      <c r="FL35" s="81"/>
      <c r="FM35" s="81"/>
      <c r="FN35" s="81"/>
      <c r="FO35" s="81"/>
      <c r="FP35" s="81"/>
      <c r="FQ35" s="81"/>
      <c r="FR35" s="81"/>
      <c r="FS35" s="81"/>
      <c r="FT35" s="81"/>
      <c r="FU35" s="81"/>
      <c r="FV35" s="81"/>
      <c r="FW35" s="81"/>
      <c r="FX35" s="81"/>
      <c r="FY35" s="81"/>
      <c r="FZ35" s="81"/>
      <c r="GA35" s="81"/>
      <c r="GB35" s="81"/>
      <c r="GC35" s="81"/>
      <c r="GD35" s="81"/>
      <c r="GE35" s="81"/>
      <c r="GF35" s="81"/>
      <c r="GG35" s="81"/>
      <c r="GH35" s="81"/>
      <c r="GI35" s="81"/>
      <c r="GJ35" s="81"/>
      <c r="GK35" s="81"/>
      <c r="GL35" s="81"/>
      <c r="GM35" s="81"/>
      <c r="GN35" s="81"/>
      <c r="GO35" s="81"/>
      <c r="GP35" s="81"/>
      <c r="GQ35" s="81"/>
      <c r="GR35" s="81"/>
      <c r="GS35" s="81"/>
      <c r="GT35" s="81"/>
      <c r="GU35" s="81"/>
      <c r="GV35" s="81"/>
      <c r="GW35" s="81"/>
      <c r="GX35" s="81"/>
      <c r="GY35" s="81"/>
      <c r="GZ35" s="81"/>
      <c r="HA35" s="81"/>
      <c r="HB35" s="81"/>
      <c r="HC35" s="81"/>
      <c r="HD35" s="81"/>
      <c r="HE35" s="81"/>
      <c r="HF35" s="81"/>
      <c r="HG35" s="81"/>
      <c r="HH35" s="81"/>
      <c r="HI35" s="81"/>
      <c r="HJ35" s="81"/>
      <c r="HK35" s="81"/>
      <c r="HL35" s="81"/>
      <c r="HM35" s="81"/>
      <c r="HN35" s="81"/>
      <c r="HO35" s="81"/>
      <c r="HP35" s="81"/>
      <c r="HQ35" s="81"/>
      <c r="HR35" s="81"/>
      <c r="HS35" s="81"/>
      <c r="HT35" s="81"/>
      <c r="HU35" s="81"/>
      <c r="HV35" s="81"/>
      <c r="HW35" s="81"/>
      <c r="HX35" s="81"/>
      <c r="HY35" s="81"/>
      <c r="HZ35" s="81"/>
      <c r="IA35" s="81"/>
      <c r="IB35" s="81"/>
      <c r="IC35" s="81"/>
      <c r="ID35" s="81"/>
      <c r="IE35" s="81"/>
      <c r="IF35" s="81"/>
      <c r="IG35" s="81"/>
      <c r="IH35" s="81"/>
      <c r="II35" s="81"/>
      <c r="IJ35" s="81"/>
      <c r="IK35" s="81"/>
      <c r="IL35" s="81"/>
      <c r="IM35" s="81"/>
      <c r="IN35" s="81"/>
      <c r="IO35" s="81"/>
      <c r="IP35" s="81"/>
      <c r="IQ35" s="81"/>
      <c r="IR35" s="81"/>
      <c r="IS35" s="81"/>
      <c r="IT35" s="81"/>
      <c r="IU35" s="81"/>
      <c r="IV35" s="81"/>
      <c r="IW35" s="81"/>
      <c r="IX35" s="81"/>
      <c r="IY35" s="81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  <c r="JX35" s="81"/>
      <c r="JY35" s="81"/>
      <c r="JZ35" s="81"/>
      <c r="KA35" s="81"/>
      <c r="KB35" s="81"/>
      <c r="KC35" s="81"/>
      <c r="KD35" s="81"/>
      <c r="KE35" s="81"/>
      <c r="KF35" s="81"/>
      <c r="KG35" s="81"/>
      <c r="KH35" s="81"/>
      <c r="KI35" s="81"/>
      <c r="KJ35" s="81"/>
      <c r="KK35" s="81"/>
      <c r="KL35" s="81"/>
      <c r="KM35" s="81"/>
      <c r="KN35" s="81"/>
      <c r="KO35" s="81"/>
      <c r="KP35" s="81"/>
      <c r="KQ35" s="81"/>
      <c r="KR35" s="81"/>
      <c r="KS35" s="81"/>
      <c r="KT35" s="81"/>
      <c r="KU35" s="81"/>
      <c r="KV35" s="81"/>
      <c r="KW35" s="81"/>
      <c r="KX35" s="81"/>
      <c r="KY35" s="81"/>
      <c r="KZ35" s="81"/>
      <c r="LA35" s="81"/>
      <c r="LB35" s="81"/>
      <c r="LC35" s="81"/>
      <c r="LD35" s="81"/>
      <c r="LE35" s="81"/>
      <c r="LF35" s="81"/>
      <c r="LG35" s="81"/>
      <c r="LH35" s="81"/>
      <c r="LI35" s="81"/>
      <c r="LJ35" s="81"/>
      <c r="LK35" s="81"/>
      <c r="LL35" s="81"/>
      <c r="LM35" s="81"/>
      <c r="LN35" s="81"/>
    </row>
    <row r="36" spans="1:326" x14ac:dyDescent="0.4">
      <c r="A36" s="82">
        <v>79</v>
      </c>
      <c r="B36" s="382"/>
      <c r="C36" s="383"/>
      <c r="D36" s="84" t="s">
        <v>278</v>
      </c>
      <c r="E36" s="79"/>
      <c r="F36" s="77">
        <f t="shared" si="6"/>
        <v>0</v>
      </c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1"/>
      <c r="DX36" s="81"/>
      <c r="DY36" s="81"/>
      <c r="DZ36" s="81"/>
      <c r="EA36" s="81"/>
      <c r="EB36" s="81"/>
      <c r="EC36" s="81"/>
      <c r="ED36" s="81"/>
      <c r="EE36" s="81"/>
      <c r="EF36" s="81"/>
      <c r="EG36" s="81"/>
      <c r="EH36" s="81"/>
      <c r="EI36" s="81"/>
      <c r="EJ36" s="81"/>
      <c r="EK36" s="81"/>
      <c r="EL36" s="81"/>
      <c r="EM36" s="81"/>
      <c r="EN36" s="81"/>
      <c r="EO36" s="81"/>
      <c r="EP36" s="81"/>
      <c r="EQ36" s="81"/>
      <c r="ER36" s="81"/>
      <c r="ES36" s="81"/>
      <c r="ET36" s="81"/>
      <c r="EU36" s="81"/>
      <c r="EV36" s="81"/>
      <c r="EW36" s="81"/>
      <c r="EX36" s="81"/>
      <c r="EY36" s="81"/>
      <c r="EZ36" s="81"/>
      <c r="FA36" s="81"/>
      <c r="FB36" s="81"/>
      <c r="FC36" s="81"/>
      <c r="FD36" s="81"/>
      <c r="FE36" s="81"/>
      <c r="FF36" s="81"/>
      <c r="FG36" s="81"/>
      <c r="FH36" s="81"/>
      <c r="FI36" s="81"/>
      <c r="FJ36" s="81"/>
      <c r="FK36" s="81"/>
      <c r="FL36" s="81"/>
      <c r="FM36" s="81"/>
      <c r="FN36" s="81"/>
      <c r="FO36" s="81"/>
      <c r="FP36" s="81"/>
      <c r="FQ36" s="81"/>
      <c r="FR36" s="81"/>
      <c r="FS36" s="81"/>
      <c r="FT36" s="81"/>
      <c r="FU36" s="81"/>
      <c r="FV36" s="81"/>
      <c r="FW36" s="81"/>
      <c r="FX36" s="81"/>
      <c r="FY36" s="81"/>
      <c r="FZ36" s="81"/>
      <c r="GA36" s="81"/>
      <c r="GB36" s="81"/>
      <c r="GC36" s="81"/>
      <c r="GD36" s="81"/>
      <c r="GE36" s="81"/>
      <c r="GF36" s="81"/>
      <c r="GG36" s="81"/>
      <c r="GH36" s="81"/>
      <c r="GI36" s="81"/>
      <c r="GJ36" s="81"/>
      <c r="GK36" s="81"/>
      <c r="GL36" s="81"/>
      <c r="GM36" s="81"/>
      <c r="GN36" s="81"/>
      <c r="GO36" s="81"/>
      <c r="GP36" s="81"/>
      <c r="GQ36" s="81"/>
      <c r="GR36" s="81"/>
      <c r="GS36" s="81"/>
      <c r="GT36" s="81"/>
      <c r="GU36" s="81"/>
      <c r="GV36" s="81"/>
      <c r="GW36" s="81"/>
      <c r="GX36" s="81"/>
      <c r="GY36" s="81"/>
      <c r="GZ36" s="81"/>
      <c r="HA36" s="81"/>
      <c r="HB36" s="81"/>
      <c r="HC36" s="81"/>
      <c r="HD36" s="81"/>
      <c r="HE36" s="81"/>
      <c r="HF36" s="81"/>
      <c r="HG36" s="81"/>
      <c r="HH36" s="81"/>
      <c r="HI36" s="81"/>
      <c r="HJ36" s="81"/>
      <c r="HK36" s="81"/>
      <c r="HL36" s="81"/>
      <c r="HM36" s="81"/>
      <c r="HN36" s="81"/>
      <c r="HO36" s="81"/>
      <c r="HP36" s="81"/>
      <c r="HQ36" s="81"/>
      <c r="HR36" s="81"/>
      <c r="HS36" s="81"/>
      <c r="HT36" s="81"/>
      <c r="HU36" s="81"/>
      <c r="HV36" s="81"/>
      <c r="HW36" s="81"/>
      <c r="HX36" s="81"/>
      <c r="HY36" s="81"/>
      <c r="HZ36" s="81"/>
      <c r="IA36" s="81"/>
      <c r="IB36" s="81"/>
      <c r="IC36" s="81"/>
      <c r="ID36" s="81"/>
      <c r="IE36" s="81"/>
      <c r="IF36" s="81"/>
      <c r="IG36" s="81"/>
      <c r="IH36" s="81"/>
      <c r="II36" s="81"/>
      <c r="IJ36" s="81"/>
      <c r="IK36" s="81"/>
      <c r="IL36" s="81"/>
      <c r="IM36" s="81"/>
      <c r="IN36" s="81"/>
      <c r="IO36" s="81"/>
      <c r="IP36" s="81"/>
      <c r="IQ36" s="81"/>
      <c r="IR36" s="81"/>
      <c r="IS36" s="81"/>
      <c r="IT36" s="81"/>
      <c r="IU36" s="81"/>
      <c r="IV36" s="81"/>
      <c r="IW36" s="81"/>
      <c r="IX36" s="81"/>
      <c r="IY36" s="81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  <c r="JX36" s="81"/>
      <c r="JY36" s="81"/>
      <c r="JZ36" s="81"/>
      <c r="KA36" s="81"/>
      <c r="KB36" s="81"/>
      <c r="KC36" s="81"/>
      <c r="KD36" s="81"/>
      <c r="KE36" s="81"/>
      <c r="KF36" s="81"/>
      <c r="KG36" s="81"/>
      <c r="KH36" s="81"/>
      <c r="KI36" s="81"/>
      <c r="KJ36" s="81"/>
      <c r="KK36" s="81"/>
      <c r="KL36" s="81"/>
      <c r="KM36" s="81"/>
      <c r="KN36" s="81"/>
      <c r="KO36" s="81"/>
      <c r="KP36" s="81"/>
      <c r="KQ36" s="81"/>
      <c r="KR36" s="81"/>
      <c r="KS36" s="81"/>
      <c r="KT36" s="81"/>
      <c r="KU36" s="81"/>
      <c r="KV36" s="81"/>
      <c r="KW36" s="81"/>
      <c r="KX36" s="81"/>
      <c r="KY36" s="81"/>
      <c r="KZ36" s="81"/>
      <c r="LA36" s="81"/>
      <c r="LB36" s="81"/>
      <c r="LC36" s="81"/>
      <c r="LD36" s="81"/>
      <c r="LE36" s="81"/>
      <c r="LF36" s="81"/>
      <c r="LG36" s="81"/>
      <c r="LH36" s="81"/>
      <c r="LI36" s="81"/>
      <c r="LJ36" s="81"/>
      <c r="LK36" s="81"/>
      <c r="LL36" s="81"/>
      <c r="LM36" s="81"/>
      <c r="LN36" s="81"/>
    </row>
    <row r="37" spans="1:326" x14ac:dyDescent="0.4">
      <c r="A37" s="82">
        <v>80</v>
      </c>
      <c r="B37" s="382"/>
      <c r="C37" s="383"/>
      <c r="D37" s="84" t="s">
        <v>276</v>
      </c>
      <c r="E37" s="79"/>
      <c r="F37" s="77">
        <f t="shared" si="6"/>
        <v>0</v>
      </c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1"/>
      <c r="EK37" s="81"/>
      <c r="EL37" s="81"/>
      <c r="EM37" s="81"/>
      <c r="EN37" s="81"/>
      <c r="EO37" s="81"/>
      <c r="EP37" s="81"/>
      <c r="EQ37" s="81"/>
      <c r="ER37" s="81"/>
      <c r="ES37" s="81"/>
      <c r="ET37" s="81"/>
      <c r="EU37" s="81"/>
      <c r="EV37" s="81"/>
      <c r="EW37" s="81"/>
      <c r="EX37" s="81"/>
      <c r="EY37" s="81"/>
      <c r="EZ37" s="81"/>
      <c r="FA37" s="81"/>
      <c r="FB37" s="81"/>
      <c r="FC37" s="81"/>
      <c r="FD37" s="81"/>
      <c r="FE37" s="81"/>
      <c r="FF37" s="81"/>
      <c r="FG37" s="81"/>
      <c r="FH37" s="81"/>
      <c r="FI37" s="81"/>
      <c r="FJ37" s="81"/>
      <c r="FK37" s="81"/>
      <c r="FL37" s="81"/>
      <c r="FM37" s="81"/>
      <c r="FN37" s="81"/>
      <c r="FO37" s="81"/>
      <c r="FP37" s="81"/>
      <c r="FQ37" s="81"/>
      <c r="FR37" s="81"/>
      <c r="FS37" s="81"/>
      <c r="FT37" s="81"/>
      <c r="FU37" s="81"/>
      <c r="FV37" s="81"/>
      <c r="FW37" s="81"/>
      <c r="FX37" s="81"/>
      <c r="FY37" s="81"/>
      <c r="FZ37" s="81"/>
      <c r="GA37" s="81"/>
      <c r="GB37" s="81"/>
      <c r="GC37" s="81"/>
      <c r="GD37" s="81"/>
      <c r="GE37" s="81"/>
      <c r="GF37" s="81"/>
      <c r="GG37" s="81"/>
      <c r="GH37" s="81"/>
      <c r="GI37" s="81"/>
      <c r="GJ37" s="81"/>
      <c r="GK37" s="81"/>
      <c r="GL37" s="81"/>
      <c r="GM37" s="81"/>
      <c r="GN37" s="81"/>
      <c r="GO37" s="81"/>
      <c r="GP37" s="81"/>
      <c r="GQ37" s="81"/>
      <c r="GR37" s="81"/>
      <c r="GS37" s="81"/>
      <c r="GT37" s="81"/>
      <c r="GU37" s="81"/>
      <c r="GV37" s="81"/>
      <c r="GW37" s="81"/>
      <c r="GX37" s="81"/>
      <c r="GY37" s="81"/>
      <c r="GZ37" s="81"/>
      <c r="HA37" s="81"/>
      <c r="HB37" s="81"/>
      <c r="HC37" s="81"/>
      <c r="HD37" s="81"/>
      <c r="HE37" s="81"/>
      <c r="HF37" s="81"/>
      <c r="HG37" s="81"/>
      <c r="HH37" s="81"/>
      <c r="HI37" s="81"/>
      <c r="HJ37" s="81"/>
      <c r="HK37" s="81"/>
      <c r="HL37" s="81"/>
      <c r="HM37" s="81"/>
      <c r="HN37" s="81"/>
      <c r="HO37" s="81"/>
      <c r="HP37" s="81"/>
      <c r="HQ37" s="81"/>
      <c r="HR37" s="81"/>
      <c r="HS37" s="81"/>
      <c r="HT37" s="81"/>
      <c r="HU37" s="81"/>
      <c r="HV37" s="81"/>
      <c r="HW37" s="81"/>
      <c r="HX37" s="81"/>
      <c r="HY37" s="81"/>
      <c r="HZ37" s="81"/>
      <c r="IA37" s="81"/>
      <c r="IB37" s="81"/>
      <c r="IC37" s="81"/>
      <c r="ID37" s="81"/>
      <c r="IE37" s="81"/>
      <c r="IF37" s="81"/>
      <c r="IG37" s="81"/>
      <c r="IH37" s="81"/>
      <c r="II37" s="81"/>
      <c r="IJ37" s="81"/>
      <c r="IK37" s="81"/>
      <c r="IL37" s="81"/>
      <c r="IM37" s="81"/>
      <c r="IN37" s="81"/>
      <c r="IO37" s="81"/>
      <c r="IP37" s="81"/>
      <c r="IQ37" s="81"/>
      <c r="IR37" s="81"/>
      <c r="IS37" s="81"/>
      <c r="IT37" s="81"/>
      <c r="IU37" s="81"/>
      <c r="IV37" s="81"/>
      <c r="IW37" s="81"/>
      <c r="IX37" s="81"/>
      <c r="IY37" s="81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  <c r="JX37" s="81"/>
      <c r="JY37" s="81"/>
      <c r="JZ37" s="81"/>
      <c r="KA37" s="81"/>
      <c r="KB37" s="81"/>
      <c r="KC37" s="81"/>
      <c r="KD37" s="81"/>
      <c r="KE37" s="81"/>
      <c r="KF37" s="81"/>
      <c r="KG37" s="81"/>
      <c r="KH37" s="81"/>
      <c r="KI37" s="81"/>
      <c r="KJ37" s="81"/>
      <c r="KK37" s="81"/>
      <c r="KL37" s="81"/>
      <c r="KM37" s="81"/>
      <c r="KN37" s="81"/>
      <c r="KO37" s="81"/>
      <c r="KP37" s="81"/>
      <c r="KQ37" s="81"/>
      <c r="KR37" s="81"/>
      <c r="KS37" s="81"/>
      <c r="KT37" s="81"/>
      <c r="KU37" s="81"/>
      <c r="KV37" s="81"/>
      <c r="KW37" s="81"/>
      <c r="KX37" s="81"/>
      <c r="KY37" s="81"/>
      <c r="KZ37" s="81"/>
      <c r="LA37" s="81"/>
      <c r="LB37" s="81"/>
      <c r="LC37" s="81"/>
      <c r="LD37" s="81"/>
      <c r="LE37" s="81"/>
      <c r="LF37" s="81"/>
      <c r="LG37" s="81"/>
      <c r="LH37" s="81"/>
      <c r="LI37" s="81"/>
      <c r="LJ37" s="81"/>
      <c r="LK37" s="81"/>
      <c r="LL37" s="81"/>
      <c r="LM37" s="81"/>
      <c r="LN37" s="81"/>
    </row>
    <row r="38" spans="1:326" x14ac:dyDescent="0.4">
      <c r="A38" s="82">
        <v>68</v>
      </c>
      <c r="B38" s="382" t="s">
        <v>294</v>
      </c>
      <c r="C38" s="383"/>
      <c r="D38" s="84" t="s">
        <v>276</v>
      </c>
      <c r="E38" s="79"/>
      <c r="F38" s="77">
        <f t="shared" si="6"/>
        <v>0</v>
      </c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  <c r="EM38" s="81"/>
      <c r="EN38" s="81"/>
      <c r="EO38" s="81"/>
      <c r="EP38" s="81"/>
      <c r="EQ38" s="81"/>
      <c r="ER38" s="81"/>
      <c r="ES38" s="81"/>
      <c r="ET38" s="81"/>
      <c r="EU38" s="81"/>
      <c r="EV38" s="81"/>
      <c r="EW38" s="81"/>
      <c r="EX38" s="81"/>
      <c r="EY38" s="81"/>
      <c r="EZ38" s="81"/>
      <c r="FA38" s="81"/>
      <c r="FB38" s="81"/>
      <c r="FC38" s="81"/>
      <c r="FD38" s="81"/>
      <c r="FE38" s="81"/>
      <c r="FF38" s="81"/>
      <c r="FG38" s="81"/>
      <c r="FH38" s="81"/>
      <c r="FI38" s="81"/>
      <c r="FJ38" s="81"/>
      <c r="FK38" s="81"/>
      <c r="FL38" s="81"/>
      <c r="FM38" s="81"/>
      <c r="FN38" s="81"/>
      <c r="FO38" s="81"/>
      <c r="FP38" s="81"/>
      <c r="FQ38" s="81"/>
      <c r="FR38" s="81"/>
      <c r="FS38" s="81"/>
      <c r="FT38" s="81"/>
      <c r="FU38" s="81"/>
      <c r="FV38" s="81"/>
      <c r="FW38" s="81"/>
      <c r="FX38" s="81"/>
      <c r="FY38" s="81"/>
      <c r="FZ38" s="81"/>
      <c r="GA38" s="81"/>
      <c r="GB38" s="81"/>
      <c r="GC38" s="81"/>
      <c r="GD38" s="81"/>
      <c r="GE38" s="81"/>
      <c r="GF38" s="81"/>
      <c r="GG38" s="81"/>
      <c r="GH38" s="81"/>
      <c r="GI38" s="81"/>
      <c r="GJ38" s="81"/>
      <c r="GK38" s="81"/>
      <c r="GL38" s="81"/>
      <c r="GM38" s="81"/>
      <c r="GN38" s="81"/>
      <c r="GO38" s="81"/>
      <c r="GP38" s="81"/>
      <c r="GQ38" s="81"/>
      <c r="GR38" s="81"/>
      <c r="GS38" s="81"/>
      <c r="GT38" s="81"/>
      <c r="GU38" s="81"/>
      <c r="GV38" s="81"/>
      <c r="GW38" s="81"/>
      <c r="GX38" s="81"/>
      <c r="GY38" s="81"/>
      <c r="GZ38" s="81"/>
      <c r="HA38" s="81"/>
      <c r="HB38" s="81"/>
      <c r="HC38" s="81"/>
      <c r="HD38" s="81"/>
      <c r="HE38" s="81"/>
      <c r="HF38" s="81"/>
      <c r="HG38" s="81"/>
      <c r="HH38" s="81"/>
      <c r="HI38" s="81"/>
      <c r="HJ38" s="81"/>
      <c r="HK38" s="81"/>
      <c r="HL38" s="81"/>
      <c r="HM38" s="81"/>
      <c r="HN38" s="81"/>
      <c r="HO38" s="81"/>
      <c r="HP38" s="81"/>
      <c r="HQ38" s="81"/>
      <c r="HR38" s="81"/>
      <c r="HS38" s="81"/>
      <c r="HT38" s="81"/>
      <c r="HU38" s="81"/>
      <c r="HV38" s="81"/>
      <c r="HW38" s="81"/>
      <c r="HX38" s="81"/>
      <c r="HY38" s="81"/>
      <c r="HZ38" s="81"/>
      <c r="IA38" s="81"/>
      <c r="IB38" s="81"/>
      <c r="IC38" s="81"/>
      <c r="ID38" s="81"/>
      <c r="IE38" s="81"/>
      <c r="IF38" s="81"/>
      <c r="IG38" s="81"/>
      <c r="IH38" s="81"/>
      <c r="II38" s="81"/>
      <c r="IJ38" s="81"/>
      <c r="IK38" s="81"/>
      <c r="IL38" s="81"/>
      <c r="IM38" s="81"/>
      <c r="IN38" s="81"/>
      <c r="IO38" s="81"/>
      <c r="IP38" s="81"/>
      <c r="IQ38" s="81"/>
      <c r="IR38" s="81"/>
      <c r="IS38" s="81"/>
      <c r="IT38" s="81"/>
      <c r="IU38" s="81"/>
      <c r="IV38" s="81"/>
      <c r="IW38" s="81"/>
      <c r="IX38" s="81"/>
      <c r="IY38" s="81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  <c r="JX38" s="81"/>
      <c r="JY38" s="81"/>
      <c r="JZ38" s="81"/>
      <c r="KA38" s="81"/>
      <c r="KB38" s="81"/>
      <c r="KC38" s="81"/>
      <c r="KD38" s="81"/>
      <c r="KE38" s="81"/>
      <c r="KF38" s="81"/>
      <c r="KG38" s="81"/>
      <c r="KH38" s="81"/>
      <c r="KI38" s="81"/>
      <c r="KJ38" s="81"/>
      <c r="KK38" s="81"/>
      <c r="KL38" s="81"/>
      <c r="KM38" s="81"/>
      <c r="KN38" s="81"/>
      <c r="KO38" s="81"/>
      <c r="KP38" s="81"/>
      <c r="KQ38" s="81"/>
      <c r="KR38" s="81"/>
      <c r="KS38" s="81"/>
      <c r="KT38" s="81"/>
      <c r="KU38" s="81"/>
      <c r="KV38" s="81"/>
      <c r="KW38" s="81"/>
      <c r="KX38" s="81"/>
      <c r="KY38" s="81"/>
      <c r="KZ38" s="81"/>
      <c r="LA38" s="81"/>
      <c r="LB38" s="81"/>
      <c r="LC38" s="81"/>
      <c r="LD38" s="81"/>
      <c r="LE38" s="81"/>
      <c r="LF38" s="81"/>
      <c r="LG38" s="81"/>
      <c r="LH38" s="81"/>
      <c r="LI38" s="81"/>
      <c r="LJ38" s="81"/>
      <c r="LK38" s="81"/>
      <c r="LL38" s="81"/>
      <c r="LM38" s="81"/>
      <c r="LN38" s="81"/>
    </row>
    <row r="39" spans="1:326" x14ac:dyDescent="0.4">
      <c r="A39" s="82">
        <v>69</v>
      </c>
      <c r="B39" s="382"/>
      <c r="C39" s="383"/>
      <c r="D39" s="84" t="s">
        <v>278</v>
      </c>
      <c r="E39" s="79"/>
      <c r="F39" s="77">
        <f t="shared" si="6"/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81"/>
      <c r="EL39" s="81"/>
      <c r="EM39" s="81"/>
      <c r="EN39" s="81"/>
      <c r="EO39" s="81"/>
      <c r="EP39" s="81"/>
      <c r="EQ39" s="81"/>
      <c r="ER39" s="81"/>
      <c r="ES39" s="81"/>
      <c r="ET39" s="81"/>
      <c r="EU39" s="81"/>
      <c r="EV39" s="81"/>
      <c r="EW39" s="81"/>
      <c r="EX39" s="81"/>
      <c r="EY39" s="81"/>
      <c r="EZ39" s="81"/>
      <c r="FA39" s="81"/>
      <c r="FB39" s="81"/>
      <c r="FC39" s="81"/>
      <c r="FD39" s="81"/>
      <c r="FE39" s="81"/>
      <c r="FF39" s="81"/>
      <c r="FG39" s="81"/>
      <c r="FH39" s="81"/>
      <c r="FI39" s="81"/>
      <c r="FJ39" s="81"/>
      <c r="FK39" s="81"/>
      <c r="FL39" s="81"/>
      <c r="FM39" s="81"/>
      <c r="FN39" s="81"/>
      <c r="FO39" s="81"/>
      <c r="FP39" s="81"/>
      <c r="FQ39" s="81"/>
      <c r="FR39" s="81"/>
      <c r="FS39" s="81"/>
      <c r="FT39" s="81"/>
      <c r="FU39" s="81"/>
      <c r="FV39" s="81"/>
      <c r="FW39" s="81"/>
      <c r="FX39" s="81"/>
      <c r="FY39" s="81"/>
      <c r="FZ39" s="81"/>
      <c r="GA39" s="81"/>
      <c r="GB39" s="81"/>
      <c r="GC39" s="81"/>
      <c r="GD39" s="81"/>
      <c r="GE39" s="81"/>
      <c r="GF39" s="81"/>
      <c r="GG39" s="81"/>
      <c r="GH39" s="81"/>
      <c r="GI39" s="81"/>
      <c r="GJ39" s="81"/>
      <c r="GK39" s="81"/>
      <c r="GL39" s="81"/>
      <c r="GM39" s="81"/>
      <c r="GN39" s="81"/>
      <c r="GO39" s="81"/>
      <c r="GP39" s="81"/>
      <c r="GQ39" s="81"/>
      <c r="GR39" s="81"/>
      <c r="GS39" s="81"/>
      <c r="GT39" s="81"/>
      <c r="GU39" s="81"/>
      <c r="GV39" s="81"/>
      <c r="GW39" s="81"/>
      <c r="GX39" s="81"/>
      <c r="GY39" s="81"/>
      <c r="GZ39" s="81"/>
      <c r="HA39" s="81"/>
      <c r="HB39" s="81"/>
      <c r="HC39" s="81"/>
      <c r="HD39" s="81"/>
      <c r="HE39" s="81"/>
      <c r="HF39" s="81"/>
      <c r="HG39" s="81"/>
      <c r="HH39" s="81"/>
      <c r="HI39" s="81"/>
      <c r="HJ39" s="81"/>
      <c r="HK39" s="81"/>
      <c r="HL39" s="81"/>
      <c r="HM39" s="81"/>
      <c r="HN39" s="81"/>
      <c r="HO39" s="81"/>
      <c r="HP39" s="81"/>
      <c r="HQ39" s="81"/>
      <c r="HR39" s="81"/>
      <c r="HS39" s="81"/>
      <c r="HT39" s="81"/>
      <c r="HU39" s="81"/>
      <c r="HV39" s="81"/>
      <c r="HW39" s="81"/>
      <c r="HX39" s="81"/>
      <c r="HY39" s="81"/>
      <c r="HZ39" s="81"/>
      <c r="IA39" s="81"/>
      <c r="IB39" s="81"/>
      <c r="IC39" s="81"/>
      <c r="ID39" s="81"/>
      <c r="IE39" s="81"/>
      <c r="IF39" s="81"/>
      <c r="IG39" s="81"/>
      <c r="IH39" s="81"/>
      <c r="II39" s="81"/>
      <c r="IJ39" s="81"/>
      <c r="IK39" s="81"/>
      <c r="IL39" s="81"/>
      <c r="IM39" s="81"/>
      <c r="IN39" s="81"/>
      <c r="IO39" s="81"/>
      <c r="IP39" s="81"/>
      <c r="IQ39" s="81"/>
      <c r="IR39" s="81"/>
      <c r="IS39" s="81"/>
      <c r="IT39" s="81"/>
      <c r="IU39" s="81"/>
      <c r="IV39" s="81"/>
      <c r="IW39" s="81"/>
      <c r="IX39" s="81"/>
      <c r="IY39" s="81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  <c r="JX39" s="81"/>
      <c r="JY39" s="81"/>
      <c r="JZ39" s="81"/>
      <c r="KA39" s="81"/>
      <c r="KB39" s="81"/>
      <c r="KC39" s="81"/>
      <c r="KD39" s="81"/>
      <c r="KE39" s="81"/>
      <c r="KF39" s="81"/>
      <c r="KG39" s="81"/>
      <c r="KH39" s="81"/>
      <c r="KI39" s="81"/>
      <c r="KJ39" s="81"/>
      <c r="KK39" s="81"/>
      <c r="KL39" s="81"/>
      <c r="KM39" s="81"/>
      <c r="KN39" s="81"/>
      <c r="KO39" s="81"/>
      <c r="KP39" s="81"/>
      <c r="KQ39" s="81"/>
      <c r="KR39" s="81"/>
      <c r="KS39" s="81"/>
      <c r="KT39" s="81"/>
      <c r="KU39" s="81"/>
      <c r="KV39" s="81"/>
      <c r="KW39" s="81"/>
      <c r="KX39" s="81"/>
      <c r="KY39" s="81"/>
      <c r="KZ39" s="81"/>
      <c r="LA39" s="81"/>
      <c r="LB39" s="81"/>
      <c r="LC39" s="81"/>
      <c r="LD39" s="81"/>
      <c r="LE39" s="81"/>
      <c r="LF39" s="81"/>
      <c r="LG39" s="81"/>
      <c r="LH39" s="81"/>
      <c r="LI39" s="81"/>
      <c r="LJ39" s="81"/>
      <c r="LK39" s="81"/>
      <c r="LL39" s="81"/>
      <c r="LM39" s="81"/>
      <c r="LN39" s="81"/>
    </row>
    <row r="40" spans="1:326" x14ac:dyDescent="0.4">
      <c r="A40" s="82">
        <v>70</v>
      </c>
      <c r="B40" s="382"/>
      <c r="C40" s="383"/>
      <c r="D40" s="84" t="s">
        <v>277</v>
      </c>
      <c r="E40" s="79"/>
      <c r="F40" s="77">
        <f t="shared" si="6"/>
        <v>0</v>
      </c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  <c r="FU40" s="81"/>
      <c r="FV40" s="81"/>
      <c r="FW40" s="81"/>
      <c r="FX40" s="81"/>
      <c r="FY40" s="81"/>
      <c r="FZ40" s="81"/>
      <c r="GA40" s="81"/>
      <c r="GB40" s="81"/>
      <c r="GC40" s="81"/>
      <c r="GD40" s="81"/>
      <c r="GE40" s="81"/>
      <c r="GF40" s="81"/>
      <c r="GG40" s="81"/>
      <c r="GH40" s="81"/>
      <c r="GI40" s="81"/>
      <c r="GJ40" s="81"/>
      <c r="GK40" s="81"/>
      <c r="GL40" s="81"/>
      <c r="GM40" s="81"/>
      <c r="GN40" s="81"/>
      <c r="GO40" s="81"/>
      <c r="GP40" s="81"/>
      <c r="GQ40" s="81"/>
      <c r="GR40" s="81"/>
      <c r="GS40" s="81"/>
      <c r="GT40" s="81"/>
      <c r="GU40" s="81"/>
      <c r="GV40" s="81"/>
      <c r="GW40" s="81"/>
      <c r="GX40" s="81"/>
      <c r="GY40" s="81"/>
      <c r="GZ40" s="81"/>
      <c r="HA40" s="81"/>
      <c r="HB40" s="81"/>
      <c r="HC40" s="81"/>
      <c r="HD40" s="81"/>
      <c r="HE40" s="81"/>
      <c r="HF40" s="81"/>
      <c r="HG40" s="81"/>
      <c r="HH40" s="81"/>
      <c r="HI40" s="81"/>
      <c r="HJ40" s="81"/>
      <c r="HK40" s="81"/>
      <c r="HL40" s="81"/>
      <c r="HM40" s="81"/>
      <c r="HN40" s="81"/>
      <c r="HO40" s="81"/>
      <c r="HP40" s="81"/>
      <c r="HQ40" s="81"/>
      <c r="HR40" s="81"/>
      <c r="HS40" s="81"/>
      <c r="HT40" s="81"/>
      <c r="HU40" s="81"/>
      <c r="HV40" s="81"/>
      <c r="HW40" s="81"/>
      <c r="HX40" s="81"/>
      <c r="HY40" s="81"/>
      <c r="HZ40" s="81"/>
      <c r="IA40" s="81"/>
      <c r="IB40" s="81"/>
      <c r="IC40" s="81"/>
      <c r="ID40" s="81"/>
      <c r="IE40" s="81"/>
      <c r="IF40" s="81"/>
      <c r="IG40" s="81"/>
      <c r="IH40" s="81"/>
      <c r="II40" s="81"/>
      <c r="IJ40" s="81"/>
      <c r="IK40" s="81"/>
      <c r="IL40" s="81"/>
      <c r="IM40" s="81"/>
      <c r="IN40" s="81"/>
      <c r="IO40" s="81"/>
      <c r="IP40" s="81"/>
      <c r="IQ40" s="81"/>
      <c r="IR40" s="81"/>
      <c r="IS40" s="81"/>
      <c r="IT40" s="81"/>
      <c r="IU40" s="81"/>
      <c r="IV40" s="81"/>
      <c r="IW40" s="81"/>
      <c r="IX40" s="81"/>
      <c r="IY40" s="81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  <c r="JX40" s="81"/>
      <c r="JY40" s="81"/>
      <c r="JZ40" s="81"/>
      <c r="KA40" s="81"/>
      <c r="KB40" s="81"/>
      <c r="KC40" s="81"/>
      <c r="KD40" s="81"/>
      <c r="KE40" s="81"/>
      <c r="KF40" s="81"/>
      <c r="KG40" s="81"/>
      <c r="KH40" s="81"/>
      <c r="KI40" s="81"/>
      <c r="KJ40" s="81"/>
      <c r="KK40" s="81"/>
      <c r="KL40" s="81"/>
      <c r="KM40" s="81"/>
      <c r="KN40" s="81"/>
      <c r="KO40" s="81"/>
      <c r="KP40" s="81"/>
      <c r="KQ40" s="81"/>
      <c r="KR40" s="81"/>
      <c r="KS40" s="81"/>
      <c r="KT40" s="81"/>
      <c r="KU40" s="81"/>
      <c r="KV40" s="81"/>
      <c r="KW40" s="81"/>
      <c r="KX40" s="81"/>
      <c r="KY40" s="81"/>
      <c r="KZ40" s="81"/>
      <c r="LA40" s="81"/>
      <c r="LB40" s="81"/>
      <c r="LC40" s="81"/>
      <c r="LD40" s="81"/>
      <c r="LE40" s="81"/>
      <c r="LF40" s="81"/>
      <c r="LG40" s="81"/>
      <c r="LH40" s="81"/>
      <c r="LI40" s="81"/>
      <c r="LJ40" s="81"/>
      <c r="LK40" s="81"/>
      <c r="LL40" s="81"/>
      <c r="LM40" s="81"/>
      <c r="LN40" s="81"/>
    </row>
    <row r="41" spans="1:326" x14ac:dyDescent="0.4">
      <c r="A41" s="82">
        <v>71</v>
      </c>
      <c r="B41" s="382"/>
      <c r="C41" s="383"/>
      <c r="D41" s="84" t="s">
        <v>270</v>
      </c>
      <c r="E41" s="79"/>
      <c r="F41" s="77">
        <f t="shared" si="6"/>
        <v>0</v>
      </c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81"/>
      <c r="EL41" s="81"/>
      <c r="EM41" s="81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  <c r="EZ41" s="81"/>
      <c r="FA41" s="81"/>
      <c r="FB41" s="81"/>
      <c r="FC41" s="81"/>
      <c r="FD41" s="81"/>
      <c r="FE41" s="81"/>
      <c r="FF41" s="81"/>
      <c r="FG41" s="81"/>
      <c r="FH41" s="81"/>
      <c r="FI41" s="81"/>
      <c r="FJ41" s="81"/>
      <c r="FK41" s="81"/>
      <c r="FL41" s="81"/>
      <c r="FM41" s="81"/>
      <c r="FN41" s="81"/>
      <c r="FO41" s="81"/>
      <c r="FP41" s="81"/>
      <c r="FQ41" s="81"/>
      <c r="FR41" s="81"/>
      <c r="FS41" s="81"/>
      <c r="FT41" s="81"/>
      <c r="FU41" s="81"/>
      <c r="FV41" s="81"/>
      <c r="FW41" s="81"/>
      <c r="FX41" s="81"/>
      <c r="FY41" s="81"/>
      <c r="FZ41" s="81"/>
      <c r="GA41" s="81"/>
      <c r="GB41" s="81"/>
      <c r="GC41" s="81"/>
      <c r="GD41" s="81"/>
      <c r="GE41" s="81"/>
      <c r="GF41" s="81"/>
      <c r="GG41" s="81"/>
      <c r="GH41" s="81"/>
      <c r="GI41" s="81"/>
      <c r="GJ41" s="81"/>
      <c r="GK41" s="81"/>
      <c r="GL41" s="81"/>
      <c r="GM41" s="81"/>
      <c r="GN41" s="81"/>
      <c r="GO41" s="81"/>
      <c r="GP41" s="81"/>
      <c r="GQ41" s="81"/>
      <c r="GR41" s="81"/>
      <c r="GS41" s="81"/>
      <c r="GT41" s="81"/>
      <c r="GU41" s="81"/>
      <c r="GV41" s="81"/>
      <c r="GW41" s="81"/>
      <c r="GX41" s="81"/>
      <c r="GY41" s="81"/>
      <c r="GZ41" s="81"/>
      <c r="HA41" s="81"/>
      <c r="HB41" s="81"/>
      <c r="HC41" s="81"/>
      <c r="HD41" s="81"/>
      <c r="HE41" s="81"/>
      <c r="HF41" s="81"/>
      <c r="HG41" s="81"/>
      <c r="HH41" s="81"/>
      <c r="HI41" s="81"/>
      <c r="HJ41" s="81"/>
      <c r="HK41" s="81"/>
      <c r="HL41" s="81"/>
      <c r="HM41" s="81"/>
      <c r="HN41" s="81"/>
      <c r="HO41" s="81"/>
      <c r="HP41" s="81"/>
      <c r="HQ41" s="81"/>
      <c r="HR41" s="81"/>
      <c r="HS41" s="81"/>
      <c r="HT41" s="81"/>
      <c r="HU41" s="81"/>
      <c r="HV41" s="81"/>
      <c r="HW41" s="81"/>
      <c r="HX41" s="81"/>
      <c r="HY41" s="81"/>
      <c r="HZ41" s="81"/>
      <c r="IA41" s="81"/>
      <c r="IB41" s="81"/>
      <c r="IC41" s="81"/>
      <c r="ID41" s="81"/>
      <c r="IE41" s="81"/>
      <c r="IF41" s="81"/>
      <c r="IG41" s="81"/>
      <c r="IH41" s="81"/>
      <c r="II41" s="81"/>
      <c r="IJ41" s="81"/>
      <c r="IK41" s="81"/>
      <c r="IL41" s="81"/>
      <c r="IM41" s="81"/>
      <c r="IN41" s="81"/>
      <c r="IO41" s="81"/>
      <c r="IP41" s="81"/>
      <c r="IQ41" s="81"/>
      <c r="IR41" s="81"/>
      <c r="IS41" s="81"/>
      <c r="IT41" s="81"/>
      <c r="IU41" s="81"/>
      <c r="IV41" s="81"/>
      <c r="IW41" s="81"/>
      <c r="IX41" s="81"/>
      <c r="IY41" s="81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  <c r="JX41" s="81"/>
      <c r="JY41" s="81"/>
      <c r="JZ41" s="81"/>
      <c r="KA41" s="81"/>
      <c r="KB41" s="81"/>
      <c r="KC41" s="81"/>
      <c r="KD41" s="81"/>
      <c r="KE41" s="81"/>
      <c r="KF41" s="81"/>
      <c r="KG41" s="81"/>
      <c r="KH41" s="81"/>
      <c r="KI41" s="81"/>
      <c r="KJ41" s="81"/>
      <c r="KK41" s="81"/>
      <c r="KL41" s="81"/>
      <c r="KM41" s="81"/>
      <c r="KN41" s="81"/>
      <c r="KO41" s="81"/>
      <c r="KP41" s="81"/>
      <c r="KQ41" s="81"/>
      <c r="KR41" s="81"/>
      <c r="KS41" s="81"/>
      <c r="KT41" s="81"/>
      <c r="KU41" s="81"/>
      <c r="KV41" s="81"/>
      <c r="KW41" s="81"/>
      <c r="KX41" s="81"/>
      <c r="KY41" s="81"/>
      <c r="KZ41" s="81"/>
      <c r="LA41" s="81"/>
      <c r="LB41" s="81"/>
      <c r="LC41" s="81"/>
      <c r="LD41" s="81"/>
      <c r="LE41" s="81"/>
      <c r="LF41" s="81"/>
      <c r="LG41" s="81"/>
      <c r="LH41" s="81"/>
      <c r="LI41" s="81"/>
      <c r="LJ41" s="81"/>
      <c r="LK41" s="81"/>
      <c r="LL41" s="81"/>
      <c r="LM41" s="81"/>
      <c r="LN41" s="81"/>
    </row>
    <row r="42" spans="1:326" x14ac:dyDescent="0.4">
      <c r="A42" s="82">
        <v>72</v>
      </c>
      <c r="B42" s="382"/>
      <c r="C42" s="383"/>
      <c r="D42" s="84" t="s">
        <v>291</v>
      </c>
      <c r="E42" s="79"/>
      <c r="F42" s="77">
        <f t="shared" si="6"/>
        <v>0</v>
      </c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  <c r="FP42" s="81"/>
      <c r="FQ42" s="81"/>
      <c r="FR42" s="81"/>
      <c r="FS42" s="81"/>
      <c r="FT42" s="81"/>
      <c r="FU42" s="81"/>
      <c r="FV42" s="81"/>
      <c r="FW42" s="81"/>
      <c r="FX42" s="81"/>
      <c r="FY42" s="81"/>
      <c r="FZ42" s="81"/>
      <c r="GA42" s="81"/>
      <c r="GB42" s="81"/>
      <c r="GC42" s="81"/>
      <c r="GD42" s="81"/>
      <c r="GE42" s="81"/>
      <c r="GF42" s="81"/>
      <c r="GG42" s="81"/>
      <c r="GH42" s="81"/>
      <c r="GI42" s="81"/>
      <c r="GJ42" s="81"/>
      <c r="GK42" s="81"/>
      <c r="GL42" s="81"/>
      <c r="GM42" s="81"/>
      <c r="GN42" s="81"/>
      <c r="GO42" s="81"/>
      <c r="GP42" s="81"/>
      <c r="GQ42" s="81"/>
      <c r="GR42" s="81"/>
      <c r="GS42" s="81"/>
      <c r="GT42" s="81"/>
      <c r="GU42" s="81"/>
      <c r="GV42" s="81"/>
      <c r="GW42" s="81"/>
      <c r="GX42" s="81"/>
      <c r="GY42" s="81"/>
      <c r="GZ42" s="81"/>
      <c r="HA42" s="81"/>
      <c r="HB42" s="81"/>
      <c r="HC42" s="81"/>
      <c r="HD42" s="81"/>
      <c r="HE42" s="81"/>
      <c r="HF42" s="81"/>
      <c r="HG42" s="81"/>
      <c r="HH42" s="81"/>
      <c r="HI42" s="81"/>
      <c r="HJ42" s="81"/>
      <c r="HK42" s="81"/>
      <c r="HL42" s="81"/>
      <c r="HM42" s="81"/>
      <c r="HN42" s="81"/>
      <c r="HO42" s="81"/>
      <c r="HP42" s="81"/>
      <c r="HQ42" s="81"/>
      <c r="HR42" s="81"/>
      <c r="HS42" s="81"/>
      <c r="HT42" s="81"/>
      <c r="HU42" s="81"/>
      <c r="HV42" s="81"/>
      <c r="HW42" s="81"/>
      <c r="HX42" s="81"/>
      <c r="HY42" s="81"/>
      <c r="HZ42" s="81"/>
      <c r="IA42" s="81"/>
      <c r="IB42" s="81"/>
      <c r="IC42" s="81"/>
      <c r="ID42" s="81"/>
      <c r="IE42" s="81"/>
      <c r="IF42" s="81"/>
      <c r="IG42" s="81"/>
      <c r="IH42" s="81"/>
      <c r="II42" s="81"/>
      <c r="IJ42" s="81"/>
      <c r="IK42" s="81"/>
      <c r="IL42" s="81"/>
      <c r="IM42" s="81"/>
      <c r="IN42" s="81"/>
      <c r="IO42" s="81"/>
      <c r="IP42" s="81"/>
      <c r="IQ42" s="81"/>
      <c r="IR42" s="81"/>
      <c r="IS42" s="81"/>
      <c r="IT42" s="81"/>
      <c r="IU42" s="81"/>
      <c r="IV42" s="81"/>
      <c r="IW42" s="81"/>
      <c r="IX42" s="81"/>
      <c r="IY42" s="81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  <c r="JX42" s="81"/>
      <c r="JY42" s="81"/>
      <c r="JZ42" s="81"/>
      <c r="KA42" s="81"/>
      <c r="KB42" s="81"/>
      <c r="KC42" s="81"/>
      <c r="KD42" s="81"/>
      <c r="KE42" s="81"/>
      <c r="KF42" s="81"/>
      <c r="KG42" s="81"/>
      <c r="KH42" s="81"/>
      <c r="KI42" s="81"/>
      <c r="KJ42" s="81"/>
      <c r="KK42" s="81"/>
      <c r="KL42" s="81"/>
      <c r="KM42" s="81"/>
      <c r="KN42" s="81"/>
      <c r="KO42" s="81"/>
      <c r="KP42" s="81"/>
      <c r="KQ42" s="81"/>
      <c r="KR42" s="81"/>
      <c r="KS42" s="81"/>
      <c r="KT42" s="81"/>
      <c r="KU42" s="81"/>
      <c r="KV42" s="81"/>
      <c r="KW42" s="81"/>
      <c r="KX42" s="81"/>
      <c r="KY42" s="81"/>
      <c r="KZ42" s="81"/>
      <c r="LA42" s="81"/>
      <c r="LB42" s="81"/>
      <c r="LC42" s="81"/>
      <c r="LD42" s="81"/>
      <c r="LE42" s="81"/>
      <c r="LF42" s="81"/>
      <c r="LG42" s="81"/>
      <c r="LH42" s="81"/>
      <c r="LI42" s="81"/>
      <c r="LJ42" s="81"/>
      <c r="LK42" s="81"/>
      <c r="LL42" s="81"/>
      <c r="LM42" s="81"/>
      <c r="LN42" s="81"/>
    </row>
    <row r="43" spans="1:326" x14ac:dyDescent="0.4">
      <c r="A43" s="82">
        <v>102</v>
      </c>
      <c r="B43" s="382" t="s">
        <v>86</v>
      </c>
      <c r="C43" s="383"/>
      <c r="D43" s="84" t="s">
        <v>277</v>
      </c>
      <c r="E43" s="85"/>
      <c r="F43" s="77">
        <f t="shared" si="6"/>
        <v>0</v>
      </c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6"/>
      <c r="DA43" s="86"/>
      <c r="DB43" s="86"/>
      <c r="DC43" s="86"/>
      <c r="DD43" s="86"/>
      <c r="DE43" s="86"/>
      <c r="DF43" s="86"/>
      <c r="DG43" s="86"/>
      <c r="DH43" s="86"/>
      <c r="DI43" s="86"/>
      <c r="DJ43" s="86"/>
      <c r="DK43" s="86"/>
      <c r="DL43" s="86"/>
      <c r="DM43" s="86"/>
      <c r="DN43" s="86"/>
      <c r="DO43" s="86"/>
      <c r="DP43" s="86"/>
      <c r="DQ43" s="86"/>
      <c r="DR43" s="86"/>
      <c r="DS43" s="86"/>
      <c r="DT43" s="86"/>
      <c r="DU43" s="86"/>
      <c r="DV43" s="86"/>
      <c r="DW43" s="86"/>
      <c r="DX43" s="86"/>
      <c r="DY43" s="86"/>
      <c r="DZ43" s="86"/>
      <c r="EA43" s="86"/>
      <c r="EB43" s="86"/>
      <c r="EC43" s="86"/>
      <c r="ED43" s="86"/>
      <c r="EE43" s="86"/>
      <c r="EF43" s="86"/>
      <c r="EG43" s="86"/>
      <c r="EH43" s="86"/>
      <c r="EI43" s="86"/>
      <c r="EJ43" s="86"/>
      <c r="EK43" s="86"/>
      <c r="EL43" s="86"/>
      <c r="EM43" s="86"/>
      <c r="EN43" s="86"/>
      <c r="EO43" s="8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  <c r="FJ43" s="86"/>
      <c r="FK43" s="86"/>
      <c r="FL43" s="86"/>
      <c r="FM43" s="86"/>
      <c r="FN43" s="86"/>
      <c r="FO43" s="86"/>
      <c r="FP43" s="86"/>
      <c r="FQ43" s="86"/>
      <c r="FR43" s="86"/>
      <c r="FS43" s="86"/>
      <c r="FT43" s="86"/>
      <c r="FU43" s="86"/>
      <c r="FV43" s="86"/>
      <c r="FW43" s="86"/>
      <c r="FX43" s="86"/>
      <c r="FY43" s="86"/>
      <c r="FZ43" s="86"/>
      <c r="GA43" s="86"/>
      <c r="GB43" s="86"/>
      <c r="GC43" s="86"/>
      <c r="GD43" s="86"/>
      <c r="GE43" s="86"/>
      <c r="GF43" s="86"/>
      <c r="GG43" s="86"/>
      <c r="GH43" s="86"/>
      <c r="GI43" s="86"/>
      <c r="GJ43" s="86"/>
      <c r="GK43" s="86"/>
      <c r="GL43" s="86"/>
      <c r="GM43" s="86"/>
      <c r="GN43" s="86"/>
      <c r="GO43" s="86"/>
      <c r="GP43" s="86"/>
      <c r="GQ43" s="86"/>
      <c r="GR43" s="86"/>
      <c r="GS43" s="86"/>
      <c r="GT43" s="86"/>
      <c r="GU43" s="86"/>
      <c r="GV43" s="86"/>
      <c r="GW43" s="86"/>
      <c r="GX43" s="86"/>
      <c r="GY43" s="86"/>
      <c r="GZ43" s="86"/>
      <c r="HA43" s="86"/>
      <c r="HB43" s="86"/>
      <c r="HC43" s="86"/>
      <c r="HD43" s="86"/>
      <c r="HE43" s="86"/>
      <c r="HF43" s="86"/>
      <c r="HG43" s="86"/>
      <c r="HH43" s="86"/>
      <c r="HI43" s="86"/>
      <c r="HJ43" s="86"/>
      <c r="HK43" s="86"/>
      <c r="HL43" s="86"/>
      <c r="HM43" s="86"/>
      <c r="HN43" s="86"/>
      <c r="HO43" s="86"/>
      <c r="HP43" s="86"/>
      <c r="HQ43" s="86"/>
      <c r="HR43" s="86"/>
      <c r="HS43" s="86"/>
      <c r="HT43" s="86"/>
      <c r="HU43" s="86"/>
      <c r="HV43" s="86"/>
      <c r="HW43" s="86"/>
      <c r="HX43" s="86"/>
      <c r="HY43" s="86"/>
      <c r="HZ43" s="86"/>
      <c r="IA43" s="86"/>
      <c r="IB43" s="86"/>
      <c r="IC43" s="86"/>
      <c r="ID43" s="86"/>
      <c r="IE43" s="86"/>
      <c r="IF43" s="86"/>
      <c r="IG43" s="86"/>
      <c r="IH43" s="86"/>
      <c r="II43" s="86"/>
      <c r="IJ43" s="86"/>
      <c r="IK43" s="86"/>
      <c r="IL43" s="86"/>
      <c r="IM43" s="86"/>
      <c r="IN43" s="86"/>
      <c r="IO43" s="86"/>
      <c r="IP43" s="86"/>
      <c r="IQ43" s="86"/>
      <c r="IR43" s="86"/>
      <c r="IS43" s="86"/>
      <c r="IT43" s="86"/>
      <c r="IU43" s="86"/>
      <c r="IV43" s="86"/>
      <c r="IW43" s="86"/>
      <c r="IX43" s="86"/>
      <c r="IY43" s="86"/>
      <c r="IZ43" s="86"/>
      <c r="JA43" s="86"/>
      <c r="JB43" s="86"/>
      <c r="JC43" s="86"/>
      <c r="JD43" s="86"/>
      <c r="JE43" s="86"/>
      <c r="JF43" s="86"/>
      <c r="JG43" s="86"/>
      <c r="JH43" s="86"/>
      <c r="JI43" s="86"/>
      <c r="JJ43" s="86"/>
      <c r="JK43" s="86"/>
      <c r="JL43" s="86"/>
      <c r="JM43" s="86"/>
      <c r="JN43" s="86"/>
      <c r="JO43" s="86"/>
      <c r="JP43" s="86"/>
      <c r="JQ43" s="86"/>
      <c r="JR43" s="86"/>
      <c r="JS43" s="86"/>
      <c r="JT43" s="86"/>
      <c r="JU43" s="86"/>
      <c r="JV43" s="86"/>
      <c r="JW43" s="86"/>
      <c r="JX43" s="86"/>
      <c r="JY43" s="86"/>
      <c r="JZ43" s="86"/>
      <c r="KA43" s="86"/>
      <c r="KB43" s="86"/>
      <c r="KC43" s="86"/>
      <c r="KD43" s="86"/>
      <c r="KE43" s="86"/>
      <c r="KF43" s="86"/>
      <c r="KG43" s="86"/>
      <c r="KH43" s="86"/>
      <c r="KI43" s="86"/>
      <c r="KJ43" s="86"/>
      <c r="KK43" s="86"/>
      <c r="KL43" s="86"/>
      <c r="KM43" s="86"/>
      <c r="KN43" s="86"/>
      <c r="KO43" s="86"/>
      <c r="KP43" s="86"/>
      <c r="KQ43" s="86"/>
      <c r="KR43" s="86"/>
      <c r="KS43" s="86"/>
      <c r="KT43" s="86"/>
      <c r="KU43" s="86"/>
      <c r="KV43" s="86"/>
      <c r="KW43" s="86"/>
      <c r="KX43" s="86"/>
      <c r="KY43" s="86"/>
      <c r="KZ43" s="86"/>
      <c r="LA43" s="86"/>
      <c r="LB43" s="86"/>
      <c r="LC43" s="86"/>
      <c r="LD43" s="86"/>
      <c r="LE43" s="86"/>
      <c r="LF43" s="86"/>
      <c r="LG43" s="86"/>
      <c r="LH43" s="86"/>
      <c r="LI43" s="86"/>
      <c r="LJ43" s="86"/>
      <c r="LK43" s="86"/>
      <c r="LL43" s="86"/>
      <c r="LM43" s="86"/>
      <c r="LN43" s="86"/>
    </row>
    <row r="44" spans="1:326" x14ac:dyDescent="0.4">
      <c r="A44" s="82">
        <v>103</v>
      </c>
      <c r="B44" s="382"/>
      <c r="C44" s="383"/>
      <c r="D44" s="84" t="s">
        <v>278</v>
      </c>
      <c r="E44" s="85"/>
      <c r="F44" s="77">
        <f t="shared" si="6"/>
        <v>0</v>
      </c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86"/>
      <c r="CL44" s="86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6"/>
      <c r="DA44" s="86"/>
      <c r="DB44" s="86"/>
      <c r="DC44" s="86"/>
      <c r="DD44" s="86"/>
      <c r="DE44" s="86"/>
      <c r="DF44" s="86"/>
      <c r="DG44" s="86"/>
      <c r="DH44" s="86"/>
      <c r="DI44" s="86"/>
      <c r="DJ44" s="86"/>
      <c r="DK44" s="86"/>
      <c r="DL44" s="86"/>
      <c r="DM44" s="86"/>
      <c r="DN44" s="86"/>
      <c r="DO44" s="86"/>
      <c r="DP44" s="86"/>
      <c r="DQ44" s="86"/>
      <c r="DR44" s="86"/>
      <c r="DS44" s="86"/>
      <c r="DT44" s="86"/>
      <c r="DU44" s="86"/>
      <c r="DV44" s="86"/>
      <c r="DW44" s="86"/>
      <c r="DX44" s="86"/>
      <c r="DY44" s="86"/>
      <c r="DZ44" s="86"/>
      <c r="EA44" s="86"/>
      <c r="EB44" s="86"/>
      <c r="EC44" s="86"/>
      <c r="ED44" s="86"/>
      <c r="EE44" s="86"/>
      <c r="EF44" s="86"/>
      <c r="EG44" s="86"/>
      <c r="EH44" s="86"/>
      <c r="EI44" s="86"/>
      <c r="EJ44" s="86"/>
      <c r="EK44" s="86"/>
      <c r="EL44" s="86"/>
      <c r="EM44" s="86"/>
      <c r="EN44" s="86"/>
      <c r="EO44" s="8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  <c r="FJ44" s="86"/>
      <c r="FK44" s="86"/>
      <c r="FL44" s="86"/>
      <c r="FM44" s="86"/>
      <c r="FN44" s="86"/>
      <c r="FO44" s="86"/>
      <c r="FP44" s="86"/>
      <c r="FQ44" s="86"/>
      <c r="FR44" s="86"/>
      <c r="FS44" s="86"/>
      <c r="FT44" s="86"/>
      <c r="FU44" s="86"/>
      <c r="FV44" s="86"/>
      <c r="FW44" s="86"/>
      <c r="FX44" s="86"/>
      <c r="FY44" s="86"/>
      <c r="FZ44" s="86"/>
      <c r="GA44" s="86"/>
      <c r="GB44" s="86"/>
      <c r="GC44" s="86"/>
      <c r="GD44" s="86"/>
      <c r="GE44" s="86"/>
      <c r="GF44" s="86"/>
      <c r="GG44" s="86"/>
      <c r="GH44" s="86"/>
      <c r="GI44" s="86"/>
      <c r="GJ44" s="86"/>
      <c r="GK44" s="86"/>
      <c r="GL44" s="86"/>
      <c r="GM44" s="86"/>
      <c r="GN44" s="86"/>
      <c r="GO44" s="86"/>
      <c r="GP44" s="86"/>
      <c r="GQ44" s="86"/>
      <c r="GR44" s="86"/>
      <c r="GS44" s="86"/>
      <c r="GT44" s="86"/>
      <c r="GU44" s="86"/>
      <c r="GV44" s="86"/>
      <c r="GW44" s="86"/>
      <c r="GX44" s="86"/>
      <c r="GY44" s="86"/>
      <c r="GZ44" s="86"/>
      <c r="HA44" s="86"/>
      <c r="HB44" s="86"/>
      <c r="HC44" s="86"/>
      <c r="HD44" s="86"/>
      <c r="HE44" s="86"/>
      <c r="HF44" s="86"/>
      <c r="HG44" s="86"/>
      <c r="HH44" s="86"/>
      <c r="HI44" s="86"/>
      <c r="HJ44" s="86"/>
      <c r="HK44" s="86"/>
      <c r="HL44" s="86"/>
      <c r="HM44" s="86"/>
      <c r="HN44" s="86"/>
      <c r="HO44" s="86"/>
      <c r="HP44" s="86"/>
      <c r="HQ44" s="86"/>
      <c r="HR44" s="86"/>
      <c r="HS44" s="86"/>
      <c r="HT44" s="86"/>
      <c r="HU44" s="86"/>
      <c r="HV44" s="86"/>
      <c r="HW44" s="86"/>
      <c r="HX44" s="86"/>
      <c r="HY44" s="86"/>
      <c r="HZ44" s="86"/>
      <c r="IA44" s="86"/>
      <c r="IB44" s="86"/>
      <c r="IC44" s="86"/>
      <c r="ID44" s="86"/>
      <c r="IE44" s="86"/>
      <c r="IF44" s="86"/>
      <c r="IG44" s="86"/>
      <c r="IH44" s="86"/>
      <c r="II44" s="86"/>
      <c r="IJ44" s="86"/>
      <c r="IK44" s="86"/>
      <c r="IL44" s="86"/>
      <c r="IM44" s="86"/>
      <c r="IN44" s="86"/>
      <c r="IO44" s="86"/>
      <c r="IP44" s="86"/>
      <c r="IQ44" s="86"/>
      <c r="IR44" s="86"/>
      <c r="IS44" s="86"/>
      <c r="IT44" s="86"/>
      <c r="IU44" s="86"/>
      <c r="IV44" s="86"/>
      <c r="IW44" s="86"/>
      <c r="IX44" s="86"/>
      <c r="IY44" s="86"/>
      <c r="IZ44" s="86"/>
      <c r="JA44" s="86"/>
      <c r="JB44" s="86"/>
      <c r="JC44" s="86"/>
      <c r="JD44" s="86"/>
      <c r="JE44" s="86"/>
      <c r="JF44" s="86"/>
      <c r="JG44" s="86"/>
      <c r="JH44" s="86"/>
      <c r="JI44" s="86"/>
      <c r="JJ44" s="86"/>
      <c r="JK44" s="86"/>
      <c r="JL44" s="86"/>
      <c r="JM44" s="86"/>
      <c r="JN44" s="86"/>
      <c r="JO44" s="86"/>
      <c r="JP44" s="86"/>
      <c r="JQ44" s="86"/>
      <c r="JR44" s="86"/>
      <c r="JS44" s="86"/>
      <c r="JT44" s="86"/>
      <c r="JU44" s="86"/>
      <c r="JV44" s="86"/>
      <c r="JW44" s="86"/>
      <c r="JX44" s="86"/>
      <c r="JY44" s="86"/>
      <c r="JZ44" s="86"/>
      <c r="KA44" s="86"/>
      <c r="KB44" s="86"/>
      <c r="KC44" s="86"/>
      <c r="KD44" s="86"/>
      <c r="KE44" s="86"/>
      <c r="KF44" s="86"/>
      <c r="KG44" s="86"/>
      <c r="KH44" s="86"/>
      <c r="KI44" s="86"/>
      <c r="KJ44" s="86"/>
      <c r="KK44" s="86"/>
      <c r="KL44" s="86"/>
      <c r="KM44" s="86"/>
      <c r="KN44" s="86"/>
      <c r="KO44" s="86"/>
      <c r="KP44" s="86"/>
      <c r="KQ44" s="86"/>
      <c r="KR44" s="86"/>
      <c r="KS44" s="86"/>
      <c r="KT44" s="86"/>
      <c r="KU44" s="86"/>
      <c r="KV44" s="86"/>
      <c r="KW44" s="86"/>
      <c r="KX44" s="86"/>
      <c r="KY44" s="86"/>
      <c r="KZ44" s="86"/>
      <c r="LA44" s="86"/>
      <c r="LB44" s="86"/>
      <c r="LC44" s="86"/>
      <c r="LD44" s="86"/>
      <c r="LE44" s="86"/>
      <c r="LF44" s="86"/>
      <c r="LG44" s="86"/>
      <c r="LH44" s="86"/>
      <c r="LI44" s="86"/>
      <c r="LJ44" s="86"/>
      <c r="LK44" s="86"/>
      <c r="LL44" s="86"/>
      <c r="LM44" s="86"/>
      <c r="LN44" s="86"/>
    </row>
    <row r="45" spans="1:326" x14ac:dyDescent="0.4">
      <c r="A45" s="82">
        <v>104</v>
      </c>
      <c r="B45" s="382"/>
      <c r="C45" s="383"/>
      <c r="D45" s="84" t="s">
        <v>287</v>
      </c>
      <c r="E45" s="85"/>
      <c r="F45" s="77">
        <f t="shared" si="6"/>
        <v>0</v>
      </c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  <c r="IO45" s="86"/>
      <c r="IP45" s="86"/>
      <c r="IQ45" s="86"/>
      <c r="IR45" s="86"/>
      <c r="IS45" s="86"/>
      <c r="IT45" s="86"/>
      <c r="IU45" s="86"/>
      <c r="IV45" s="86"/>
      <c r="IW45" s="86"/>
      <c r="IX45" s="86"/>
      <c r="IY45" s="86"/>
      <c r="IZ45" s="86"/>
      <c r="JA45" s="86"/>
      <c r="JB45" s="86"/>
      <c r="JC45" s="86"/>
      <c r="JD45" s="86"/>
      <c r="JE45" s="86"/>
      <c r="JF45" s="86"/>
      <c r="JG45" s="86"/>
      <c r="JH45" s="86"/>
      <c r="JI45" s="86"/>
      <c r="JJ45" s="86"/>
      <c r="JK45" s="86"/>
      <c r="JL45" s="86"/>
      <c r="JM45" s="86"/>
      <c r="JN45" s="86"/>
      <c r="JO45" s="86"/>
      <c r="JP45" s="86"/>
      <c r="JQ45" s="86"/>
      <c r="JR45" s="86"/>
      <c r="JS45" s="86"/>
      <c r="JT45" s="86"/>
      <c r="JU45" s="86"/>
      <c r="JV45" s="86"/>
      <c r="JW45" s="86"/>
      <c r="JX45" s="86"/>
      <c r="JY45" s="86"/>
      <c r="JZ45" s="86"/>
      <c r="KA45" s="86"/>
      <c r="KB45" s="86"/>
      <c r="KC45" s="86"/>
      <c r="KD45" s="86"/>
      <c r="KE45" s="86"/>
      <c r="KF45" s="86"/>
      <c r="KG45" s="86"/>
      <c r="KH45" s="86"/>
      <c r="KI45" s="86"/>
      <c r="KJ45" s="86"/>
      <c r="KK45" s="86"/>
      <c r="KL45" s="86"/>
      <c r="KM45" s="86"/>
      <c r="KN45" s="86"/>
      <c r="KO45" s="86"/>
      <c r="KP45" s="86"/>
      <c r="KQ45" s="86"/>
      <c r="KR45" s="86"/>
      <c r="KS45" s="86"/>
      <c r="KT45" s="86"/>
      <c r="KU45" s="86"/>
      <c r="KV45" s="86"/>
      <c r="KW45" s="86"/>
      <c r="KX45" s="86"/>
      <c r="KY45" s="86"/>
      <c r="KZ45" s="86"/>
      <c r="LA45" s="86"/>
      <c r="LB45" s="86"/>
      <c r="LC45" s="86"/>
      <c r="LD45" s="86"/>
      <c r="LE45" s="86"/>
      <c r="LF45" s="86"/>
      <c r="LG45" s="86"/>
      <c r="LH45" s="86"/>
      <c r="LI45" s="86"/>
      <c r="LJ45" s="86"/>
      <c r="LK45" s="86"/>
      <c r="LL45" s="86"/>
      <c r="LM45" s="86"/>
      <c r="LN45" s="86"/>
    </row>
    <row r="46" spans="1:326" x14ac:dyDescent="0.4">
      <c r="A46" s="82">
        <v>105</v>
      </c>
      <c r="B46" s="382"/>
      <c r="C46" s="383"/>
      <c r="D46" s="84" t="s">
        <v>295</v>
      </c>
      <c r="E46" s="85"/>
      <c r="F46" s="77">
        <f t="shared" si="6"/>
        <v>0</v>
      </c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  <c r="IO46" s="86"/>
      <c r="IP46" s="86"/>
      <c r="IQ46" s="86"/>
      <c r="IR46" s="86"/>
      <c r="IS46" s="86"/>
      <c r="IT46" s="86"/>
      <c r="IU46" s="86"/>
      <c r="IV46" s="86"/>
      <c r="IW46" s="86"/>
      <c r="IX46" s="86"/>
      <c r="IY46" s="86"/>
      <c r="IZ46" s="86"/>
      <c r="JA46" s="86"/>
      <c r="JB46" s="86"/>
      <c r="JC46" s="86"/>
      <c r="JD46" s="86"/>
      <c r="JE46" s="86"/>
      <c r="JF46" s="86"/>
      <c r="JG46" s="86"/>
      <c r="JH46" s="86"/>
      <c r="JI46" s="86"/>
      <c r="JJ46" s="86"/>
      <c r="JK46" s="86"/>
      <c r="JL46" s="86"/>
      <c r="JM46" s="86"/>
      <c r="JN46" s="86"/>
      <c r="JO46" s="86"/>
      <c r="JP46" s="86"/>
      <c r="JQ46" s="86"/>
      <c r="JR46" s="86"/>
      <c r="JS46" s="86"/>
      <c r="JT46" s="86"/>
      <c r="JU46" s="86"/>
      <c r="JV46" s="86"/>
      <c r="JW46" s="86"/>
      <c r="JX46" s="86"/>
      <c r="JY46" s="86"/>
      <c r="JZ46" s="86"/>
      <c r="KA46" s="86"/>
      <c r="KB46" s="86"/>
      <c r="KC46" s="86"/>
      <c r="KD46" s="86"/>
      <c r="KE46" s="86"/>
      <c r="KF46" s="86"/>
      <c r="KG46" s="86"/>
      <c r="KH46" s="86"/>
      <c r="KI46" s="86"/>
      <c r="KJ46" s="86"/>
      <c r="KK46" s="86"/>
      <c r="KL46" s="86"/>
      <c r="KM46" s="86"/>
      <c r="KN46" s="86"/>
      <c r="KO46" s="86"/>
      <c r="KP46" s="86"/>
      <c r="KQ46" s="86"/>
      <c r="KR46" s="86"/>
      <c r="KS46" s="86"/>
      <c r="KT46" s="86"/>
      <c r="KU46" s="86"/>
      <c r="KV46" s="86"/>
      <c r="KW46" s="86"/>
      <c r="KX46" s="86"/>
      <c r="KY46" s="86"/>
      <c r="KZ46" s="86"/>
      <c r="LA46" s="86"/>
      <c r="LB46" s="86"/>
      <c r="LC46" s="86"/>
      <c r="LD46" s="86"/>
      <c r="LE46" s="86"/>
      <c r="LF46" s="86"/>
      <c r="LG46" s="86"/>
      <c r="LH46" s="86"/>
      <c r="LI46" s="86"/>
      <c r="LJ46" s="86"/>
      <c r="LK46" s="86"/>
      <c r="LL46" s="86"/>
      <c r="LM46" s="86"/>
      <c r="LN46" s="86"/>
    </row>
    <row r="47" spans="1:326" x14ac:dyDescent="0.4">
      <c r="A47" s="82">
        <v>106</v>
      </c>
      <c r="B47" s="382"/>
      <c r="C47" s="383"/>
      <c r="D47" s="84" t="s">
        <v>270</v>
      </c>
      <c r="E47" s="85"/>
      <c r="F47" s="77">
        <f t="shared" si="6"/>
        <v>0</v>
      </c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  <c r="IM47" s="86"/>
      <c r="IN47" s="86"/>
      <c r="IO47" s="86"/>
      <c r="IP47" s="86"/>
      <c r="IQ47" s="86"/>
      <c r="IR47" s="86"/>
      <c r="IS47" s="86"/>
      <c r="IT47" s="86"/>
      <c r="IU47" s="86"/>
      <c r="IV47" s="86"/>
      <c r="IW47" s="86"/>
      <c r="IX47" s="86"/>
      <c r="IY47" s="86"/>
      <c r="IZ47" s="86"/>
      <c r="JA47" s="86"/>
      <c r="JB47" s="86"/>
      <c r="JC47" s="86"/>
      <c r="JD47" s="86"/>
      <c r="JE47" s="86"/>
      <c r="JF47" s="86"/>
      <c r="JG47" s="86"/>
      <c r="JH47" s="86"/>
      <c r="JI47" s="86"/>
      <c r="JJ47" s="86"/>
      <c r="JK47" s="86"/>
      <c r="JL47" s="86"/>
      <c r="JM47" s="86"/>
      <c r="JN47" s="86"/>
      <c r="JO47" s="86"/>
      <c r="JP47" s="86"/>
      <c r="JQ47" s="86"/>
      <c r="JR47" s="86"/>
      <c r="JS47" s="86"/>
      <c r="JT47" s="86"/>
      <c r="JU47" s="86"/>
      <c r="JV47" s="86"/>
      <c r="JW47" s="86"/>
      <c r="JX47" s="86"/>
      <c r="JY47" s="86"/>
      <c r="JZ47" s="86"/>
      <c r="KA47" s="86"/>
      <c r="KB47" s="86"/>
      <c r="KC47" s="86"/>
      <c r="KD47" s="86"/>
      <c r="KE47" s="86"/>
      <c r="KF47" s="86"/>
      <c r="KG47" s="86"/>
      <c r="KH47" s="86"/>
      <c r="KI47" s="86"/>
      <c r="KJ47" s="86"/>
      <c r="KK47" s="86"/>
      <c r="KL47" s="86"/>
      <c r="KM47" s="86"/>
      <c r="KN47" s="86"/>
      <c r="KO47" s="86"/>
      <c r="KP47" s="86"/>
      <c r="KQ47" s="86"/>
      <c r="KR47" s="86"/>
      <c r="KS47" s="86"/>
      <c r="KT47" s="86"/>
      <c r="KU47" s="86"/>
      <c r="KV47" s="86"/>
      <c r="KW47" s="86"/>
      <c r="KX47" s="86"/>
      <c r="KY47" s="86"/>
      <c r="KZ47" s="86"/>
      <c r="LA47" s="86"/>
      <c r="LB47" s="86"/>
      <c r="LC47" s="86"/>
      <c r="LD47" s="86"/>
      <c r="LE47" s="86"/>
      <c r="LF47" s="86"/>
      <c r="LG47" s="86"/>
      <c r="LH47" s="86"/>
      <c r="LI47" s="86"/>
      <c r="LJ47" s="86"/>
      <c r="LK47" s="86"/>
      <c r="LL47" s="86"/>
      <c r="LM47" s="86"/>
      <c r="LN47" s="86"/>
    </row>
  </sheetData>
  <mergeCells count="25">
    <mergeCell ref="B43:B47"/>
    <mergeCell ref="C43:C47"/>
    <mergeCell ref="B34:B37"/>
    <mergeCell ref="C34:C37"/>
    <mergeCell ref="B38:B42"/>
    <mergeCell ref="C38:C42"/>
    <mergeCell ref="B23:B27"/>
    <mergeCell ref="C23:C27"/>
    <mergeCell ref="B28:B33"/>
    <mergeCell ref="C28:C33"/>
    <mergeCell ref="B18:B22"/>
    <mergeCell ref="C18:C22"/>
    <mergeCell ref="B16:B17"/>
    <mergeCell ref="C16:C17"/>
    <mergeCell ref="B7:B10"/>
    <mergeCell ref="C7:C10"/>
    <mergeCell ref="B11:B15"/>
    <mergeCell ref="C11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5FAB-6652-4E47-AC7B-ECF041435881}">
  <dimension ref="A1:F22"/>
  <sheetViews>
    <sheetView topLeftCell="A8" zoomScale="80" zoomScaleNormal="80" workbookViewId="0">
      <selection activeCell="I12" sqref="I12"/>
    </sheetView>
  </sheetViews>
  <sheetFormatPr defaultRowHeight="16" x14ac:dyDescent="0.4"/>
  <cols>
    <col min="1" max="1" width="8.81640625" style="123" bestFit="1" customWidth="1"/>
    <col min="2" max="2" width="33.453125" style="123" customWidth="1"/>
    <col min="3" max="3" width="11.08984375" style="123" bestFit="1" customWidth="1"/>
    <col min="4" max="4" width="19.453125" style="123" customWidth="1"/>
    <col min="5" max="5" width="21.81640625" style="123" customWidth="1"/>
    <col min="6" max="6" width="10.81640625" style="123" bestFit="1" customWidth="1"/>
    <col min="7" max="16384" width="8.7265625" style="123"/>
  </cols>
  <sheetData>
    <row r="1" spans="1:6" s="131" customFormat="1" x14ac:dyDescent="0.4">
      <c r="A1" s="132" t="s">
        <v>316</v>
      </c>
      <c r="B1" s="132" t="s">
        <v>389</v>
      </c>
      <c r="C1" s="122" t="s">
        <v>342</v>
      </c>
      <c r="D1" s="132" t="s">
        <v>317</v>
      </c>
      <c r="E1" s="132" t="s">
        <v>318</v>
      </c>
      <c r="F1" s="132" t="s">
        <v>301</v>
      </c>
    </row>
    <row r="2" spans="1:6" x14ac:dyDescent="0.4">
      <c r="A2" s="127"/>
      <c r="B2" s="136"/>
      <c r="C2" s="321"/>
      <c r="D2" s="127"/>
      <c r="E2" s="127"/>
      <c r="F2" s="127"/>
    </row>
    <row r="3" spans="1:6" x14ac:dyDescent="0.4">
      <c r="A3" s="135">
        <v>1</v>
      </c>
      <c r="B3" s="133" t="s">
        <v>343</v>
      </c>
      <c r="C3" s="135" t="s">
        <v>400</v>
      </c>
      <c r="D3" s="134">
        <v>45757</v>
      </c>
      <c r="E3" s="138">
        <v>45759</v>
      </c>
      <c r="F3" s="137" t="s">
        <v>7</v>
      </c>
    </row>
    <row r="4" spans="1:6" x14ac:dyDescent="0.4">
      <c r="A4" s="135">
        <v>2</v>
      </c>
      <c r="B4" s="133" t="s">
        <v>344</v>
      </c>
      <c r="C4" s="135" t="s">
        <v>364</v>
      </c>
      <c r="D4" s="134">
        <v>45757</v>
      </c>
      <c r="E4" s="138">
        <v>45747</v>
      </c>
      <c r="F4" s="137" t="s">
        <v>7</v>
      </c>
    </row>
    <row r="5" spans="1:6" x14ac:dyDescent="0.4">
      <c r="A5" s="124">
        <v>3</v>
      </c>
      <c r="B5" s="319" t="s">
        <v>345</v>
      </c>
      <c r="C5" s="322"/>
      <c r="D5" s="320">
        <v>45780</v>
      </c>
      <c r="E5" s="126">
        <v>45838</v>
      </c>
      <c r="F5" s="127"/>
    </row>
    <row r="6" spans="1:6" x14ac:dyDescent="0.4">
      <c r="A6" s="135">
        <v>4</v>
      </c>
      <c r="B6" s="133" t="s">
        <v>346</v>
      </c>
      <c r="C6" s="135" t="s">
        <v>425</v>
      </c>
      <c r="D6" s="134">
        <v>45768</v>
      </c>
      <c r="E6" s="134">
        <v>45797</v>
      </c>
      <c r="F6" s="137" t="s">
        <v>7</v>
      </c>
    </row>
    <row r="7" spans="1:6" x14ac:dyDescent="0.4">
      <c r="A7" s="135">
        <v>5</v>
      </c>
      <c r="B7" s="133" t="s">
        <v>347</v>
      </c>
      <c r="C7" s="135" t="s">
        <v>425</v>
      </c>
      <c r="D7" s="134">
        <v>45768</v>
      </c>
      <c r="E7" s="134">
        <v>45797</v>
      </c>
      <c r="F7" s="137" t="s">
        <v>7</v>
      </c>
    </row>
    <row r="8" spans="1:6" x14ac:dyDescent="0.4">
      <c r="A8" s="124">
        <v>6</v>
      </c>
      <c r="B8" s="125" t="s">
        <v>348</v>
      </c>
      <c r="C8" s="322"/>
      <c r="D8" s="126">
        <v>45784</v>
      </c>
      <c r="E8" s="126">
        <v>45835</v>
      </c>
      <c r="F8" s="127"/>
    </row>
    <row r="9" spans="1:6" x14ac:dyDescent="0.4">
      <c r="A9" s="124">
        <v>7</v>
      </c>
      <c r="B9" s="125" t="s">
        <v>349</v>
      </c>
      <c r="C9" s="322"/>
      <c r="D9" s="126">
        <v>45784</v>
      </c>
      <c r="E9" s="126">
        <v>45835</v>
      </c>
      <c r="F9" s="127"/>
    </row>
    <row r="10" spans="1:6" s="131" customFormat="1" x14ac:dyDescent="0.4">
      <c r="A10" s="137">
        <v>8</v>
      </c>
      <c r="B10" s="139" t="s">
        <v>350</v>
      </c>
      <c r="C10" s="135" t="s">
        <v>351</v>
      </c>
      <c r="D10" s="138">
        <v>45760</v>
      </c>
      <c r="E10" s="138">
        <v>45747</v>
      </c>
      <c r="F10" s="137" t="s">
        <v>7</v>
      </c>
    </row>
    <row r="11" spans="1:6" ht="32" x14ac:dyDescent="0.4">
      <c r="A11" s="135">
        <v>9</v>
      </c>
      <c r="B11" s="133" t="s">
        <v>352</v>
      </c>
      <c r="C11" s="135" t="s">
        <v>850</v>
      </c>
      <c r="D11" s="134">
        <v>45757</v>
      </c>
      <c r="E11" s="134">
        <v>45838</v>
      </c>
      <c r="F11" s="137" t="s">
        <v>7</v>
      </c>
    </row>
    <row r="12" spans="1:6" x14ac:dyDescent="0.4">
      <c r="A12" s="124">
        <v>10</v>
      </c>
      <c r="B12" s="125" t="s">
        <v>353</v>
      </c>
      <c r="C12" s="321"/>
      <c r="D12" s="126">
        <v>45783</v>
      </c>
      <c r="E12" s="126">
        <v>45845</v>
      </c>
      <c r="F12" s="127"/>
    </row>
    <row r="13" spans="1:6" x14ac:dyDescent="0.4">
      <c r="A13" s="124">
        <v>11</v>
      </c>
      <c r="B13" s="125" t="s">
        <v>354</v>
      </c>
      <c r="C13" s="321"/>
      <c r="D13" s="126">
        <v>45768</v>
      </c>
      <c r="E13" s="126">
        <v>45845</v>
      </c>
      <c r="F13" s="127"/>
    </row>
    <row r="14" spans="1:6" x14ac:dyDescent="0.4">
      <c r="A14" s="124">
        <v>12</v>
      </c>
      <c r="B14" s="125" t="s">
        <v>355</v>
      </c>
      <c r="C14" s="321"/>
      <c r="D14" s="126">
        <v>45768</v>
      </c>
      <c r="E14" s="126">
        <v>45845</v>
      </c>
      <c r="F14" s="127"/>
    </row>
    <row r="15" spans="1:6" x14ac:dyDescent="0.4">
      <c r="A15" s="124">
        <v>13</v>
      </c>
      <c r="B15" s="125" t="s">
        <v>356</v>
      </c>
      <c r="C15" s="321"/>
      <c r="D15" s="126">
        <v>45783</v>
      </c>
      <c r="E15" s="126">
        <v>45845</v>
      </c>
      <c r="F15" s="127"/>
    </row>
    <row r="16" spans="1:6" x14ac:dyDescent="0.4">
      <c r="A16" s="124">
        <v>14</v>
      </c>
      <c r="B16" s="125" t="s">
        <v>357</v>
      </c>
      <c r="C16" s="321"/>
      <c r="D16" s="126">
        <v>45783</v>
      </c>
      <c r="E16" s="126">
        <v>45845</v>
      </c>
      <c r="F16" s="127"/>
    </row>
    <row r="17" spans="1:6" x14ac:dyDescent="0.4">
      <c r="A17" s="124">
        <v>15</v>
      </c>
      <c r="B17" s="125" t="s">
        <v>358</v>
      </c>
      <c r="C17" s="321"/>
      <c r="D17" s="126">
        <v>45783</v>
      </c>
      <c r="E17" s="126">
        <v>45845</v>
      </c>
      <c r="F17" s="127"/>
    </row>
    <row r="18" spans="1:6" x14ac:dyDescent="0.4">
      <c r="A18" s="135">
        <v>16</v>
      </c>
      <c r="B18" s="133" t="s">
        <v>359</v>
      </c>
      <c r="C18" s="323" t="s">
        <v>846</v>
      </c>
      <c r="D18" s="134">
        <v>45768</v>
      </c>
      <c r="E18" s="134">
        <v>45815</v>
      </c>
      <c r="F18" s="137" t="s">
        <v>7</v>
      </c>
    </row>
    <row r="19" spans="1:6" x14ac:dyDescent="0.4">
      <c r="A19" s="124">
        <v>17</v>
      </c>
      <c r="B19" s="125" t="s">
        <v>360</v>
      </c>
      <c r="C19" s="321"/>
      <c r="D19" s="126">
        <v>45783</v>
      </c>
      <c r="E19" s="126">
        <v>45835</v>
      </c>
      <c r="F19" s="127"/>
    </row>
    <row r="20" spans="1:6" x14ac:dyDescent="0.4">
      <c r="A20" s="124">
        <v>18</v>
      </c>
      <c r="B20" s="125" t="s">
        <v>361</v>
      </c>
      <c r="C20" s="321"/>
      <c r="D20" s="126">
        <v>45784</v>
      </c>
      <c r="E20" s="126">
        <v>45853</v>
      </c>
      <c r="F20" s="127"/>
    </row>
    <row r="21" spans="1:6" s="131" customFormat="1" x14ac:dyDescent="0.35">
      <c r="A21" s="128">
        <v>19</v>
      </c>
      <c r="B21" s="129" t="s">
        <v>362</v>
      </c>
      <c r="C21" s="321"/>
      <c r="D21" s="130">
        <v>45803</v>
      </c>
      <c r="E21" s="130">
        <v>45853</v>
      </c>
      <c r="F21" s="127"/>
    </row>
    <row r="22" spans="1:6" s="131" customFormat="1" ht="32" x14ac:dyDescent="0.35">
      <c r="A22" s="128">
        <v>20</v>
      </c>
      <c r="B22" s="129" t="s">
        <v>363</v>
      </c>
      <c r="C22" s="321"/>
      <c r="D22" s="130">
        <v>45839</v>
      </c>
      <c r="E22" s="130">
        <v>45839</v>
      </c>
      <c r="F22" s="1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40309-E0A1-45CB-B8E1-CFD6ED940FF0}">
  <dimension ref="A1:X220"/>
  <sheetViews>
    <sheetView zoomScale="90" zoomScaleNormal="90" workbookViewId="0">
      <pane xSplit="7" ySplit="2" topLeftCell="Q51" activePane="bottomRight" state="frozen"/>
      <selection pane="topRight" activeCell="H1" sqref="H1"/>
      <selection pane="bottomLeft" activeCell="A3" sqref="A3"/>
      <selection pane="bottomRight" activeCell="T10" sqref="T10:T11"/>
    </sheetView>
  </sheetViews>
  <sheetFormatPr defaultColWidth="9" defaultRowHeight="14" x14ac:dyDescent="0.3"/>
  <cols>
    <col min="1" max="1" width="6.453125" style="291" customWidth="1"/>
    <col min="2" max="2" width="17.7265625" style="291" hidden="1" customWidth="1"/>
    <col min="3" max="3" width="31.54296875" style="291" customWidth="1"/>
    <col min="4" max="4" width="32.26953125" style="294" customWidth="1"/>
    <col min="5" max="5" width="24.1796875" style="290" customWidth="1"/>
    <col min="6" max="6" width="13.81640625" style="218" bestFit="1" customWidth="1"/>
    <col min="7" max="8" width="11.81640625" style="290" customWidth="1"/>
    <col min="9" max="9" width="24.1796875" style="290" hidden="1" customWidth="1"/>
    <col min="10" max="10" width="13.453125" style="218" hidden="1" customWidth="1"/>
    <col min="11" max="11" width="11.1796875" style="290" customWidth="1"/>
    <col min="12" max="12" width="21.81640625" style="293" bestFit="1" customWidth="1"/>
    <col min="13" max="13" width="14.81640625" style="293" bestFit="1" customWidth="1"/>
    <col min="14" max="14" width="25.26953125" style="290" bestFit="1" customWidth="1"/>
    <col min="15" max="16" width="14.81640625" style="290" customWidth="1"/>
    <col min="17" max="17" width="19" style="290" bestFit="1" customWidth="1"/>
    <col min="18" max="18" width="18.54296875" style="290" customWidth="1"/>
    <col min="19" max="19" width="14.81640625" style="290" bestFit="1" customWidth="1"/>
    <col min="20" max="20" width="26.453125" style="290" bestFit="1" customWidth="1"/>
    <col min="21" max="21" width="26" style="290" bestFit="1" customWidth="1"/>
    <col min="22" max="23" width="9" style="218"/>
    <col min="24" max="24" width="23.81640625" style="218" bestFit="1" customWidth="1"/>
    <col min="25" max="27" width="9" style="218"/>
    <col min="28" max="28" width="23.81640625" style="218" bestFit="1" customWidth="1"/>
    <col min="29" max="16384" width="9" style="218"/>
  </cols>
  <sheetData>
    <row r="1" spans="1:24" ht="27.5" x14ac:dyDescent="0.3">
      <c r="A1" s="386" t="s">
        <v>446</v>
      </c>
      <c r="B1" s="386"/>
      <c r="C1" s="386"/>
      <c r="D1" s="386"/>
      <c r="E1" s="386"/>
      <c r="F1" s="386"/>
      <c r="G1" s="386"/>
      <c r="H1" s="212"/>
      <c r="I1" s="213"/>
      <c r="J1" s="214"/>
      <c r="K1" s="215"/>
      <c r="L1" s="306" t="s">
        <v>848</v>
      </c>
      <c r="M1" s="307">
        <v>45830</v>
      </c>
      <c r="N1" s="216"/>
      <c r="O1" s="216">
        <f ca="1">TODAY()</f>
        <v>45845</v>
      </c>
      <c r="P1" s="215"/>
      <c r="Q1" s="215"/>
      <c r="R1" s="215"/>
      <c r="S1" s="215"/>
      <c r="T1" s="215"/>
      <c r="U1" s="217">
        <f ca="1">TODAY()</f>
        <v>45845</v>
      </c>
    </row>
    <row r="2" spans="1:24" ht="64.5" customHeight="1" x14ac:dyDescent="0.3">
      <c r="A2" s="219" t="s">
        <v>447</v>
      </c>
      <c r="B2" s="219" t="s">
        <v>448</v>
      </c>
      <c r="C2" s="219" t="s">
        <v>448</v>
      </c>
      <c r="D2" s="219" t="s">
        <v>449</v>
      </c>
      <c r="E2" s="220" t="s">
        <v>450</v>
      </c>
      <c r="F2" s="220" t="s">
        <v>451</v>
      </c>
      <c r="G2" s="220" t="s">
        <v>452</v>
      </c>
      <c r="H2" s="220" t="s">
        <v>841</v>
      </c>
      <c r="I2" s="220" t="s">
        <v>453</v>
      </c>
      <c r="J2" s="220" t="s">
        <v>454</v>
      </c>
      <c r="K2" s="220" t="s">
        <v>455</v>
      </c>
      <c r="L2" s="220" t="s">
        <v>456</v>
      </c>
      <c r="M2" s="220" t="s">
        <v>457</v>
      </c>
      <c r="N2" s="220" t="s">
        <v>458</v>
      </c>
      <c r="O2" s="220" t="s">
        <v>459</v>
      </c>
      <c r="P2" s="220" t="s">
        <v>460</v>
      </c>
      <c r="Q2" s="220" t="s">
        <v>461</v>
      </c>
      <c r="R2" s="220" t="s">
        <v>462</v>
      </c>
      <c r="S2" s="220" t="s">
        <v>463</v>
      </c>
      <c r="T2" s="220" t="s">
        <v>319</v>
      </c>
      <c r="U2" s="220" t="s">
        <v>464</v>
      </c>
    </row>
    <row r="3" spans="1:24" x14ac:dyDescent="0.3">
      <c r="A3" s="387">
        <v>1</v>
      </c>
      <c r="B3" s="387" t="s">
        <v>465</v>
      </c>
      <c r="C3" s="388" t="s">
        <v>466</v>
      </c>
      <c r="D3" s="389" t="s">
        <v>467</v>
      </c>
      <c r="E3" s="385" t="s">
        <v>468</v>
      </c>
      <c r="F3" s="385" t="s">
        <v>469</v>
      </c>
      <c r="G3" s="384">
        <v>45698</v>
      </c>
      <c r="H3" s="384">
        <v>45698</v>
      </c>
      <c r="I3" s="226"/>
      <c r="J3" s="227"/>
      <c r="K3" s="224" t="s">
        <v>470</v>
      </c>
      <c r="L3" s="225">
        <v>45698</v>
      </c>
      <c r="M3" s="225"/>
      <c r="N3" s="224"/>
      <c r="O3" s="224"/>
      <c r="P3" s="224"/>
      <c r="Q3" s="385"/>
      <c r="R3" s="385" t="s">
        <v>399</v>
      </c>
      <c r="S3" s="385" t="s">
        <v>471</v>
      </c>
      <c r="T3" s="385" t="s">
        <v>399</v>
      </c>
      <c r="U3" s="385"/>
    </row>
    <row r="4" spans="1:24" x14ac:dyDescent="0.3">
      <c r="A4" s="387"/>
      <c r="B4" s="387"/>
      <c r="C4" s="388"/>
      <c r="D4" s="389"/>
      <c r="E4" s="385"/>
      <c r="F4" s="385"/>
      <c r="G4" s="384"/>
      <c r="H4" s="384"/>
      <c r="I4" s="226"/>
      <c r="J4" s="227"/>
      <c r="K4" s="224" t="s">
        <v>472</v>
      </c>
      <c r="L4" s="225">
        <v>45700</v>
      </c>
      <c r="M4" s="225">
        <v>45700</v>
      </c>
      <c r="N4" s="224"/>
      <c r="O4" s="224">
        <f>M4-L4</f>
        <v>0</v>
      </c>
      <c r="P4" s="224">
        <f>L5-M4</f>
        <v>2</v>
      </c>
      <c r="Q4" s="385"/>
      <c r="R4" s="385"/>
      <c r="S4" s="385"/>
      <c r="T4" s="385"/>
      <c r="U4" s="385"/>
      <c r="X4" s="228" t="s">
        <v>473</v>
      </c>
    </row>
    <row r="5" spans="1:24" x14ac:dyDescent="0.3">
      <c r="A5" s="387"/>
      <c r="B5" s="387"/>
      <c r="C5" s="388"/>
      <c r="D5" s="389"/>
      <c r="E5" s="385"/>
      <c r="F5" s="385"/>
      <c r="G5" s="384"/>
      <c r="H5" s="384"/>
      <c r="I5" s="226"/>
      <c r="J5" s="227"/>
      <c r="K5" s="224" t="s">
        <v>474</v>
      </c>
      <c r="L5" s="225">
        <v>45702</v>
      </c>
      <c r="M5" s="225">
        <v>45705</v>
      </c>
      <c r="N5" s="224"/>
      <c r="O5" s="224">
        <f>M5-L5</f>
        <v>3</v>
      </c>
      <c r="P5" s="224">
        <f>L6-M5</f>
        <v>2</v>
      </c>
      <c r="Q5" s="385"/>
      <c r="R5" s="385"/>
      <c r="S5" s="385"/>
      <c r="T5" s="385"/>
      <c r="U5" s="385"/>
      <c r="X5" s="229" t="s">
        <v>399</v>
      </c>
    </row>
    <row r="6" spans="1:24" x14ac:dyDescent="0.3">
      <c r="A6" s="387"/>
      <c r="B6" s="387"/>
      <c r="C6" s="388"/>
      <c r="D6" s="389"/>
      <c r="E6" s="385"/>
      <c r="F6" s="385"/>
      <c r="G6" s="384"/>
      <c r="H6" s="384"/>
      <c r="I6" s="226"/>
      <c r="J6" s="227"/>
      <c r="K6" s="224" t="s">
        <v>475</v>
      </c>
      <c r="L6" s="225">
        <v>45707</v>
      </c>
      <c r="M6" s="225"/>
      <c r="N6" s="224"/>
      <c r="O6" s="224"/>
      <c r="P6" s="224"/>
      <c r="Q6" s="385"/>
      <c r="R6" s="385"/>
      <c r="S6" s="385"/>
      <c r="T6" s="385"/>
      <c r="U6" s="385"/>
      <c r="X6" s="229" t="s">
        <v>476</v>
      </c>
    </row>
    <row r="7" spans="1:24" x14ac:dyDescent="0.3">
      <c r="A7" s="387">
        <v>2</v>
      </c>
      <c r="B7" s="387" t="s">
        <v>465</v>
      </c>
      <c r="C7" s="388" t="s">
        <v>466</v>
      </c>
      <c r="D7" s="389" t="s">
        <v>477</v>
      </c>
      <c r="E7" s="385" t="s">
        <v>478</v>
      </c>
      <c r="F7" s="385" t="s">
        <v>479</v>
      </c>
      <c r="G7" s="384">
        <v>45740</v>
      </c>
      <c r="H7" s="384">
        <v>45740</v>
      </c>
      <c r="I7" s="226"/>
      <c r="J7" s="227"/>
      <c r="K7" s="224" t="s">
        <v>470</v>
      </c>
      <c r="L7" s="225">
        <v>45740</v>
      </c>
      <c r="M7" s="225">
        <v>45743</v>
      </c>
      <c r="N7" s="224" t="s">
        <v>480</v>
      </c>
      <c r="O7" s="224">
        <f>M7-L7</f>
        <v>3</v>
      </c>
      <c r="P7" s="224">
        <f>L8-M7</f>
        <v>6</v>
      </c>
      <c r="Q7" s="402">
        <f>M8</f>
        <v>45755</v>
      </c>
      <c r="R7" s="385" t="str">
        <f>T7</f>
        <v>Approved</v>
      </c>
      <c r="S7" s="385" t="str">
        <f>N8</f>
        <v>CAT -IV</v>
      </c>
      <c r="T7" s="385" t="s">
        <v>399</v>
      </c>
      <c r="U7" s="385">
        <f>M8-L8</f>
        <v>6</v>
      </c>
      <c r="X7" s="229" t="s">
        <v>481</v>
      </c>
    </row>
    <row r="8" spans="1:24" x14ac:dyDescent="0.3">
      <c r="A8" s="387"/>
      <c r="B8" s="387"/>
      <c r="C8" s="388"/>
      <c r="D8" s="389"/>
      <c r="E8" s="385"/>
      <c r="F8" s="385"/>
      <c r="G8" s="384"/>
      <c r="H8" s="384"/>
      <c r="I8" s="226"/>
      <c r="J8" s="227"/>
      <c r="K8" s="224" t="s">
        <v>472</v>
      </c>
      <c r="L8" s="225">
        <v>45749</v>
      </c>
      <c r="M8" s="225">
        <v>45755</v>
      </c>
      <c r="N8" s="224" t="s">
        <v>482</v>
      </c>
      <c r="O8" s="224">
        <f>M8-L8</f>
        <v>6</v>
      </c>
      <c r="P8" s="224"/>
      <c r="Q8" s="402"/>
      <c r="R8" s="385"/>
      <c r="S8" s="385"/>
      <c r="T8" s="385"/>
      <c r="U8" s="385"/>
    </row>
    <row r="9" spans="1:24" s="299" customFormat="1" ht="28" x14ac:dyDescent="0.3">
      <c r="A9" s="221">
        <v>3</v>
      </c>
      <c r="B9" s="221" t="s">
        <v>465</v>
      </c>
      <c r="C9" s="222" t="s">
        <v>466</v>
      </c>
      <c r="D9" s="223" t="s">
        <v>483</v>
      </c>
      <c r="E9" s="224" t="s">
        <v>484</v>
      </c>
      <c r="F9" s="224" t="s">
        <v>469</v>
      </c>
      <c r="G9" s="225"/>
      <c r="H9" s="225"/>
      <c r="I9" s="226"/>
      <c r="J9" s="227"/>
      <c r="K9" s="224" t="s">
        <v>470</v>
      </c>
      <c r="L9" s="225"/>
      <c r="M9" s="225"/>
      <c r="N9" s="224"/>
      <c r="O9" s="224"/>
      <c r="P9" s="224"/>
      <c r="Q9" s="224"/>
      <c r="R9" s="224"/>
      <c r="S9" s="224" t="s">
        <v>485</v>
      </c>
      <c r="T9" s="224" t="s">
        <v>399</v>
      </c>
      <c r="U9" s="224"/>
    </row>
    <row r="10" spans="1:24" ht="42" customHeight="1" x14ac:dyDescent="0.3">
      <c r="A10" s="390">
        <v>4</v>
      </c>
      <c r="B10" s="221" t="s">
        <v>465</v>
      </c>
      <c r="C10" s="392" t="s">
        <v>466</v>
      </c>
      <c r="D10" s="394" t="s">
        <v>486</v>
      </c>
      <c r="E10" s="396" t="s">
        <v>487</v>
      </c>
      <c r="F10" s="396" t="s">
        <v>479</v>
      </c>
      <c r="G10" s="398">
        <v>45768</v>
      </c>
      <c r="H10" s="398">
        <v>45768</v>
      </c>
      <c r="I10" s="226"/>
      <c r="J10" s="227"/>
      <c r="K10" s="224" t="s">
        <v>470</v>
      </c>
      <c r="L10" s="225">
        <v>45768</v>
      </c>
      <c r="M10" s="225">
        <v>45776</v>
      </c>
      <c r="N10" s="224" t="s">
        <v>480</v>
      </c>
      <c r="O10" s="224">
        <f>M10-L10</f>
        <v>8</v>
      </c>
      <c r="P10" s="224"/>
      <c r="Q10" s="400">
        <f>M10</f>
        <v>45776</v>
      </c>
      <c r="R10" s="396" t="s">
        <v>399</v>
      </c>
      <c r="S10" s="396" t="str">
        <f>N10</f>
        <v>CAT -IV R</v>
      </c>
      <c r="T10" s="396" t="s">
        <v>399</v>
      </c>
      <c r="U10" s="396"/>
    </row>
    <row r="11" spans="1:24" x14ac:dyDescent="0.3">
      <c r="A11" s="391"/>
      <c r="B11" s="221"/>
      <c r="C11" s="393"/>
      <c r="D11" s="395"/>
      <c r="E11" s="397"/>
      <c r="F11" s="397"/>
      <c r="G11" s="399"/>
      <c r="H11" s="399"/>
      <c r="I11" s="226"/>
      <c r="J11" s="227"/>
      <c r="K11" s="224" t="s">
        <v>472</v>
      </c>
      <c r="L11" s="225">
        <v>45827</v>
      </c>
      <c r="M11" s="225"/>
      <c r="N11" s="224"/>
      <c r="O11" s="224"/>
      <c r="P11" s="224"/>
      <c r="Q11" s="401"/>
      <c r="R11" s="397"/>
      <c r="S11" s="397"/>
      <c r="T11" s="397"/>
      <c r="U11" s="397"/>
    </row>
    <row r="12" spans="1:24" ht="28" x14ac:dyDescent="0.3">
      <c r="A12" s="237">
        <v>5</v>
      </c>
      <c r="B12" s="238" t="s">
        <v>465</v>
      </c>
      <c r="C12" s="239" t="s">
        <v>466</v>
      </c>
      <c r="D12" s="240" t="s">
        <v>488</v>
      </c>
      <c r="E12" s="215" t="s">
        <v>489</v>
      </c>
      <c r="F12" s="213" t="s">
        <v>479</v>
      </c>
      <c r="G12" s="234">
        <v>45814</v>
      </c>
      <c r="H12" s="234">
        <v>45820</v>
      </c>
      <c r="I12" s="235"/>
      <c r="J12" s="241"/>
      <c r="K12" s="215"/>
      <c r="L12" s="242"/>
      <c r="M12" s="242"/>
      <c r="N12" s="215"/>
      <c r="O12" s="215"/>
      <c r="P12" s="215"/>
      <c r="Q12" s="215"/>
      <c r="R12" s="215" t="s">
        <v>495</v>
      </c>
      <c r="S12" s="215"/>
      <c r="T12" s="215" t="s">
        <v>473</v>
      </c>
      <c r="U12" s="215"/>
    </row>
    <row r="13" spans="1:24" x14ac:dyDescent="0.3">
      <c r="A13" s="237">
        <v>6</v>
      </c>
      <c r="B13" s="238" t="s">
        <v>465</v>
      </c>
      <c r="C13" s="239" t="s">
        <v>466</v>
      </c>
      <c r="D13" s="240" t="s">
        <v>490</v>
      </c>
      <c r="E13" s="215" t="s">
        <v>491</v>
      </c>
      <c r="F13" s="215" t="s">
        <v>479</v>
      </c>
      <c r="G13" s="242">
        <v>45814</v>
      </c>
      <c r="H13" s="242">
        <v>45815</v>
      </c>
      <c r="I13" s="243"/>
      <c r="J13" s="241"/>
      <c r="K13" s="215" t="s">
        <v>470</v>
      </c>
      <c r="L13" s="242">
        <v>45815</v>
      </c>
      <c r="M13" s="242">
        <v>45828</v>
      </c>
      <c r="N13" s="215" t="s">
        <v>480</v>
      </c>
      <c r="O13" s="215"/>
      <c r="P13" s="215"/>
      <c r="Q13" s="215"/>
      <c r="R13" s="215" t="s">
        <v>502</v>
      </c>
      <c r="S13" s="215" t="str">
        <f>N13</f>
        <v>CAT -IV R</v>
      </c>
      <c r="T13" s="215" t="s">
        <v>476</v>
      </c>
      <c r="U13" s="215">
        <f ca="1">U1-L13</f>
        <v>30</v>
      </c>
    </row>
    <row r="14" spans="1:24" x14ac:dyDescent="0.3">
      <c r="A14" s="403">
        <v>7</v>
      </c>
      <c r="B14" s="404" t="s">
        <v>465</v>
      </c>
      <c r="C14" s="405" t="s">
        <v>466</v>
      </c>
      <c r="D14" s="406" t="s">
        <v>492</v>
      </c>
      <c r="E14" s="407" t="s">
        <v>493</v>
      </c>
      <c r="F14" s="407" t="s">
        <v>469</v>
      </c>
      <c r="G14" s="408">
        <v>45742</v>
      </c>
      <c r="H14" s="408">
        <v>45742</v>
      </c>
      <c r="I14" s="243"/>
      <c r="J14" s="241"/>
      <c r="K14" s="215" t="s">
        <v>470</v>
      </c>
      <c r="L14" s="242">
        <v>45742</v>
      </c>
      <c r="M14" s="242">
        <v>45751</v>
      </c>
      <c r="N14" s="215" t="s">
        <v>494</v>
      </c>
      <c r="O14" s="215">
        <f>M14-L14</f>
        <v>9</v>
      </c>
      <c r="P14" s="215">
        <f>L15-M14</f>
        <v>0</v>
      </c>
      <c r="Q14" s="215"/>
      <c r="R14" s="407" t="s">
        <v>495</v>
      </c>
      <c r="S14" s="407" t="str">
        <f>N14</f>
        <v>CAT - II</v>
      </c>
      <c r="T14" s="407" t="s">
        <v>473</v>
      </c>
      <c r="U14" s="407">
        <f ca="1">U1-L15</f>
        <v>94</v>
      </c>
    </row>
    <row r="15" spans="1:24" x14ac:dyDescent="0.3">
      <c r="A15" s="403"/>
      <c r="B15" s="404"/>
      <c r="C15" s="405"/>
      <c r="D15" s="406"/>
      <c r="E15" s="407"/>
      <c r="F15" s="407"/>
      <c r="G15" s="408"/>
      <c r="H15" s="408"/>
      <c r="I15" s="243"/>
      <c r="J15" s="241"/>
      <c r="K15" s="215" t="s">
        <v>472</v>
      </c>
      <c r="L15" s="242">
        <v>45751</v>
      </c>
      <c r="M15" s="242"/>
      <c r="N15" s="215"/>
      <c r="O15" s="215">
        <f ca="1">O1-L15</f>
        <v>94</v>
      </c>
      <c r="P15" s="215"/>
      <c r="Q15" s="215"/>
      <c r="R15" s="407"/>
      <c r="S15" s="407"/>
      <c r="T15" s="407"/>
      <c r="U15" s="407"/>
    </row>
    <row r="16" spans="1:24" x14ac:dyDescent="0.3">
      <c r="A16" s="237">
        <v>8</v>
      </c>
      <c r="B16" s="238" t="s">
        <v>465</v>
      </c>
      <c r="C16" s="239" t="s">
        <v>466</v>
      </c>
      <c r="D16" s="240" t="s">
        <v>496</v>
      </c>
      <c r="E16" s="215" t="s">
        <v>497</v>
      </c>
      <c r="F16" s="215" t="s">
        <v>479</v>
      </c>
      <c r="G16" s="242">
        <v>45771</v>
      </c>
      <c r="H16" s="242">
        <v>45771</v>
      </c>
      <c r="I16" s="243"/>
      <c r="J16" s="241"/>
      <c r="K16" s="215" t="s">
        <v>470</v>
      </c>
      <c r="L16" s="242">
        <v>45772</v>
      </c>
      <c r="M16" s="242"/>
      <c r="N16" s="215"/>
      <c r="O16" s="215">
        <f ca="1">O1-L16</f>
        <v>73</v>
      </c>
      <c r="P16" s="215"/>
      <c r="Q16" s="215"/>
      <c r="R16" s="215" t="s">
        <v>495</v>
      </c>
      <c r="S16" s="215"/>
      <c r="T16" s="215" t="s">
        <v>473</v>
      </c>
      <c r="U16" s="215">
        <f ca="1">U1-L16</f>
        <v>73</v>
      </c>
    </row>
    <row r="17" spans="1:21" x14ac:dyDescent="0.3">
      <c r="A17" s="221">
        <v>9</v>
      </c>
      <c r="B17" s="221" t="s">
        <v>465</v>
      </c>
      <c r="C17" s="222" t="s">
        <v>466</v>
      </c>
      <c r="D17" s="223" t="s">
        <v>498</v>
      </c>
      <c r="E17" s="224" t="s">
        <v>499</v>
      </c>
      <c r="F17" s="224" t="s">
        <v>479</v>
      </c>
      <c r="G17" s="225"/>
      <c r="H17" s="225"/>
      <c r="I17" s="226"/>
      <c r="J17" s="227"/>
      <c r="K17" s="224" t="s">
        <v>470</v>
      </c>
      <c r="L17" s="225"/>
      <c r="M17" s="225"/>
      <c r="N17" s="224"/>
      <c r="O17" s="224"/>
      <c r="P17" s="224"/>
      <c r="Q17" s="224"/>
      <c r="R17" s="224" t="s">
        <v>399</v>
      </c>
      <c r="S17" s="224" t="s">
        <v>485</v>
      </c>
      <c r="T17" s="224" t="s">
        <v>399</v>
      </c>
      <c r="U17" s="224"/>
    </row>
    <row r="18" spans="1:21" x14ac:dyDescent="0.3">
      <c r="A18" s="237">
        <v>10</v>
      </c>
      <c r="B18" s="238" t="s">
        <v>465</v>
      </c>
      <c r="C18" s="239" t="s">
        <v>466</v>
      </c>
      <c r="D18" s="240" t="s">
        <v>500</v>
      </c>
      <c r="E18" s="215" t="s">
        <v>501</v>
      </c>
      <c r="F18" s="213" t="s">
        <v>479</v>
      </c>
      <c r="G18" s="234">
        <v>45772</v>
      </c>
      <c r="H18" s="234">
        <v>45772</v>
      </c>
      <c r="I18" s="235"/>
      <c r="J18" s="241"/>
      <c r="K18" s="215" t="s">
        <v>470</v>
      </c>
      <c r="L18" s="242">
        <v>45772</v>
      </c>
      <c r="M18" s="242">
        <v>45778</v>
      </c>
      <c r="N18" s="215" t="s">
        <v>480</v>
      </c>
      <c r="O18" s="215">
        <f>M18-L18</f>
        <v>6</v>
      </c>
      <c r="P18" s="215"/>
      <c r="Q18" s="215"/>
      <c r="R18" s="215" t="s">
        <v>502</v>
      </c>
      <c r="S18" s="215" t="str">
        <f>N18</f>
        <v>CAT -IV R</v>
      </c>
      <c r="T18" s="215" t="s">
        <v>476</v>
      </c>
      <c r="U18" s="215">
        <f ca="1">U1-M18</f>
        <v>67</v>
      </c>
    </row>
    <row r="19" spans="1:21" x14ac:dyDescent="0.3">
      <c r="A19" s="387">
        <v>11</v>
      </c>
      <c r="B19" s="387" t="s">
        <v>465</v>
      </c>
      <c r="C19" s="388" t="s">
        <v>466</v>
      </c>
      <c r="D19" s="389" t="s">
        <v>503</v>
      </c>
      <c r="E19" s="385" t="s">
        <v>504</v>
      </c>
      <c r="F19" s="385" t="s">
        <v>469</v>
      </c>
      <c r="G19" s="384">
        <v>45769</v>
      </c>
      <c r="H19" s="384">
        <f>L19</f>
        <v>45769</v>
      </c>
      <c r="I19" s="226"/>
      <c r="J19" s="227"/>
      <c r="K19" s="224" t="s">
        <v>470</v>
      </c>
      <c r="L19" s="225">
        <v>45769</v>
      </c>
      <c r="M19" s="225">
        <v>45771</v>
      </c>
      <c r="N19" s="224" t="s">
        <v>471</v>
      </c>
      <c r="O19" s="224">
        <f>M19-L19</f>
        <v>2</v>
      </c>
      <c r="P19" s="224">
        <f>L20-M19</f>
        <v>6</v>
      </c>
      <c r="Q19" s="402">
        <f>M21</f>
        <v>45793</v>
      </c>
      <c r="R19" s="385" t="s">
        <v>495</v>
      </c>
      <c r="S19" s="385" t="str">
        <f>N21</f>
        <v>CAT - I</v>
      </c>
      <c r="T19" s="385" t="s">
        <v>399</v>
      </c>
      <c r="U19" s="385">
        <f>M21-L21</f>
        <v>7</v>
      </c>
    </row>
    <row r="20" spans="1:21" x14ac:dyDescent="0.3">
      <c r="A20" s="387"/>
      <c r="B20" s="387"/>
      <c r="C20" s="388"/>
      <c r="D20" s="389"/>
      <c r="E20" s="385"/>
      <c r="F20" s="385"/>
      <c r="G20" s="384"/>
      <c r="H20" s="384"/>
      <c r="I20" s="226"/>
      <c r="J20" s="227"/>
      <c r="K20" s="224" t="s">
        <v>472</v>
      </c>
      <c r="L20" s="225">
        <v>45777</v>
      </c>
      <c r="M20" s="225">
        <v>45778</v>
      </c>
      <c r="N20" s="224" t="s">
        <v>494</v>
      </c>
      <c r="O20" s="224">
        <f>M20-L20</f>
        <v>1</v>
      </c>
      <c r="P20" s="224">
        <f>L21-M20</f>
        <v>8</v>
      </c>
      <c r="Q20" s="402"/>
      <c r="R20" s="385"/>
      <c r="S20" s="385"/>
      <c r="T20" s="385"/>
      <c r="U20" s="385"/>
    </row>
    <row r="21" spans="1:21" x14ac:dyDescent="0.3">
      <c r="A21" s="387"/>
      <c r="B21" s="387"/>
      <c r="C21" s="388"/>
      <c r="D21" s="389"/>
      <c r="E21" s="385"/>
      <c r="F21" s="385"/>
      <c r="G21" s="384"/>
      <c r="H21" s="384"/>
      <c r="I21" s="226"/>
      <c r="J21" s="227"/>
      <c r="K21" s="224" t="s">
        <v>474</v>
      </c>
      <c r="L21" s="225">
        <v>45786</v>
      </c>
      <c r="M21" s="225">
        <v>45793</v>
      </c>
      <c r="N21" s="224" t="s">
        <v>485</v>
      </c>
      <c r="O21" s="224">
        <f>M21-L21</f>
        <v>7</v>
      </c>
      <c r="P21" s="224"/>
      <c r="Q21" s="402"/>
      <c r="R21" s="385"/>
      <c r="S21" s="385"/>
      <c r="T21" s="385"/>
      <c r="U21" s="385"/>
    </row>
    <row r="22" spans="1:21" x14ac:dyDescent="0.3">
      <c r="A22" s="237">
        <v>12</v>
      </c>
      <c r="B22" s="238" t="s">
        <v>465</v>
      </c>
      <c r="C22" s="239" t="s">
        <v>466</v>
      </c>
      <c r="D22" s="240" t="s">
        <v>505</v>
      </c>
      <c r="E22" s="215" t="s">
        <v>506</v>
      </c>
      <c r="F22" s="213" t="s">
        <v>479</v>
      </c>
      <c r="G22" s="234">
        <v>45801</v>
      </c>
      <c r="H22" s="234">
        <v>45843</v>
      </c>
      <c r="I22" s="235"/>
      <c r="J22" s="241"/>
      <c r="K22" s="215"/>
      <c r="L22" s="242"/>
      <c r="M22" s="242"/>
      <c r="N22" s="215"/>
      <c r="O22" s="215"/>
      <c r="P22" s="215"/>
      <c r="Q22" s="215"/>
      <c r="R22" s="215"/>
      <c r="S22" s="215"/>
      <c r="T22" s="215"/>
      <c r="U22" s="215"/>
    </row>
    <row r="23" spans="1:21" s="249" customFormat="1" x14ac:dyDescent="0.3">
      <c r="A23" s="237">
        <v>13</v>
      </c>
      <c r="B23" s="238" t="s">
        <v>465</v>
      </c>
      <c r="C23" s="239" t="s">
        <v>466</v>
      </c>
      <c r="D23" s="240" t="s">
        <v>507</v>
      </c>
      <c r="E23" s="215" t="s">
        <v>508</v>
      </c>
      <c r="F23" s="244" t="s">
        <v>479</v>
      </c>
      <c r="G23" s="245"/>
      <c r="H23" s="245"/>
      <c r="I23" s="246"/>
      <c r="J23" s="247"/>
      <c r="K23" s="248"/>
      <c r="L23" s="242"/>
      <c r="M23" s="242"/>
      <c r="N23" s="248"/>
      <c r="O23" s="215"/>
      <c r="P23" s="215"/>
      <c r="Q23" s="248"/>
      <c r="R23" s="248"/>
      <c r="S23" s="248"/>
      <c r="T23" s="248"/>
      <c r="U23" s="248"/>
    </row>
    <row r="24" spans="1:21" ht="28" x14ac:dyDescent="0.3">
      <c r="A24" s="237">
        <v>14</v>
      </c>
      <c r="B24" s="238" t="s">
        <v>465</v>
      </c>
      <c r="C24" s="239" t="s">
        <v>466</v>
      </c>
      <c r="D24" s="240" t="s">
        <v>509</v>
      </c>
      <c r="E24" s="215" t="s">
        <v>510</v>
      </c>
      <c r="F24" s="213" t="s">
        <v>469</v>
      </c>
      <c r="G24" s="234"/>
      <c r="H24" s="234"/>
      <c r="I24" s="235"/>
      <c r="J24" s="241"/>
      <c r="K24" s="215"/>
      <c r="L24" s="242"/>
      <c r="M24" s="242"/>
      <c r="N24" s="215"/>
      <c r="O24" s="215"/>
      <c r="P24" s="215"/>
      <c r="Q24" s="215"/>
      <c r="R24" s="215"/>
      <c r="S24" s="215"/>
      <c r="T24" s="215"/>
      <c r="U24" s="215"/>
    </row>
    <row r="25" spans="1:21" x14ac:dyDescent="0.3">
      <c r="A25" s="390">
        <v>1</v>
      </c>
      <c r="B25" s="390" t="s">
        <v>6</v>
      </c>
      <c r="C25" s="392" t="s">
        <v>511</v>
      </c>
      <c r="D25" s="409" t="s">
        <v>512</v>
      </c>
      <c r="E25" s="396" t="s">
        <v>513</v>
      </c>
      <c r="F25" s="396" t="s">
        <v>469</v>
      </c>
      <c r="G25" s="398">
        <v>45727</v>
      </c>
      <c r="H25" s="398">
        <f>L25</f>
        <v>45727</v>
      </c>
      <c r="I25" s="250"/>
      <c r="J25" s="227"/>
      <c r="K25" s="224" t="s">
        <v>470</v>
      </c>
      <c r="L25" s="225">
        <v>45727</v>
      </c>
      <c r="M25" s="225">
        <v>45736</v>
      </c>
      <c r="N25" s="224" t="s">
        <v>471</v>
      </c>
      <c r="O25" s="224">
        <f>M25-L25</f>
        <v>9</v>
      </c>
      <c r="P25" s="224">
        <f>L26-M25</f>
        <v>19</v>
      </c>
      <c r="Q25" s="396"/>
      <c r="R25" s="396" t="s">
        <v>399</v>
      </c>
      <c r="S25" s="396" t="str">
        <f>N27</f>
        <v>CAT - I</v>
      </c>
      <c r="T25" s="396" t="s">
        <v>399</v>
      </c>
      <c r="U25" s="396">
        <f ca="1">U1-L27</f>
        <v>40</v>
      </c>
    </row>
    <row r="26" spans="1:21" x14ac:dyDescent="0.3">
      <c r="A26" s="390"/>
      <c r="B26" s="390"/>
      <c r="C26" s="392"/>
      <c r="D26" s="409"/>
      <c r="E26" s="396"/>
      <c r="F26" s="396"/>
      <c r="G26" s="398"/>
      <c r="H26" s="398"/>
      <c r="I26" s="251"/>
      <c r="J26" s="227"/>
      <c r="K26" s="224" t="s">
        <v>472</v>
      </c>
      <c r="L26" s="225">
        <v>45755</v>
      </c>
      <c r="M26" s="225">
        <v>45758</v>
      </c>
      <c r="N26" s="224" t="s">
        <v>494</v>
      </c>
      <c r="O26" s="224">
        <f>M26-L26</f>
        <v>3</v>
      </c>
      <c r="P26" s="224">
        <f>L27-M26</f>
        <v>47</v>
      </c>
      <c r="Q26" s="396"/>
      <c r="R26" s="396"/>
      <c r="S26" s="396"/>
      <c r="T26" s="396"/>
      <c r="U26" s="396"/>
    </row>
    <row r="27" spans="1:21" x14ac:dyDescent="0.3">
      <c r="A27" s="390"/>
      <c r="B27" s="390"/>
      <c r="C27" s="392"/>
      <c r="D27" s="409"/>
      <c r="E27" s="396"/>
      <c r="F27" s="396"/>
      <c r="G27" s="398"/>
      <c r="H27" s="398"/>
      <c r="I27" s="252"/>
      <c r="J27" s="227"/>
      <c r="K27" s="224" t="s">
        <v>474</v>
      </c>
      <c r="L27" s="225">
        <v>45805</v>
      </c>
      <c r="M27" s="225">
        <v>45810</v>
      </c>
      <c r="N27" s="224" t="s">
        <v>485</v>
      </c>
      <c r="O27" s="224">
        <f>M27-L27</f>
        <v>5</v>
      </c>
      <c r="P27" s="224"/>
      <c r="Q27" s="396"/>
      <c r="R27" s="396"/>
      <c r="S27" s="396"/>
      <c r="T27" s="396"/>
      <c r="U27" s="396"/>
    </row>
    <row r="28" spans="1:21" s="259" customFormat="1" ht="28" x14ac:dyDescent="0.3">
      <c r="A28" s="253">
        <v>2</v>
      </c>
      <c r="B28" s="254" t="s">
        <v>6</v>
      </c>
      <c r="C28" s="255" t="s">
        <v>511</v>
      </c>
      <c r="D28" s="256" t="s">
        <v>842</v>
      </c>
      <c r="E28" s="215" t="s">
        <v>514</v>
      </c>
      <c r="F28" s="213" t="s">
        <v>469</v>
      </c>
      <c r="G28" s="234">
        <v>45805</v>
      </c>
      <c r="H28" s="245">
        <f>L28</f>
        <v>45811</v>
      </c>
      <c r="I28" s="257"/>
      <c r="J28" s="258"/>
      <c r="K28" s="215" t="s">
        <v>470</v>
      </c>
      <c r="L28" s="242">
        <v>45811</v>
      </c>
      <c r="M28" s="242">
        <v>45818</v>
      </c>
      <c r="N28" s="215" t="s">
        <v>471</v>
      </c>
      <c r="O28" s="215">
        <f ca="1">O1-L28</f>
        <v>34</v>
      </c>
      <c r="P28" s="215"/>
      <c r="Q28" s="215"/>
      <c r="R28" s="215" t="s">
        <v>502</v>
      </c>
      <c r="S28" s="215" t="str">
        <f>N28</f>
        <v>CAT - III</v>
      </c>
      <c r="T28" s="215" t="s">
        <v>476</v>
      </c>
      <c r="U28" s="215">
        <f ca="1">U1-L28</f>
        <v>34</v>
      </c>
    </row>
    <row r="29" spans="1:21" ht="28" x14ac:dyDescent="0.3">
      <c r="A29" s="237">
        <v>3</v>
      </c>
      <c r="B29" s="238" t="s">
        <v>6</v>
      </c>
      <c r="C29" s="239" t="s">
        <v>511</v>
      </c>
      <c r="D29" s="240" t="s">
        <v>515</v>
      </c>
      <c r="E29" s="215" t="s">
        <v>516</v>
      </c>
      <c r="F29" s="213" t="s">
        <v>469</v>
      </c>
      <c r="G29" s="234">
        <v>45795</v>
      </c>
      <c r="H29" s="234">
        <f>L29</f>
        <v>45813</v>
      </c>
      <c r="I29" s="235"/>
      <c r="J29" s="241"/>
      <c r="K29" s="215" t="s">
        <v>470</v>
      </c>
      <c r="L29" s="242">
        <v>45813</v>
      </c>
      <c r="M29" s="242">
        <v>45828</v>
      </c>
      <c r="N29" s="215" t="s">
        <v>471</v>
      </c>
      <c r="O29" s="215">
        <f ca="1">O1-L29</f>
        <v>32</v>
      </c>
      <c r="P29" s="215"/>
      <c r="Q29" s="215"/>
      <c r="R29" s="215" t="s">
        <v>502</v>
      </c>
      <c r="S29" s="215" t="str">
        <f>N29</f>
        <v>CAT - III</v>
      </c>
      <c r="T29" s="215" t="s">
        <v>476</v>
      </c>
      <c r="U29" s="215">
        <f ca="1">U1-L29</f>
        <v>32</v>
      </c>
    </row>
    <row r="30" spans="1:21" ht="15" customHeight="1" x14ac:dyDescent="0.3">
      <c r="A30" s="390">
        <v>4</v>
      </c>
      <c r="B30" s="390" t="s">
        <v>6</v>
      </c>
      <c r="C30" s="392" t="s">
        <v>511</v>
      </c>
      <c r="D30" s="394" t="s">
        <v>517</v>
      </c>
      <c r="E30" s="396" t="s">
        <v>518</v>
      </c>
      <c r="F30" s="396" t="s">
        <v>469</v>
      </c>
      <c r="G30" s="398">
        <v>45751</v>
      </c>
      <c r="H30" s="398">
        <f>L30</f>
        <v>45727</v>
      </c>
      <c r="I30" s="250"/>
      <c r="J30" s="227"/>
      <c r="K30" s="224" t="s">
        <v>470</v>
      </c>
      <c r="L30" s="225">
        <v>45727</v>
      </c>
      <c r="M30" s="225">
        <v>45736</v>
      </c>
      <c r="N30" s="224" t="s">
        <v>494</v>
      </c>
      <c r="O30" s="224">
        <f>M30-L30</f>
        <v>9</v>
      </c>
      <c r="P30" s="224">
        <f>L31-M30</f>
        <v>19</v>
      </c>
      <c r="Q30" s="414">
        <f>M34</f>
        <v>45825</v>
      </c>
      <c r="R30" s="396" t="s">
        <v>495</v>
      </c>
      <c r="S30" s="396" t="str">
        <f>N34</f>
        <v>CAT - I</v>
      </c>
      <c r="T30" s="396" t="s">
        <v>399</v>
      </c>
      <c r="U30" s="396">
        <f>M32-L32</f>
        <v>1</v>
      </c>
    </row>
    <row r="31" spans="1:21" ht="14.15" customHeight="1" x14ac:dyDescent="0.3">
      <c r="A31" s="410"/>
      <c r="B31" s="410"/>
      <c r="C31" s="411"/>
      <c r="D31" s="412"/>
      <c r="E31" s="413"/>
      <c r="F31" s="413"/>
      <c r="G31" s="417"/>
      <c r="H31" s="417"/>
      <c r="I31" s="251"/>
      <c r="J31" s="227"/>
      <c r="K31" s="224" t="s">
        <v>472</v>
      </c>
      <c r="L31" s="225">
        <v>45755</v>
      </c>
      <c r="M31" s="225">
        <v>45758</v>
      </c>
      <c r="N31" s="224" t="s">
        <v>485</v>
      </c>
      <c r="O31" s="224">
        <f>M31-L31</f>
        <v>3</v>
      </c>
      <c r="P31" s="224">
        <f>L32-M31</f>
        <v>25</v>
      </c>
      <c r="Q31" s="415"/>
      <c r="R31" s="413"/>
      <c r="S31" s="413"/>
      <c r="T31" s="413"/>
      <c r="U31" s="413"/>
    </row>
    <row r="32" spans="1:21" ht="14.15" customHeight="1" x14ac:dyDescent="0.3">
      <c r="A32" s="410"/>
      <c r="B32" s="410"/>
      <c r="C32" s="411"/>
      <c r="D32" s="412"/>
      <c r="E32" s="413"/>
      <c r="F32" s="413"/>
      <c r="G32" s="417"/>
      <c r="H32" s="417"/>
      <c r="I32" s="251"/>
      <c r="J32" s="227"/>
      <c r="K32" s="224" t="s">
        <v>474</v>
      </c>
      <c r="L32" s="225">
        <v>45783</v>
      </c>
      <c r="M32" s="225">
        <v>45784</v>
      </c>
      <c r="N32" s="224" t="s">
        <v>485</v>
      </c>
      <c r="O32" s="224">
        <f>M32-L32</f>
        <v>1</v>
      </c>
      <c r="P32" s="224">
        <f>L33-M32</f>
        <v>21</v>
      </c>
      <c r="Q32" s="415"/>
      <c r="R32" s="413"/>
      <c r="S32" s="413"/>
      <c r="T32" s="413"/>
      <c r="U32" s="413"/>
    </row>
    <row r="33" spans="1:21" ht="14.15" customHeight="1" x14ac:dyDescent="0.3">
      <c r="A33" s="410"/>
      <c r="B33" s="391"/>
      <c r="C33" s="411"/>
      <c r="D33" s="412"/>
      <c r="E33" s="413"/>
      <c r="F33" s="413"/>
      <c r="G33" s="417"/>
      <c r="H33" s="417"/>
      <c r="I33" s="252"/>
      <c r="J33" s="227"/>
      <c r="K33" s="224" t="s">
        <v>475</v>
      </c>
      <c r="L33" s="225">
        <v>45805</v>
      </c>
      <c r="M33" s="225">
        <v>45807</v>
      </c>
      <c r="N33" s="224" t="s">
        <v>494</v>
      </c>
      <c r="O33" s="224">
        <f>M33-L33</f>
        <v>2</v>
      </c>
      <c r="P33" s="224"/>
      <c r="Q33" s="415"/>
      <c r="R33" s="413"/>
      <c r="S33" s="413"/>
      <c r="T33" s="413"/>
      <c r="U33" s="397"/>
    </row>
    <row r="34" spans="1:21" ht="14.15" customHeight="1" x14ac:dyDescent="0.3">
      <c r="A34" s="410"/>
      <c r="B34" s="295"/>
      <c r="C34" s="411"/>
      <c r="D34" s="412"/>
      <c r="E34" s="413"/>
      <c r="F34" s="413"/>
      <c r="G34" s="417"/>
      <c r="H34" s="417"/>
      <c r="I34" s="252"/>
      <c r="J34" s="227"/>
      <c r="K34" s="224" t="s">
        <v>845</v>
      </c>
      <c r="L34" s="225">
        <v>45825</v>
      </c>
      <c r="M34" s="225">
        <v>45825</v>
      </c>
      <c r="N34" s="224" t="s">
        <v>485</v>
      </c>
      <c r="O34" s="224">
        <f>M34-L34</f>
        <v>0</v>
      </c>
      <c r="P34" s="224"/>
      <c r="Q34" s="416"/>
      <c r="R34" s="397"/>
      <c r="S34" s="397"/>
      <c r="T34" s="397"/>
      <c r="U34" s="296"/>
    </row>
    <row r="35" spans="1:21" ht="28" x14ac:dyDescent="0.3">
      <c r="A35" s="260">
        <v>5</v>
      </c>
      <c r="B35" s="260" t="s">
        <v>6</v>
      </c>
      <c r="C35" s="261" t="s">
        <v>511</v>
      </c>
      <c r="D35" s="262" t="s">
        <v>519</v>
      </c>
      <c r="E35" s="215" t="s">
        <v>520</v>
      </c>
      <c r="F35" s="215" t="s">
        <v>469</v>
      </c>
      <c r="G35" s="242">
        <v>45811</v>
      </c>
      <c r="H35" s="242">
        <f>L35</f>
        <v>45811</v>
      </c>
      <c r="I35" s="243"/>
      <c r="J35" s="241"/>
      <c r="K35" s="215" t="s">
        <v>470</v>
      </c>
      <c r="L35" s="242">
        <v>45811</v>
      </c>
      <c r="M35" s="242">
        <v>45818</v>
      </c>
      <c r="N35" s="215" t="s">
        <v>471</v>
      </c>
      <c r="O35" s="215">
        <f ca="1">O1-L35</f>
        <v>34</v>
      </c>
      <c r="P35" s="215"/>
      <c r="Q35" s="215"/>
      <c r="R35" s="215" t="s">
        <v>502</v>
      </c>
      <c r="S35" s="215" t="str">
        <f>N35</f>
        <v>CAT - III</v>
      </c>
      <c r="T35" s="215" t="s">
        <v>476</v>
      </c>
      <c r="U35" s="215">
        <f ca="1">U1-L35</f>
        <v>34</v>
      </c>
    </row>
    <row r="36" spans="1:21" x14ac:dyDescent="0.3">
      <c r="A36" s="387">
        <v>6</v>
      </c>
      <c r="B36" s="387" t="s">
        <v>6</v>
      </c>
      <c r="C36" s="388" t="s">
        <v>511</v>
      </c>
      <c r="D36" s="389" t="s">
        <v>521</v>
      </c>
      <c r="E36" s="385" t="s">
        <v>522</v>
      </c>
      <c r="F36" s="385" t="s">
        <v>469</v>
      </c>
      <c r="G36" s="384">
        <v>45751</v>
      </c>
      <c r="H36" s="384">
        <f>L36</f>
        <v>45727</v>
      </c>
      <c r="I36" s="226"/>
      <c r="J36" s="227"/>
      <c r="K36" s="224" t="s">
        <v>470</v>
      </c>
      <c r="L36" s="225">
        <v>45727</v>
      </c>
      <c r="M36" s="225">
        <v>45736</v>
      </c>
      <c r="N36" s="224" t="s">
        <v>471</v>
      </c>
      <c r="O36" s="224">
        <f>M36-L36</f>
        <v>9</v>
      </c>
      <c r="P36" s="224">
        <f>L37-M36</f>
        <v>19</v>
      </c>
      <c r="Q36" s="424">
        <v>45758</v>
      </c>
      <c r="R36" s="385" t="s">
        <v>502</v>
      </c>
      <c r="S36" s="385" t="str">
        <f>N37</f>
        <v>CAT - I</v>
      </c>
      <c r="T36" s="385" t="s">
        <v>476</v>
      </c>
      <c r="U36" s="385"/>
    </row>
    <row r="37" spans="1:21" x14ac:dyDescent="0.3">
      <c r="A37" s="387"/>
      <c r="B37" s="387"/>
      <c r="C37" s="388"/>
      <c r="D37" s="389"/>
      <c r="E37" s="385"/>
      <c r="F37" s="385"/>
      <c r="G37" s="384"/>
      <c r="H37" s="384"/>
      <c r="I37" s="226"/>
      <c r="J37" s="227"/>
      <c r="K37" s="224" t="s">
        <v>472</v>
      </c>
      <c r="L37" s="225">
        <v>45755</v>
      </c>
      <c r="M37" s="225">
        <v>45758</v>
      </c>
      <c r="N37" s="224" t="s">
        <v>485</v>
      </c>
      <c r="O37" s="224">
        <f>M37-L37</f>
        <v>3</v>
      </c>
      <c r="P37" s="224"/>
      <c r="Q37" s="385"/>
      <c r="R37" s="385"/>
      <c r="S37" s="385"/>
      <c r="T37" s="385"/>
      <c r="U37" s="385"/>
    </row>
    <row r="38" spans="1:21" x14ac:dyDescent="0.3">
      <c r="A38" s="390">
        <v>7</v>
      </c>
      <c r="B38" s="390" t="s">
        <v>6</v>
      </c>
      <c r="C38" s="392" t="s">
        <v>511</v>
      </c>
      <c r="D38" s="409" t="s">
        <v>523</v>
      </c>
      <c r="E38" s="396" t="s">
        <v>524</v>
      </c>
      <c r="F38" s="396" t="s">
        <v>479</v>
      </c>
      <c r="G38" s="398">
        <v>45769</v>
      </c>
      <c r="H38" s="398">
        <f>L38</f>
        <v>45769</v>
      </c>
      <c r="I38" s="250"/>
      <c r="J38" s="227"/>
      <c r="K38" s="224" t="s">
        <v>470</v>
      </c>
      <c r="L38" s="225">
        <v>45769</v>
      </c>
      <c r="M38" s="225">
        <v>45779</v>
      </c>
      <c r="N38" s="224" t="s">
        <v>525</v>
      </c>
      <c r="O38" s="224">
        <f>M38-L38</f>
        <v>10</v>
      </c>
      <c r="P38" s="224">
        <f>L39-M38</f>
        <v>3</v>
      </c>
      <c r="Q38" s="400">
        <f>M38</f>
        <v>45779</v>
      </c>
      <c r="R38" s="396" t="s">
        <v>495</v>
      </c>
      <c r="S38" s="396" t="str">
        <f>N39</f>
        <v xml:space="preserve">CAT -IV </v>
      </c>
      <c r="T38" s="396" t="s">
        <v>399</v>
      </c>
      <c r="U38" s="396"/>
    </row>
    <row r="39" spans="1:21" x14ac:dyDescent="0.3">
      <c r="A39" s="410"/>
      <c r="B39" s="410"/>
      <c r="C39" s="411"/>
      <c r="D39" s="418"/>
      <c r="E39" s="413"/>
      <c r="F39" s="413"/>
      <c r="G39" s="417"/>
      <c r="H39" s="417"/>
      <c r="I39" s="251"/>
      <c r="J39" s="227"/>
      <c r="K39" s="224" t="s">
        <v>472</v>
      </c>
      <c r="L39" s="225">
        <v>45782</v>
      </c>
      <c r="M39" s="225">
        <v>45784</v>
      </c>
      <c r="N39" s="224" t="s">
        <v>525</v>
      </c>
      <c r="O39" s="224">
        <f>M39-L39</f>
        <v>2</v>
      </c>
      <c r="P39" s="224">
        <f>L41-M39</f>
        <v>41</v>
      </c>
      <c r="Q39" s="420"/>
      <c r="R39" s="413"/>
      <c r="S39" s="413"/>
      <c r="T39" s="413"/>
      <c r="U39" s="413"/>
    </row>
    <row r="40" spans="1:21" x14ac:dyDescent="0.3">
      <c r="A40" s="410"/>
      <c r="B40" s="410"/>
      <c r="C40" s="411"/>
      <c r="D40" s="418"/>
      <c r="E40" s="413"/>
      <c r="F40" s="413"/>
      <c r="G40" s="417"/>
      <c r="H40" s="417"/>
      <c r="I40" s="251"/>
      <c r="J40" s="227"/>
      <c r="K40" s="224" t="s">
        <v>474</v>
      </c>
      <c r="L40" s="225">
        <v>45805</v>
      </c>
      <c r="M40" s="225">
        <v>45807</v>
      </c>
      <c r="N40" s="224" t="s">
        <v>525</v>
      </c>
      <c r="O40" s="224">
        <f>M40-L40</f>
        <v>2</v>
      </c>
      <c r="P40" s="224"/>
      <c r="Q40" s="420"/>
      <c r="R40" s="413"/>
      <c r="S40" s="413"/>
      <c r="T40" s="413"/>
      <c r="U40" s="413"/>
    </row>
    <row r="41" spans="1:21" x14ac:dyDescent="0.3">
      <c r="A41" s="391"/>
      <c r="B41" s="391"/>
      <c r="C41" s="393"/>
      <c r="D41" s="419"/>
      <c r="E41" s="397"/>
      <c r="F41" s="397"/>
      <c r="G41" s="399"/>
      <c r="H41" s="399"/>
      <c r="I41" s="252"/>
      <c r="J41" s="227"/>
      <c r="K41" s="224" t="s">
        <v>475</v>
      </c>
      <c r="L41" s="225">
        <v>45825</v>
      </c>
      <c r="M41" s="225">
        <v>45825</v>
      </c>
      <c r="N41" s="224" t="s">
        <v>525</v>
      </c>
      <c r="O41" s="224"/>
      <c r="P41" s="224"/>
      <c r="Q41" s="401"/>
      <c r="R41" s="397"/>
      <c r="S41" s="397"/>
      <c r="T41" s="397"/>
      <c r="U41" s="397"/>
    </row>
    <row r="42" spans="1:21" ht="28" x14ac:dyDescent="0.3">
      <c r="A42" s="237">
        <v>8</v>
      </c>
      <c r="B42" s="237" t="s">
        <v>6</v>
      </c>
      <c r="C42" s="239" t="s">
        <v>511</v>
      </c>
      <c r="D42" s="263" t="s">
        <v>526</v>
      </c>
      <c r="E42" s="215" t="s">
        <v>527</v>
      </c>
      <c r="F42" s="213" t="s">
        <v>479</v>
      </c>
      <c r="G42" s="234">
        <v>45811</v>
      </c>
      <c r="H42" s="234">
        <f>L42</f>
        <v>45811</v>
      </c>
      <c r="I42" s="235"/>
      <c r="J42" s="241"/>
      <c r="K42" s="215" t="s">
        <v>470</v>
      </c>
      <c r="L42" s="242">
        <v>45811</v>
      </c>
      <c r="M42" s="242">
        <v>45818</v>
      </c>
      <c r="N42" s="215" t="s">
        <v>480</v>
      </c>
      <c r="O42" s="215">
        <f ca="1">O1-L42</f>
        <v>34</v>
      </c>
      <c r="P42" s="215"/>
      <c r="Q42" s="215"/>
      <c r="R42" s="215" t="s">
        <v>502</v>
      </c>
      <c r="S42" s="215" t="str">
        <f>N42</f>
        <v>CAT -IV R</v>
      </c>
      <c r="T42" s="215" t="s">
        <v>476</v>
      </c>
      <c r="U42" s="215"/>
    </row>
    <row r="43" spans="1:21" ht="28" x14ac:dyDescent="0.3">
      <c r="A43" s="237">
        <v>9</v>
      </c>
      <c r="B43" s="237" t="s">
        <v>6</v>
      </c>
      <c r="C43" s="239" t="s">
        <v>511</v>
      </c>
      <c r="D43" s="264" t="s">
        <v>528</v>
      </c>
      <c r="E43" s="215" t="s">
        <v>529</v>
      </c>
      <c r="F43" s="213" t="s">
        <v>479</v>
      </c>
      <c r="G43" s="234">
        <v>45824</v>
      </c>
      <c r="H43" s="234">
        <v>45836</v>
      </c>
      <c r="I43" s="235"/>
      <c r="J43" s="241"/>
      <c r="K43" s="215"/>
      <c r="L43" s="265"/>
      <c r="M43" s="242"/>
      <c r="N43" s="215"/>
      <c r="O43" s="215"/>
      <c r="P43" s="215"/>
      <c r="Q43" s="215"/>
      <c r="R43" s="215"/>
      <c r="S43" s="215"/>
      <c r="T43" s="215"/>
      <c r="U43" s="215"/>
    </row>
    <row r="44" spans="1:21" ht="14.15" customHeight="1" x14ac:dyDescent="0.3">
      <c r="A44" s="428">
        <v>1</v>
      </c>
      <c r="B44" s="404" t="s">
        <v>6</v>
      </c>
      <c r="C44" s="405" t="s">
        <v>530</v>
      </c>
      <c r="D44" s="431" t="s">
        <v>531</v>
      </c>
      <c r="E44" s="407" t="s">
        <v>532</v>
      </c>
      <c r="F44" s="407" t="s">
        <v>469</v>
      </c>
      <c r="G44" s="421">
        <v>45763</v>
      </c>
      <c r="H44" s="421">
        <f>L44</f>
        <v>45763</v>
      </c>
      <c r="I44" s="243"/>
      <c r="J44" s="241"/>
      <c r="K44" s="215" t="s">
        <v>470</v>
      </c>
      <c r="L44" s="242">
        <v>45763</v>
      </c>
      <c r="M44" s="242">
        <v>45784</v>
      </c>
      <c r="N44" s="215" t="s">
        <v>471</v>
      </c>
      <c r="O44" s="215">
        <f>M44-L44</f>
        <v>21</v>
      </c>
      <c r="P44" s="215">
        <f>L47-M44</f>
        <v>41</v>
      </c>
      <c r="Q44" s="215"/>
      <c r="R44" s="425" t="s">
        <v>495</v>
      </c>
      <c r="S44" s="425" t="str">
        <f>N44</f>
        <v>CAT - III</v>
      </c>
      <c r="T44" s="425" t="s">
        <v>473</v>
      </c>
      <c r="U44" s="425"/>
    </row>
    <row r="45" spans="1:21" x14ac:dyDescent="0.3">
      <c r="A45" s="429"/>
      <c r="B45" s="404"/>
      <c r="C45" s="405"/>
      <c r="D45" s="431"/>
      <c r="E45" s="407"/>
      <c r="F45" s="407"/>
      <c r="G45" s="422"/>
      <c r="H45" s="422"/>
      <c r="I45" s="243"/>
      <c r="J45" s="241"/>
      <c r="K45" s="215" t="s">
        <v>472</v>
      </c>
      <c r="L45" s="242">
        <v>45791</v>
      </c>
      <c r="M45" s="242">
        <v>45800</v>
      </c>
      <c r="N45" s="215"/>
      <c r="O45" s="215"/>
      <c r="P45" s="215"/>
      <c r="Q45" s="215"/>
      <c r="R45" s="426"/>
      <c r="S45" s="426"/>
      <c r="T45" s="426"/>
      <c r="U45" s="426"/>
    </row>
    <row r="46" spans="1:21" x14ac:dyDescent="0.3">
      <c r="A46" s="429"/>
      <c r="B46" s="404"/>
      <c r="C46" s="405"/>
      <c r="D46" s="431"/>
      <c r="E46" s="407"/>
      <c r="F46" s="407"/>
      <c r="G46" s="422"/>
      <c r="H46" s="422"/>
      <c r="I46" s="243"/>
      <c r="J46" s="241"/>
      <c r="K46" s="215" t="s">
        <v>474</v>
      </c>
      <c r="L46" s="242">
        <v>45816</v>
      </c>
      <c r="M46" s="242">
        <v>45821</v>
      </c>
      <c r="N46" s="215"/>
      <c r="O46" s="215"/>
      <c r="P46" s="215"/>
      <c r="Q46" s="215"/>
      <c r="R46" s="426"/>
      <c r="S46" s="426"/>
      <c r="T46" s="426"/>
      <c r="U46" s="426"/>
    </row>
    <row r="47" spans="1:21" x14ac:dyDescent="0.3">
      <c r="A47" s="430"/>
      <c r="B47" s="404"/>
      <c r="C47" s="405"/>
      <c r="D47" s="431"/>
      <c r="E47" s="407"/>
      <c r="F47" s="407"/>
      <c r="G47" s="423"/>
      <c r="H47" s="423"/>
      <c r="I47" s="243"/>
      <c r="J47" s="241"/>
      <c r="K47" s="215" t="s">
        <v>475</v>
      </c>
      <c r="L47" s="242">
        <v>45825</v>
      </c>
      <c r="M47" s="242">
        <v>45827</v>
      </c>
      <c r="N47" s="215" t="s">
        <v>494</v>
      </c>
      <c r="O47" s="215"/>
      <c r="P47" s="215"/>
      <c r="Q47" s="215"/>
      <c r="R47" s="427"/>
      <c r="S47" s="427"/>
      <c r="T47" s="427"/>
      <c r="U47" s="427"/>
    </row>
    <row r="48" spans="1:21" ht="28" x14ac:dyDescent="0.3">
      <c r="A48" s="237">
        <v>2</v>
      </c>
      <c r="B48" s="238" t="s">
        <v>6</v>
      </c>
      <c r="C48" s="239" t="s">
        <v>530</v>
      </c>
      <c r="D48" s="240" t="s">
        <v>533</v>
      </c>
      <c r="E48" s="215" t="s">
        <v>534</v>
      </c>
      <c r="F48" s="213" t="s">
        <v>469</v>
      </c>
      <c r="G48" s="234">
        <v>45868</v>
      </c>
      <c r="H48" s="234">
        <f t="shared" ref="H48:H55" si="0">G48</f>
        <v>45868</v>
      </c>
      <c r="I48" s="235" t="s">
        <v>535</v>
      </c>
      <c r="J48" s="241"/>
      <c r="K48" s="215"/>
      <c r="L48" s="242"/>
      <c r="M48" s="242"/>
      <c r="N48" s="215"/>
      <c r="O48" s="215"/>
      <c r="P48" s="215"/>
      <c r="Q48" s="215"/>
      <c r="R48" s="215"/>
      <c r="S48" s="215"/>
      <c r="T48" s="215"/>
      <c r="U48" s="215"/>
    </row>
    <row r="49" spans="1:21" ht="28" x14ac:dyDescent="0.3">
      <c r="A49" s="237">
        <v>3</v>
      </c>
      <c r="B49" s="238" t="s">
        <v>6</v>
      </c>
      <c r="C49" s="239" t="s">
        <v>530</v>
      </c>
      <c r="D49" s="240" t="s">
        <v>536</v>
      </c>
      <c r="E49" s="215" t="s">
        <v>537</v>
      </c>
      <c r="F49" s="215" t="s">
        <v>469</v>
      </c>
      <c r="G49" s="242">
        <v>45843</v>
      </c>
      <c r="H49" s="242">
        <f t="shared" si="0"/>
        <v>45843</v>
      </c>
      <c r="I49" s="243"/>
      <c r="J49" s="241"/>
      <c r="K49" s="215"/>
      <c r="L49" s="242"/>
      <c r="M49" s="242"/>
      <c r="N49" s="215"/>
      <c r="O49" s="215"/>
      <c r="P49" s="215"/>
      <c r="Q49" s="215"/>
      <c r="R49" s="215"/>
      <c r="S49" s="215"/>
      <c r="T49" s="215"/>
      <c r="U49" s="215"/>
    </row>
    <row r="50" spans="1:21" ht="28" x14ac:dyDescent="0.3">
      <c r="A50" s="237">
        <v>4</v>
      </c>
      <c r="B50" s="238" t="s">
        <v>6</v>
      </c>
      <c r="C50" s="239" t="s">
        <v>530</v>
      </c>
      <c r="D50" s="240" t="s">
        <v>538</v>
      </c>
      <c r="E50" s="215" t="s">
        <v>539</v>
      </c>
      <c r="F50" s="215" t="s">
        <v>469</v>
      </c>
      <c r="G50" s="242">
        <v>45838</v>
      </c>
      <c r="H50" s="242">
        <f t="shared" si="0"/>
        <v>45838</v>
      </c>
      <c r="I50" s="243"/>
      <c r="J50" s="241"/>
      <c r="K50" s="215"/>
      <c r="L50" s="242"/>
      <c r="M50" s="242"/>
      <c r="N50" s="215"/>
      <c r="O50" s="215"/>
      <c r="P50" s="215"/>
      <c r="Q50" s="215"/>
      <c r="R50" s="215"/>
      <c r="S50" s="215"/>
      <c r="T50" s="215"/>
      <c r="U50" s="215"/>
    </row>
    <row r="51" spans="1:21" ht="42" x14ac:dyDescent="0.3">
      <c r="A51" s="237">
        <v>5</v>
      </c>
      <c r="B51" s="238" t="s">
        <v>6</v>
      </c>
      <c r="C51" s="239" t="s">
        <v>530</v>
      </c>
      <c r="D51" s="240" t="s">
        <v>540</v>
      </c>
      <c r="E51" s="215" t="s">
        <v>541</v>
      </c>
      <c r="F51" s="215" t="s">
        <v>469</v>
      </c>
      <c r="G51" s="242">
        <v>45874</v>
      </c>
      <c r="H51" s="242">
        <f t="shared" si="0"/>
        <v>45874</v>
      </c>
      <c r="I51" s="243"/>
      <c r="J51" s="241"/>
      <c r="K51" s="215"/>
      <c r="L51" s="242"/>
      <c r="M51" s="242"/>
      <c r="N51" s="215"/>
      <c r="O51" s="215"/>
      <c r="P51" s="215"/>
      <c r="Q51" s="215"/>
      <c r="R51" s="215"/>
      <c r="S51" s="215"/>
      <c r="T51" s="215"/>
      <c r="U51" s="215"/>
    </row>
    <row r="52" spans="1:21" x14ac:dyDescent="0.3">
      <c r="A52" s="237">
        <v>6</v>
      </c>
      <c r="B52" s="238" t="s">
        <v>6</v>
      </c>
      <c r="C52" s="239" t="s">
        <v>530</v>
      </c>
      <c r="D52" s="240" t="s">
        <v>542</v>
      </c>
      <c r="E52" s="215" t="s">
        <v>543</v>
      </c>
      <c r="F52" s="215" t="s">
        <v>469</v>
      </c>
      <c r="G52" s="242">
        <v>45905</v>
      </c>
      <c r="H52" s="242">
        <f t="shared" si="0"/>
        <v>45905</v>
      </c>
      <c r="I52" s="243"/>
      <c r="J52" s="241"/>
      <c r="K52" s="215"/>
      <c r="L52" s="242"/>
      <c r="M52" s="242"/>
      <c r="N52" s="215"/>
      <c r="O52" s="215"/>
      <c r="P52" s="215"/>
      <c r="Q52" s="215"/>
      <c r="R52" s="215"/>
      <c r="S52" s="215"/>
      <c r="T52" s="215"/>
      <c r="U52" s="215"/>
    </row>
    <row r="53" spans="1:21" x14ac:dyDescent="0.3">
      <c r="A53" s="237">
        <v>7</v>
      </c>
      <c r="B53" s="238" t="s">
        <v>6</v>
      </c>
      <c r="C53" s="239" t="s">
        <v>530</v>
      </c>
      <c r="D53" s="240" t="s">
        <v>544</v>
      </c>
      <c r="E53" s="215" t="s">
        <v>545</v>
      </c>
      <c r="F53" s="215" t="s">
        <v>469</v>
      </c>
      <c r="G53" s="242">
        <v>45908</v>
      </c>
      <c r="H53" s="242">
        <f t="shared" si="0"/>
        <v>45908</v>
      </c>
      <c r="I53" s="243"/>
      <c r="J53" s="241"/>
      <c r="K53" s="215"/>
      <c r="L53" s="242"/>
      <c r="M53" s="242"/>
      <c r="N53" s="215"/>
      <c r="O53" s="215"/>
      <c r="P53" s="215"/>
      <c r="Q53" s="215"/>
      <c r="R53" s="215"/>
      <c r="S53" s="215"/>
      <c r="T53" s="215"/>
      <c r="U53" s="215"/>
    </row>
    <row r="54" spans="1:21" ht="28" x14ac:dyDescent="0.3">
      <c r="A54" s="237">
        <v>8</v>
      </c>
      <c r="B54" s="238" t="s">
        <v>6</v>
      </c>
      <c r="C54" s="239" t="s">
        <v>530</v>
      </c>
      <c r="D54" s="240" t="s">
        <v>546</v>
      </c>
      <c r="E54" s="215" t="s">
        <v>547</v>
      </c>
      <c r="F54" s="215" t="s">
        <v>469</v>
      </c>
      <c r="G54" s="242">
        <v>45858</v>
      </c>
      <c r="H54" s="242">
        <f t="shared" si="0"/>
        <v>45858</v>
      </c>
      <c r="I54" s="243"/>
      <c r="J54" s="241"/>
      <c r="K54" s="215"/>
      <c r="L54" s="242"/>
      <c r="M54" s="242"/>
      <c r="N54" s="215"/>
      <c r="O54" s="215"/>
      <c r="P54" s="215"/>
      <c r="Q54" s="215"/>
      <c r="R54" s="215"/>
      <c r="S54" s="215"/>
      <c r="T54" s="215"/>
      <c r="U54" s="215"/>
    </row>
    <row r="55" spans="1:21" ht="28" x14ac:dyDescent="0.3">
      <c r="A55" s="237">
        <v>9</v>
      </c>
      <c r="B55" s="238" t="s">
        <v>6</v>
      </c>
      <c r="C55" s="239" t="s">
        <v>530</v>
      </c>
      <c r="D55" s="240" t="s">
        <v>548</v>
      </c>
      <c r="E55" s="215" t="s">
        <v>549</v>
      </c>
      <c r="F55" s="215" t="s">
        <v>469</v>
      </c>
      <c r="G55" s="242">
        <v>45868</v>
      </c>
      <c r="H55" s="242">
        <f t="shared" si="0"/>
        <v>45868</v>
      </c>
      <c r="I55" s="243"/>
      <c r="J55" s="241"/>
      <c r="K55" s="215"/>
      <c r="L55" s="242"/>
      <c r="M55" s="242"/>
      <c r="N55" s="215"/>
      <c r="O55" s="215"/>
      <c r="P55" s="215"/>
      <c r="Q55" s="215"/>
      <c r="R55" s="215"/>
      <c r="S55" s="215"/>
      <c r="T55" s="215"/>
      <c r="U55" s="215"/>
    </row>
    <row r="56" spans="1:21" x14ac:dyDescent="0.3">
      <c r="A56" s="237">
        <v>1</v>
      </c>
      <c r="B56" s="238" t="s">
        <v>6</v>
      </c>
      <c r="C56" s="239" t="s">
        <v>550</v>
      </c>
      <c r="D56" s="240" t="s">
        <v>551</v>
      </c>
      <c r="E56" s="215" t="s">
        <v>552</v>
      </c>
      <c r="F56" s="215" t="s">
        <v>469</v>
      </c>
      <c r="G56" s="242">
        <v>45825</v>
      </c>
      <c r="H56" s="242">
        <v>45836</v>
      </c>
      <c r="I56" s="243"/>
      <c r="J56" s="241"/>
      <c r="K56" s="215"/>
      <c r="L56" s="242"/>
      <c r="M56" s="242"/>
      <c r="N56" s="215"/>
      <c r="O56" s="215"/>
      <c r="P56" s="215"/>
      <c r="Q56" s="215"/>
      <c r="R56" s="215"/>
      <c r="S56" s="215"/>
      <c r="T56" s="215"/>
      <c r="U56" s="215"/>
    </row>
    <row r="57" spans="1:21" ht="28" x14ac:dyDescent="0.3">
      <c r="A57" s="237">
        <v>2</v>
      </c>
      <c r="B57" s="238" t="s">
        <v>6</v>
      </c>
      <c r="C57" s="239" t="s">
        <v>550</v>
      </c>
      <c r="D57" s="240" t="s">
        <v>553</v>
      </c>
      <c r="E57" s="215" t="s">
        <v>554</v>
      </c>
      <c r="F57" s="215" t="s">
        <v>469</v>
      </c>
      <c r="G57" s="242">
        <v>45825</v>
      </c>
      <c r="H57" s="242">
        <v>45836</v>
      </c>
      <c r="I57" s="243"/>
      <c r="J57" s="241"/>
      <c r="K57" s="215"/>
      <c r="L57" s="242"/>
      <c r="M57" s="242"/>
      <c r="N57" s="215"/>
      <c r="O57" s="215"/>
      <c r="P57" s="215"/>
      <c r="Q57" s="215"/>
      <c r="R57" s="215"/>
      <c r="S57" s="215"/>
      <c r="T57" s="215"/>
      <c r="U57" s="215"/>
    </row>
    <row r="58" spans="1:21" ht="28" x14ac:dyDescent="0.3">
      <c r="A58" s="237">
        <v>3</v>
      </c>
      <c r="B58" s="238" t="s">
        <v>6</v>
      </c>
      <c r="C58" s="239" t="s">
        <v>550</v>
      </c>
      <c r="D58" s="240" t="s">
        <v>555</v>
      </c>
      <c r="E58" s="215" t="s">
        <v>556</v>
      </c>
      <c r="F58" s="215" t="s">
        <v>469</v>
      </c>
      <c r="G58" s="242">
        <v>45828</v>
      </c>
      <c r="H58" s="242">
        <v>45836</v>
      </c>
      <c r="I58" s="243"/>
      <c r="J58" s="241"/>
      <c r="K58" s="215"/>
      <c r="L58" s="242"/>
      <c r="M58" s="242"/>
      <c r="N58" s="215"/>
      <c r="O58" s="215"/>
      <c r="P58" s="215"/>
      <c r="Q58" s="215"/>
      <c r="R58" s="215"/>
      <c r="S58" s="215"/>
      <c r="T58" s="215"/>
      <c r="U58" s="215"/>
    </row>
    <row r="59" spans="1:21" ht="28" x14ac:dyDescent="0.3">
      <c r="A59" s="237">
        <v>4</v>
      </c>
      <c r="B59" s="238" t="s">
        <v>6</v>
      </c>
      <c r="C59" s="239" t="s">
        <v>550</v>
      </c>
      <c r="D59" s="240" t="s">
        <v>557</v>
      </c>
      <c r="E59" s="215" t="s">
        <v>558</v>
      </c>
      <c r="F59" s="215" t="s">
        <v>469</v>
      </c>
      <c r="G59" s="242">
        <v>45823</v>
      </c>
      <c r="H59" s="242">
        <v>45836</v>
      </c>
      <c r="I59" s="243"/>
      <c r="J59" s="241"/>
      <c r="K59" s="215"/>
      <c r="L59" s="242"/>
      <c r="M59" s="242"/>
      <c r="N59" s="215"/>
      <c r="O59" s="215"/>
      <c r="P59" s="215"/>
      <c r="Q59" s="215"/>
      <c r="R59" s="215"/>
      <c r="S59" s="215"/>
      <c r="T59" s="215"/>
      <c r="U59" s="215"/>
    </row>
    <row r="60" spans="1:21" ht="28" x14ac:dyDescent="0.3">
      <c r="A60" s="237">
        <v>5</v>
      </c>
      <c r="B60" s="238" t="s">
        <v>6</v>
      </c>
      <c r="C60" s="239" t="s">
        <v>550</v>
      </c>
      <c r="D60" s="240" t="s">
        <v>559</v>
      </c>
      <c r="E60" s="215" t="s">
        <v>560</v>
      </c>
      <c r="F60" s="215" t="s">
        <v>469</v>
      </c>
      <c r="G60" s="242">
        <v>45833</v>
      </c>
      <c r="H60" s="242">
        <v>45836</v>
      </c>
      <c r="I60" s="243"/>
      <c r="J60" s="241"/>
      <c r="K60" s="215"/>
      <c r="L60" s="242"/>
      <c r="M60" s="242"/>
      <c r="N60" s="215"/>
      <c r="O60" s="215"/>
      <c r="P60" s="215"/>
      <c r="Q60" s="215"/>
      <c r="R60" s="215"/>
      <c r="S60" s="215"/>
      <c r="T60" s="215"/>
      <c r="U60" s="215"/>
    </row>
    <row r="61" spans="1:21" ht="28" x14ac:dyDescent="0.3">
      <c r="A61" s="237">
        <v>6</v>
      </c>
      <c r="B61" s="238" t="s">
        <v>6</v>
      </c>
      <c r="C61" s="239" t="s">
        <v>550</v>
      </c>
      <c r="D61" s="300" t="s">
        <v>561</v>
      </c>
      <c r="E61" s="215" t="s">
        <v>562</v>
      </c>
      <c r="F61" s="215" t="s">
        <v>469</v>
      </c>
      <c r="G61" s="242">
        <v>45840</v>
      </c>
      <c r="H61" s="268">
        <v>45840</v>
      </c>
      <c r="I61" s="243"/>
      <c r="J61" s="241"/>
      <c r="K61" s="215"/>
      <c r="L61" s="242"/>
      <c r="M61" s="242"/>
      <c r="N61" s="215"/>
      <c r="O61" s="215"/>
      <c r="P61" s="215"/>
      <c r="Q61" s="215"/>
      <c r="R61" s="215"/>
      <c r="S61" s="215"/>
      <c r="T61" s="215"/>
      <c r="U61" s="215"/>
    </row>
    <row r="62" spans="1:21" ht="28" x14ac:dyDescent="0.3">
      <c r="A62" s="237">
        <v>7</v>
      </c>
      <c r="B62" s="237" t="s">
        <v>6</v>
      </c>
      <c r="C62" s="239" t="s">
        <v>550</v>
      </c>
      <c r="D62" s="263" t="s">
        <v>563</v>
      </c>
      <c r="E62" s="215" t="s">
        <v>564</v>
      </c>
      <c r="F62" s="213" t="s">
        <v>469</v>
      </c>
      <c r="G62" s="234">
        <v>45836</v>
      </c>
      <c r="H62" s="268">
        <v>45836</v>
      </c>
      <c r="I62" s="235"/>
      <c r="J62" s="241"/>
      <c r="K62" s="215"/>
      <c r="L62" s="242"/>
      <c r="M62" s="242"/>
      <c r="N62" s="215"/>
      <c r="O62" s="215"/>
      <c r="P62" s="215"/>
      <c r="Q62" s="215"/>
      <c r="R62" s="215"/>
      <c r="S62" s="215"/>
      <c r="T62" s="215"/>
      <c r="U62" s="215"/>
    </row>
    <row r="63" spans="1:21" ht="28" x14ac:dyDescent="0.3">
      <c r="A63" s="269">
        <v>8</v>
      </c>
      <c r="B63" s="237" t="s">
        <v>6</v>
      </c>
      <c r="C63" s="239" t="s">
        <v>550</v>
      </c>
      <c r="D63" s="301" t="s">
        <v>565</v>
      </c>
      <c r="E63" s="215" t="s">
        <v>566</v>
      </c>
      <c r="F63" s="213" t="s">
        <v>469</v>
      </c>
      <c r="G63" s="234">
        <v>45840</v>
      </c>
      <c r="H63" s="234">
        <v>45852</v>
      </c>
      <c r="I63" s="235"/>
      <c r="J63" s="241"/>
      <c r="K63" s="215"/>
      <c r="L63" s="242"/>
      <c r="M63" s="242"/>
      <c r="N63" s="215"/>
      <c r="O63" s="215"/>
      <c r="P63" s="215"/>
      <c r="Q63" s="215"/>
      <c r="R63" s="215"/>
      <c r="S63" s="215"/>
      <c r="T63" s="215"/>
      <c r="U63" s="215"/>
    </row>
    <row r="64" spans="1:21" ht="28" x14ac:dyDescent="0.3">
      <c r="A64" s="269">
        <v>9</v>
      </c>
      <c r="B64" s="238" t="s">
        <v>6</v>
      </c>
      <c r="C64" s="239" t="s">
        <v>550</v>
      </c>
      <c r="D64" s="300" t="s">
        <v>567</v>
      </c>
      <c r="E64" s="215" t="s">
        <v>568</v>
      </c>
      <c r="F64" s="213" t="s">
        <v>469</v>
      </c>
      <c r="G64" s="234">
        <v>45843</v>
      </c>
      <c r="H64" s="234">
        <v>45843</v>
      </c>
      <c r="I64" s="235"/>
      <c r="J64" s="241"/>
      <c r="K64" s="215"/>
      <c r="L64" s="242"/>
      <c r="M64" s="242"/>
      <c r="N64" s="215"/>
      <c r="O64" s="215"/>
      <c r="P64" s="215"/>
      <c r="Q64" s="215"/>
      <c r="R64" s="215"/>
      <c r="S64" s="215"/>
      <c r="T64" s="215"/>
      <c r="U64" s="215"/>
    </row>
    <row r="65" spans="1:21" x14ac:dyDescent="0.3">
      <c r="A65" s="269">
        <v>1</v>
      </c>
      <c r="B65" s="237" t="s">
        <v>6</v>
      </c>
      <c r="C65" s="270" t="s">
        <v>569</v>
      </c>
      <c r="D65" s="263" t="s">
        <v>570</v>
      </c>
      <c r="E65" s="215" t="s">
        <v>571</v>
      </c>
      <c r="F65" s="213" t="s">
        <v>479</v>
      </c>
      <c r="G65" s="234">
        <v>45828</v>
      </c>
      <c r="H65" s="234">
        <v>45839</v>
      </c>
      <c r="I65" s="235"/>
      <c r="J65" s="241"/>
      <c r="K65" s="215"/>
      <c r="L65" s="242"/>
      <c r="M65" s="242"/>
      <c r="N65" s="215"/>
      <c r="O65" s="215"/>
      <c r="P65" s="215"/>
      <c r="Q65" s="215"/>
      <c r="R65" s="215"/>
      <c r="S65" s="215"/>
      <c r="T65" s="215"/>
      <c r="U65" s="215"/>
    </row>
    <row r="66" spans="1:21" x14ac:dyDescent="0.3">
      <c r="A66" s="237">
        <v>2</v>
      </c>
      <c r="B66" s="237" t="s">
        <v>6</v>
      </c>
      <c r="C66" s="270" t="s">
        <v>569</v>
      </c>
      <c r="D66" s="263" t="s">
        <v>572</v>
      </c>
      <c r="E66" s="215" t="s">
        <v>573</v>
      </c>
      <c r="F66" s="213" t="s">
        <v>479</v>
      </c>
      <c r="G66" s="234">
        <v>45833</v>
      </c>
      <c r="H66" s="234">
        <v>45839</v>
      </c>
      <c r="I66" s="235"/>
      <c r="J66" s="241"/>
      <c r="K66" s="215"/>
      <c r="L66" s="242"/>
      <c r="M66" s="242"/>
      <c r="N66" s="215"/>
      <c r="O66" s="215"/>
      <c r="P66" s="215"/>
      <c r="Q66" s="215"/>
      <c r="R66" s="215"/>
      <c r="S66" s="215"/>
      <c r="T66" s="215"/>
      <c r="U66" s="215"/>
    </row>
    <row r="67" spans="1:21" ht="30" customHeight="1" x14ac:dyDescent="0.3">
      <c r="A67" s="428">
        <v>3</v>
      </c>
      <c r="B67" s="237" t="s">
        <v>6</v>
      </c>
      <c r="C67" s="432" t="s">
        <v>569</v>
      </c>
      <c r="D67" s="434" t="s">
        <v>574</v>
      </c>
      <c r="E67" s="425" t="s">
        <v>575</v>
      </c>
      <c r="F67" s="436" t="s">
        <v>479</v>
      </c>
      <c r="G67" s="438">
        <v>45738</v>
      </c>
      <c r="H67" s="438">
        <f>L67</f>
        <v>45799</v>
      </c>
      <c r="I67" s="440"/>
      <c r="J67" s="442"/>
      <c r="K67" s="215" t="s">
        <v>470</v>
      </c>
      <c r="L67" s="242">
        <v>45799</v>
      </c>
      <c r="M67" s="242">
        <v>45800</v>
      </c>
      <c r="N67" s="215" t="s">
        <v>480</v>
      </c>
      <c r="O67" s="215">
        <f>M67-L67</f>
        <v>1</v>
      </c>
      <c r="P67" s="215">
        <f>L68-M67</f>
        <v>15</v>
      </c>
      <c r="Q67" s="425"/>
      <c r="R67" s="425" t="s">
        <v>502</v>
      </c>
      <c r="S67" s="425" t="str">
        <f>N68</f>
        <v>CAT -IV R</v>
      </c>
      <c r="T67" s="425" t="s">
        <v>476</v>
      </c>
      <c r="U67" s="425">
        <f ca="1">U1-M67</f>
        <v>45</v>
      </c>
    </row>
    <row r="68" spans="1:21" x14ac:dyDescent="0.3">
      <c r="A68" s="430"/>
      <c r="B68" s="237"/>
      <c r="C68" s="433"/>
      <c r="D68" s="435"/>
      <c r="E68" s="427"/>
      <c r="F68" s="437"/>
      <c r="G68" s="439"/>
      <c r="H68" s="439"/>
      <c r="I68" s="441"/>
      <c r="J68" s="443"/>
      <c r="K68" s="215" t="s">
        <v>472</v>
      </c>
      <c r="L68" s="242">
        <v>45815</v>
      </c>
      <c r="M68" s="242">
        <v>45826</v>
      </c>
      <c r="N68" s="215" t="s">
        <v>480</v>
      </c>
      <c r="O68" s="215">
        <f ca="1">O1-L68</f>
        <v>30</v>
      </c>
      <c r="P68" s="215"/>
      <c r="Q68" s="427"/>
      <c r="R68" s="427"/>
      <c r="S68" s="427"/>
      <c r="T68" s="427"/>
      <c r="U68" s="427"/>
    </row>
    <row r="69" spans="1:21" ht="14.15" customHeight="1" x14ac:dyDescent="0.3">
      <c r="A69" s="428">
        <v>4</v>
      </c>
      <c r="B69" s="387" t="s">
        <v>6</v>
      </c>
      <c r="C69" s="388" t="s">
        <v>569</v>
      </c>
      <c r="D69" s="389" t="s">
        <v>576</v>
      </c>
      <c r="E69" s="385" t="s">
        <v>577</v>
      </c>
      <c r="F69" s="385" t="s">
        <v>469</v>
      </c>
      <c r="G69" s="384">
        <v>45719</v>
      </c>
      <c r="H69" s="384">
        <f>L69</f>
        <v>45719</v>
      </c>
      <c r="I69" s="226"/>
      <c r="J69" s="227"/>
      <c r="K69" s="224" t="s">
        <v>470</v>
      </c>
      <c r="L69" s="225">
        <v>45719</v>
      </c>
      <c r="M69" s="225">
        <v>45721</v>
      </c>
      <c r="N69" s="224" t="s">
        <v>471</v>
      </c>
      <c r="O69" s="224">
        <f>M69-L69</f>
        <v>2</v>
      </c>
      <c r="P69" s="224">
        <f>L70-M69</f>
        <v>15</v>
      </c>
      <c r="Q69" s="402">
        <f>M71</f>
        <v>45800</v>
      </c>
      <c r="R69" s="385" t="str">
        <f>T69</f>
        <v>Approved</v>
      </c>
      <c r="S69" s="385" t="str">
        <f>N70</f>
        <v>CAT - I</v>
      </c>
      <c r="T69" s="385" t="s">
        <v>399</v>
      </c>
      <c r="U69" s="385">
        <f>M71-L71</f>
        <v>1</v>
      </c>
    </row>
    <row r="70" spans="1:21" x14ac:dyDescent="0.3">
      <c r="A70" s="429"/>
      <c r="B70" s="387"/>
      <c r="C70" s="388"/>
      <c r="D70" s="389"/>
      <c r="E70" s="385"/>
      <c r="F70" s="385"/>
      <c r="G70" s="384"/>
      <c r="H70" s="384"/>
      <c r="I70" s="226"/>
      <c r="J70" s="227"/>
      <c r="K70" s="224" t="s">
        <v>472</v>
      </c>
      <c r="L70" s="225">
        <v>45736</v>
      </c>
      <c r="M70" s="225">
        <v>45738</v>
      </c>
      <c r="N70" s="224" t="s">
        <v>485</v>
      </c>
      <c r="O70" s="224">
        <f>M70-L70</f>
        <v>2</v>
      </c>
      <c r="P70" s="224">
        <f>L71-M70</f>
        <v>61</v>
      </c>
      <c r="Q70" s="402"/>
      <c r="R70" s="385"/>
      <c r="S70" s="385"/>
      <c r="T70" s="385"/>
      <c r="U70" s="385"/>
    </row>
    <row r="71" spans="1:21" x14ac:dyDescent="0.3">
      <c r="A71" s="430"/>
      <c r="B71" s="387"/>
      <c r="C71" s="388"/>
      <c r="D71" s="389"/>
      <c r="E71" s="385"/>
      <c r="F71" s="385"/>
      <c r="G71" s="384"/>
      <c r="H71" s="384"/>
      <c r="I71" s="226"/>
      <c r="J71" s="227"/>
      <c r="K71" s="224" t="s">
        <v>474</v>
      </c>
      <c r="L71" s="225">
        <v>45799</v>
      </c>
      <c r="M71" s="225">
        <v>45800</v>
      </c>
      <c r="N71" s="224" t="s">
        <v>485</v>
      </c>
      <c r="O71" s="224">
        <f>M71-L71</f>
        <v>1</v>
      </c>
      <c r="P71" s="224"/>
      <c r="Q71" s="402"/>
      <c r="R71" s="385"/>
      <c r="S71" s="385"/>
      <c r="T71" s="385"/>
      <c r="U71" s="385"/>
    </row>
    <row r="72" spans="1:21" x14ac:dyDescent="0.3">
      <c r="A72" s="237">
        <v>5</v>
      </c>
      <c r="B72" s="238" t="s">
        <v>6</v>
      </c>
      <c r="C72" s="239" t="s">
        <v>569</v>
      </c>
      <c r="D72" s="240" t="s">
        <v>578</v>
      </c>
      <c r="E72" s="215" t="s">
        <v>579</v>
      </c>
      <c r="F72" s="215" t="s">
        <v>469</v>
      </c>
      <c r="G72" s="242">
        <v>45853</v>
      </c>
      <c r="H72" s="242">
        <v>45853</v>
      </c>
      <c r="I72" s="243"/>
      <c r="J72" s="241"/>
      <c r="K72" s="215"/>
      <c r="L72" s="242"/>
      <c r="M72" s="242"/>
      <c r="N72" s="215"/>
      <c r="O72" s="215"/>
      <c r="P72" s="215"/>
      <c r="Q72" s="215"/>
      <c r="R72" s="215"/>
      <c r="S72" s="215"/>
      <c r="T72" s="215"/>
      <c r="U72" s="215"/>
    </row>
    <row r="73" spans="1:21" ht="28" x14ac:dyDescent="0.3">
      <c r="A73" s="237">
        <v>6</v>
      </c>
      <c r="B73" s="238" t="s">
        <v>6</v>
      </c>
      <c r="C73" s="239" t="s">
        <v>569</v>
      </c>
      <c r="D73" s="263" t="s">
        <v>388</v>
      </c>
      <c r="E73" s="215" t="s">
        <v>580</v>
      </c>
      <c r="F73" s="215" t="s">
        <v>469</v>
      </c>
      <c r="G73" s="242">
        <v>45795</v>
      </c>
      <c r="H73" s="242">
        <v>45848</v>
      </c>
      <c r="I73" s="243"/>
      <c r="J73" s="241"/>
      <c r="K73" s="215"/>
      <c r="L73" s="242"/>
      <c r="M73" s="242"/>
      <c r="N73" s="215"/>
      <c r="O73" s="215"/>
      <c r="P73" s="215"/>
      <c r="Q73" s="215"/>
      <c r="R73" s="215"/>
      <c r="S73" s="215"/>
      <c r="T73" s="215"/>
      <c r="U73" s="215"/>
    </row>
    <row r="74" spans="1:21" x14ac:dyDescent="0.3">
      <c r="A74" s="237">
        <v>7</v>
      </c>
      <c r="B74" s="238" t="s">
        <v>6</v>
      </c>
      <c r="C74" s="239" t="s">
        <v>569</v>
      </c>
      <c r="D74" s="240" t="s">
        <v>581</v>
      </c>
      <c r="E74" s="215" t="s">
        <v>582</v>
      </c>
      <c r="F74" s="215" t="s">
        <v>469</v>
      </c>
      <c r="G74" s="242">
        <v>45858</v>
      </c>
      <c r="H74" s="242">
        <v>45848</v>
      </c>
      <c r="I74" s="243"/>
      <c r="J74" s="241"/>
      <c r="K74" s="215"/>
      <c r="L74" s="242"/>
      <c r="M74" s="242"/>
      <c r="N74" s="215"/>
      <c r="O74" s="215"/>
      <c r="P74" s="215"/>
      <c r="Q74" s="215"/>
      <c r="R74" s="215"/>
      <c r="S74" s="215"/>
      <c r="T74" s="215"/>
      <c r="U74" s="215"/>
    </row>
    <row r="75" spans="1:21" x14ac:dyDescent="0.3">
      <c r="A75" s="237">
        <v>8</v>
      </c>
      <c r="B75" s="238" t="s">
        <v>6</v>
      </c>
      <c r="C75" s="239" t="s">
        <v>569</v>
      </c>
      <c r="D75" s="240" t="s">
        <v>583</v>
      </c>
      <c r="E75" s="215" t="s">
        <v>584</v>
      </c>
      <c r="F75" s="215" t="s">
        <v>469</v>
      </c>
      <c r="G75" s="242">
        <v>45863</v>
      </c>
      <c r="H75" s="242">
        <v>45853</v>
      </c>
      <c r="I75" s="243"/>
      <c r="J75" s="241"/>
      <c r="K75" s="215"/>
      <c r="L75" s="242"/>
      <c r="M75" s="242"/>
      <c r="N75" s="215"/>
      <c r="O75" s="215"/>
      <c r="P75" s="215"/>
      <c r="Q75" s="215"/>
      <c r="R75" s="215"/>
      <c r="S75" s="215"/>
      <c r="T75" s="215"/>
      <c r="U75" s="215"/>
    </row>
    <row r="76" spans="1:21" x14ac:dyDescent="0.3">
      <c r="A76" s="237">
        <v>9</v>
      </c>
      <c r="B76" s="238" t="s">
        <v>6</v>
      </c>
      <c r="C76" s="239" t="s">
        <v>569</v>
      </c>
      <c r="D76" s="240" t="s">
        <v>585</v>
      </c>
      <c r="E76" s="215" t="s">
        <v>586</v>
      </c>
      <c r="F76" s="215" t="s">
        <v>469</v>
      </c>
      <c r="G76" s="242">
        <v>45874</v>
      </c>
      <c r="H76" s="242">
        <v>45853</v>
      </c>
      <c r="I76" s="243"/>
      <c r="J76" s="241"/>
      <c r="K76" s="215"/>
      <c r="L76" s="242"/>
      <c r="M76" s="242"/>
      <c r="N76" s="215"/>
      <c r="O76" s="215"/>
      <c r="P76" s="215"/>
      <c r="Q76" s="215"/>
      <c r="R76" s="215"/>
      <c r="S76" s="215"/>
      <c r="T76" s="215"/>
      <c r="U76" s="215"/>
    </row>
    <row r="77" spans="1:21" ht="28" x14ac:dyDescent="0.3">
      <c r="A77" s="237">
        <v>10</v>
      </c>
      <c r="B77" s="238" t="s">
        <v>6</v>
      </c>
      <c r="C77" s="239" t="s">
        <v>569</v>
      </c>
      <c r="D77" s="240" t="s">
        <v>587</v>
      </c>
      <c r="E77" s="215" t="s">
        <v>588</v>
      </c>
      <c r="F77" s="215" t="s">
        <v>469</v>
      </c>
      <c r="G77" s="242">
        <v>45877</v>
      </c>
      <c r="H77" s="242">
        <v>45853</v>
      </c>
      <c r="I77" s="243"/>
      <c r="J77" s="241"/>
      <c r="K77" s="215"/>
      <c r="L77" s="242"/>
      <c r="M77" s="242"/>
      <c r="N77" s="215"/>
      <c r="O77" s="215"/>
      <c r="P77" s="215"/>
      <c r="Q77" s="215"/>
      <c r="R77" s="215"/>
      <c r="S77" s="215"/>
      <c r="T77" s="215"/>
      <c r="U77" s="215"/>
    </row>
    <row r="78" spans="1:21" ht="28" x14ac:dyDescent="0.3">
      <c r="A78" s="237">
        <v>11</v>
      </c>
      <c r="B78" s="238" t="s">
        <v>6</v>
      </c>
      <c r="C78" s="239" t="s">
        <v>569</v>
      </c>
      <c r="D78" s="240" t="s">
        <v>589</v>
      </c>
      <c r="E78" s="215" t="s">
        <v>590</v>
      </c>
      <c r="F78" s="215" t="s">
        <v>469</v>
      </c>
      <c r="G78" s="242">
        <v>45881</v>
      </c>
      <c r="H78" s="242">
        <v>45860</v>
      </c>
      <c r="I78" s="243"/>
      <c r="J78" s="241"/>
      <c r="K78" s="215"/>
      <c r="L78" s="242"/>
      <c r="M78" s="242"/>
      <c r="N78" s="215"/>
      <c r="O78" s="215"/>
      <c r="P78" s="215"/>
      <c r="Q78" s="215"/>
      <c r="R78" s="215"/>
      <c r="S78" s="215"/>
      <c r="T78" s="215"/>
      <c r="U78" s="215"/>
    </row>
    <row r="79" spans="1:21" x14ac:dyDescent="0.3">
      <c r="A79" s="237">
        <v>12</v>
      </c>
      <c r="B79" s="238" t="s">
        <v>6</v>
      </c>
      <c r="C79" s="239" t="s">
        <v>569</v>
      </c>
      <c r="D79" s="240" t="s">
        <v>591</v>
      </c>
      <c r="E79" s="215" t="s">
        <v>592</v>
      </c>
      <c r="F79" s="215" t="s">
        <v>469</v>
      </c>
      <c r="G79" s="242">
        <v>45843</v>
      </c>
      <c r="H79" s="242">
        <v>45860</v>
      </c>
      <c r="I79" s="243"/>
      <c r="J79" s="241"/>
      <c r="K79" s="215"/>
      <c r="L79" s="242"/>
      <c r="M79" s="242"/>
      <c r="N79" s="215"/>
      <c r="O79" s="215"/>
      <c r="P79" s="215"/>
      <c r="Q79" s="215"/>
      <c r="R79" s="215"/>
      <c r="S79" s="215"/>
      <c r="T79" s="215"/>
      <c r="U79" s="215"/>
    </row>
    <row r="80" spans="1:21" ht="28" x14ac:dyDescent="0.3">
      <c r="A80" s="237">
        <v>13</v>
      </c>
      <c r="B80" s="238" t="s">
        <v>6</v>
      </c>
      <c r="C80" s="239" t="s">
        <v>569</v>
      </c>
      <c r="D80" s="240" t="s">
        <v>593</v>
      </c>
      <c r="E80" s="215" t="s">
        <v>594</v>
      </c>
      <c r="F80" s="215" t="s">
        <v>469</v>
      </c>
      <c r="G80" s="242">
        <v>45848</v>
      </c>
      <c r="H80" s="242">
        <v>45864</v>
      </c>
      <c r="I80" s="243"/>
      <c r="J80" s="241"/>
      <c r="K80" s="215"/>
      <c r="L80" s="242"/>
      <c r="M80" s="242"/>
      <c r="N80" s="215"/>
      <c r="O80" s="215"/>
      <c r="P80" s="215"/>
      <c r="Q80" s="215"/>
      <c r="R80" s="215"/>
      <c r="S80" s="215"/>
      <c r="T80" s="215"/>
      <c r="U80" s="215"/>
    </row>
    <row r="81" spans="1:21" ht="28" x14ac:dyDescent="0.3">
      <c r="A81" s="237">
        <v>14</v>
      </c>
      <c r="B81" s="238" t="s">
        <v>6</v>
      </c>
      <c r="C81" s="239" t="s">
        <v>569</v>
      </c>
      <c r="D81" s="240" t="s">
        <v>595</v>
      </c>
      <c r="E81" s="215" t="s">
        <v>596</v>
      </c>
      <c r="F81" s="215" t="s">
        <v>469</v>
      </c>
      <c r="G81" s="242">
        <v>45833</v>
      </c>
      <c r="H81" s="242">
        <v>45870</v>
      </c>
      <c r="I81" s="243"/>
      <c r="J81" s="241"/>
      <c r="K81" s="215"/>
      <c r="L81" s="242"/>
      <c r="M81" s="242"/>
      <c r="N81" s="215"/>
      <c r="O81" s="215"/>
      <c r="P81" s="215"/>
      <c r="Q81" s="215"/>
      <c r="R81" s="215"/>
      <c r="S81" s="215"/>
      <c r="T81" s="215"/>
      <c r="U81" s="215"/>
    </row>
    <row r="82" spans="1:21" ht="28" x14ac:dyDescent="0.3">
      <c r="A82" s="237">
        <v>15</v>
      </c>
      <c r="B82" s="238" t="s">
        <v>6</v>
      </c>
      <c r="C82" s="239" t="s">
        <v>569</v>
      </c>
      <c r="D82" s="240" t="s">
        <v>597</v>
      </c>
      <c r="E82" s="215" t="s">
        <v>598</v>
      </c>
      <c r="F82" s="215" t="s">
        <v>469</v>
      </c>
      <c r="G82" s="242">
        <v>45838</v>
      </c>
      <c r="H82" s="242">
        <v>45868</v>
      </c>
      <c r="I82" s="243"/>
      <c r="J82" s="241"/>
      <c r="K82" s="215"/>
      <c r="L82" s="242"/>
      <c r="M82" s="242"/>
      <c r="N82" s="215"/>
      <c r="O82" s="215"/>
      <c r="P82" s="215"/>
      <c r="Q82" s="215"/>
      <c r="R82" s="215"/>
      <c r="S82" s="215"/>
      <c r="T82" s="215"/>
      <c r="U82" s="215"/>
    </row>
    <row r="83" spans="1:21" ht="28" x14ac:dyDescent="0.3">
      <c r="A83" s="237">
        <v>16</v>
      </c>
      <c r="B83" s="238" t="s">
        <v>6</v>
      </c>
      <c r="C83" s="239" t="s">
        <v>569</v>
      </c>
      <c r="D83" s="240" t="s">
        <v>599</v>
      </c>
      <c r="E83" s="215" t="s">
        <v>600</v>
      </c>
      <c r="F83" s="215" t="s">
        <v>469</v>
      </c>
      <c r="G83" s="242">
        <v>45843</v>
      </c>
      <c r="H83" s="242">
        <v>45868</v>
      </c>
      <c r="I83" s="243"/>
      <c r="J83" s="241"/>
      <c r="K83" s="215"/>
      <c r="L83" s="242"/>
      <c r="M83" s="242"/>
      <c r="N83" s="215"/>
      <c r="O83" s="215"/>
      <c r="P83" s="215"/>
      <c r="Q83" s="215"/>
      <c r="R83" s="215"/>
      <c r="S83" s="215"/>
      <c r="T83" s="215"/>
      <c r="U83" s="215"/>
    </row>
    <row r="84" spans="1:21" ht="28" x14ac:dyDescent="0.3">
      <c r="A84" s="237">
        <v>17</v>
      </c>
      <c r="B84" s="238" t="s">
        <v>6</v>
      </c>
      <c r="C84" s="239" t="s">
        <v>569</v>
      </c>
      <c r="D84" s="240" t="s">
        <v>601</v>
      </c>
      <c r="E84" s="215" t="s">
        <v>602</v>
      </c>
      <c r="F84" s="215" t="s">
        <v>469</v>
      </c>
      <c r="G84" s="242">
        <v>45846</v>
      </c>
      <c r="H84" s="234">
        <f>H81</f>
        <v>45870</v>
      </c>
      <c r="I84" s="243"/>
      <c r="J84" s="241"/>
      <c r="K84" s="215"/>
      <c r="L84" s="242"/>
      <c r="M84" s="242"/>
      <c r="N84" s="215"/>
      <c r="O84" s="215"/>
      <c r="P84" s="215"/>
      <c r="Q84" s="215"/>
      <c r="R84" s="215"/>
      <c r="S84" s="215"/>
      <c r="T84" s="215"/>
      <c r="U84" s="215"/>
    </row>
    <row r="85" spans="1:21" ht="28" x14ac:dyDescent="0.3">
      <c r="A85" s="237">
        <v>18</v>
      </c>
      <c r="B85" s="238" t="s">
        <v>6</v>
      </c>
      <c r="C85" s="239" t="s">
        <v>569</v>
      </c>
      <c r="D85" s="263" t="s">
        <v>603</v>
      </c>
      <c r="E85" s="215" t="s">
        <v>604</v>
      </c>
      <c r="F85" s="213" t="s">
        <v>479</v>
      </c>
      <c r="G85" s="234">
        <v>45848</v>
      </c>
      <c r="H85" s="234">
        <v>45848</v>
      </c>
      <c r="I85" s="235"/>
      <c r="J85" s="241"/>
      <c r="K85" s="215"/>
      <c r="L85" s="242"/>
      <c r="M85" s="242"/>
      <c r="N85" s="215"/>
      <c r="O85" s="215"/>
      <c r="P85" s="215"/>
      <c r="Q85" s="215"/>
      <c r="R85" s="215"/>
      <c r="S85" s="215"/>
      <c r="T85" s="215"/>
      <c r="U85" s="215"/>
    </row>
    <row r="86" spans="1:21" x14ac:dyDescent="0.3">
      <c r="A86" s="237">
        <v>19</v>
      </c>
      <c r="B86" s="238" t="s">
        <v>6</v>
      </c>
      <c r="C86" s="239" t="s">
        <v>569</v>
      </c>
      <c r="D86" s="263" t="s">
        <v>605</v>
      </c>
      <c r="E86" s="215" t="s">
        <v>606</v>
      </c>
      <c r="F86" s="213" t="s">
        <v>479</v>
      </c>
      <c r="G86" s="234">
        <v>45853</v>
      </c>
      <c r="H86" s="234">
        <v>45876</v>
      </c>
      <c r="I86" s="235"/>
      <c r="J86" s="241"/>
      <c r="K86" s="215"/>
      <c r="L86" s="242"/>
      <c r="M86" s="242"/>
      <c r="N86" s="215"/>
      <c r="O86" s="215"/>
      <c r="P86" s="215"/>
      <c r="Q86" s="215"/>
      <c r="R86" s="215"/>
      <c r="S86" s="215"/>
      <c r="T86" s="215"/>
      <c r="U86" s="215"/>
    </row>
    <row r="87" spans="1:21" ht="28" x14ac:dyDescent="0.3">
      <c r="A87" s="237">
        <v>20</v>
      </c>
      <c r="B87" s="238" t="s">
        <v>6</v>
      </c>
      <c r="C87" s="239" t="s">
        <v>569</v>
      </c>
      <c r="D87" s="263" t="s">
        <v>607</v>
      </c>
      <c r="E87" s="215" t="s">
        <v>608</v>
      </c>
      <c r="F87" s="213" t="s">
        <v>469</v>
      </c>
      <c r="G87" s="234">
        <v>45853</v>
      </c>
      <c r="H87" s="234">
        <v>45876</v>
      </c>
      <c r="I87" s="235"/>
      <c r="J87" s="241"/>
      <c r="K87" s="215"/>
      <c r="L87" s="242"/>
      <c r="M87" s="242"/>
      <c r="N87" s="215"/>
      <c r="O87" s="215"/>
      <c r="P87" s="215"/>
      <c r="Q87" s="215"/>
      <c r="R87" s="215"/>
      <c r="S87" s="215"/>
      <c r="T87" s="215"/>
      <c r="U87" s="215"/>
    </row>
    <row r="88" spans="1:21" ht="28" x14ac:dyDescent="0.3">
      <c r="A88" s="237">
        <v>21</v>
      </c>
      <c r="B88" s="238" t="s">
        <v>6</v>
      </c>
      <c r="C88" s="239" t="s">
        <v>569</v>
      </c>
      <c r="D88" s="263" t="s">
        <v>609</v>
      </c>
      <c r="E88" s="215" t="s">
        <v>610</v>
      </c>
      <c r="F88" s="213" t="s">
        <v>479</v>
      </c>
      <c r="G88" s="234">
        <v>45858</v>
      </c>
      <c r="H88" s="234">
        <v>45882</v>
      </c>
      <c r="I88" s="235"/>
      <c r="J88" s="241"/>
      <c r="K88" s="215"/>
      <c r="L88" s="242"/>
      <c r="M88" s="242"/>
      <c r="N88" s="215"/>
      <c r="O88" s="215"/>
      <c r="P88" s="215"/>
      <c r="Q88" s="215"/>
      <c r="R88" s="215"/>
      <c r="S88" s="215"/>
      <c r="T88" s="215"/>
      <c r="U88" s="215"/>
    </row>
    <row r="89" spans="1:21" ht="28" x14ac:dyDescent="0.3">
      <c r="A89" s="237">
        <v>22</v>
      </c>
      <c r="B89" s="238" t="s">
        <v>6</v>
      </c>
      <c r="C89" s="239" t="s">
        <v>569</v>
      </c>
      <c r="D89" s="263" t="s">
        <v>611</v>
      </c>
      <c r="E89" s="215" t="s">
        <v>612</v>
      </c>
      <c r="F89" s="213" t="s">
        <v>469</v>
      </c>
      <c r="G89" s="234">
        <v>45826</v>
      </c>
      <c r="H89" s="234">
        <f>H88</f>
        <v>45882</v>
      </c>
      <c r="I89" s="235"/>
      <c r="J89" s="241"/>
      <c r="K89" s="215"/>
      <c r="L89" s="242"/>
      <c r="M89" s="242"/>
      <c r="N89" s="215"/>
      <c r="O89" s="215"/>
      <c r="P89" s="215"/>
      <c r="Q89" s="215"/>
      <c r="R89" s="215"/>
      <c r="S89" s="215"/>
      <c r="T89" s="215"/>
      <c r="U89" s="215"/>
    </row>
    <row r="90" spans="1:21" ht="28" x14ac:dyDescent="0.3">
      <c r="A90" s="237">
        <v>23</v>
      </c>
      <c r="B90" s="238" t="s">
        <v>6</v>
      </c>
      <c r="C90" s="239" t="s">
        <v>569</v>
      </c>
      <c r="D90" s="263" t="s">
        <v>613</v>
      </c>
      <c r="E90" s="215" t="s">
        <v>614</v>
      </c>
      <c r="F90" s="213" t="s">
        <v>479</v>
      </c>
      <c r="G90" s="234">
        <v>45833</v>
      </c>
      <c r="H90" s="234">
        <v>45887</v>
      </c>
      <c r="I90" s="235"/>
      <c r="J90" s="241"/>
      <c r="K90" s="215"/>
      <c r="L90" s="242"/>
      <c r="M90" s="242"/>
      <c r="N90" s="215"/>
      <c r="O90" s="215"/>
      <c r="P90" s="215"/>
      <c r="Q90" s="215"/>
      <c r="R90" s="215"/>
      <c r="S90" s="215"/>
      <c r="T90" s="215"/>
      <c r="U90" s="215"/>
    </row>
    <row r="91" spans="1:21" ht="28" x14ac:dyDescent="0.3">
      <c r="A91" s="237">
        <v>24</v>
      </c>
      <c r="B91" s="238" t="s">
        <v>6</v>
      </c>
      <c r="C91" s="239" t="s">
        <v>569</v>
      </c>
      <c r="D91" s="263" t="s">
        <v>615</v>
      </c>
      <c r="E91" s="215" t="s">
        <v>616</v>
      </c>
      <c r="F91" s="213" t="s">
        <v>469</v>
      </c>
      <c r="G91" s="234">
        <v>45863</v>
      </c>
      <c r="H91" s="234">
        <v>45887</v>
      </c>
      <c r="I91" s="235"/>
      <c r="J91" s="241"/>
      <c r="K91" s="215"/>
      <c r="L91" s="242"/>
      <c r="M91" s="242"/>
      <c r="N91" s="215"/>
      <c r="O91" s="215"/>
      <c r="P91" s="215"/>
      <c r="Q91" s="215"/>
      <c r="R91" s="215"/>
      <c r="S91" s="215"/>
      <c r="T91" s="215"/>
      <c r="U91" s="215"/>
    </row>
    <row r="92" spans="1:21" x14ac:dyDescent="0.3">
      <c r="A92" s="269">
        <v>25</v>
      </c>
      <c r="B92" s="238" t="s">
        <v>6</v>
      </c>
      <c r="C92" s="239" t="s">
        <v>569</v>
      </c>
      <c r="D92" s="240" t="s">
        <v>617</v>
      </c>
      <c r="E92" s="215" t="s">
        <v>618</v>
      </c>
      <c r="F92" s="213" t="s">
        <v>469</v>
      </c>
      <c r="G92" s="242">
        <v>45828</v>
      </c>
      <c r="H92" s="234">
        <v>45887</v>
      </c>
      <c r="I92" s="274"/>
      <c r="J92" s="241"/>
      <c r="K92" s="215"/>
      <c r="L92" s="242"/>
      <c r="M92" s="242"/>
      <c r="N92" s="215"/>
      <c r="O92" s="215"/>
      <c r="P92" s="215"/>
      <c r="Q92" s="215"/>
      <c r="R92" s="215"/>
      <c r="S92" s="215"/>
      <c r="T92" s="215"/>
      <c r="U92" s="215"/>
    </row>
    <row r="93" spans="1:21" ht="28" x14ac:dyDescent="0.3">
      <c r="A93" s="269">
        <v>26</v>
      </c>
      <c r="B93" s="238" t="s">
        <v>6</v>
      </c>
      <c r="C93" s="239" t="s">
        <v>569</v>
      </c>
      <c r="D93" s="263" t="s">
        <v>619</v>
      </c>
      <c r="E93" s="215" t="s">
        <v>620</v>
      </c>
      <c r="F93" s="213" t="s">
        <v>479</v>
      </c>
      <c r="G93" s="242">
        <v>45833</v>
      </c>
      <c r="H93" s="234">
        <f>H81</f>
        <v>45870</v>
      </c>
      <c r="I93" s="274"/>
      <c r="J93" s="241"/>
      <c r="K93" s="215"/>
      <c r="L93" s="242"/>
      <c r="M93" s="242"/>
      <c r="N93" s="215"/>
      <c r="O93" s="215"/>
      <c r="P93" s="215"/>
      <c r="Q93" s="215"/>
      <c r="R93" s="215"/>
      <c r="S93" s="215"/>
      <c r="T93" s="215"/>
      <c r="U93" s="215"/>
    </row>
    <row r="94" spans="1:21" ht="28" x14ac:dyDescent="0.3">
      <c r="A94" s="269">
        <v>27</v>
      </c>
      <c r="B94" s="238" t="s">
        <v>6</v>
      </c>
      <c r="C94" s="239" t="s">
        <v>569</v>
      </c>
      <c r="D94" s="240" t="s">
        <v>621</v>
      </c>
      <c r="E94" s="215" t="s">
        <v>622</v>
      </c>
      <c r="F94" s="213" t="s">
        <v>469</v>
      </c>
      <c r="G94" s="242">
        <v>45836</v>
      </c>
      <c r="H94" s="234">
        <v>45889</v>
      </c>
      <c r="I94" s="274"/>
      <c r="J94" s="241"/>
      <c r="K94" s="215"/>
      <c r="L94" s="242"/>
      <c r="M94" s="242"/>
      <c r="N94" s="215"/>
      <c r="O94" s="215"/>
      <c r="P94" s="215"/>
      <c r="Q94" s="215"/>
      <c r="R94" s="215"/>
      <c r="S94" s="215"/>
      <c r="T94" s="215"/>
      <c r="U94" s="215"/>
    </row>
    <row r="95" spans="1:21" x14ac:dyDescent="0.3">
      <c r="A95" s="269">
        <v>28</v>
      </c>
      <c r="B95" s="238" t="s">
        <v>6</v>
      </c>
      <c r="C95" s="239" t="s">
        <v>569</v>
      </c>
      <c r="D95" s="240" t="s">
        <v>623</v>
      </c>
      <c r="E95" s="215" t="s">
        <v>624</v>
      </c>
      <c r="F95" s="215" t="s">
        <v>469</v>
      </c>
      <c r="G95" s="242">
        <v>45858</v>
      </c>
      <c r="H95" s="234">
        <v>45889</v>
      </c>
      <c r="I95" s="243"/>
      <c r="J95" s="241"/>
      <c r="K95" s="215"/>
      <c r="L95" s="242"/>
      <c r="M95" s="242"/>
      <c r="N95" s="215"/>
      <c r="O95" s="215"/>
      <c r="P95" s="215"/>
      <c r="Q95" s="215"/>
      <c r="R95" s="215"/>
      <c r="S95" s="215"/>
      <c r="T95" s="215"/>
      <c r="U95" s="215"/>
    </row>
    <row r="96" spans="1:21" x14ac:dyDescent="0.3">
      <c r="A96" s="269">
        <v>29</v>
      </c>
      <c r="B96" s="238" t="s">
        <v>6</v>
      </c>
      <c r="C96" s="239" t="s">
        <v>569</v>
      </c>
      <c r="D96" s="240" t="s">
        <v>625</v>
      </c>
      <c r="E96" s="215" t="s">
        <v>626</v>
      </c>
      <c r="F96" s="215" t="s">
        <v>469</v>
      </c>
      <c r="G96" s="242">
        <v>45863</v>
      </c>
      <c r="H96" s="234">
        <f>G96</f>
        <v>45863</v>
      </c>
      <c r="I96" s="243"/>
      <c r="J96" s="241"/>
      <c r="K96" s="215"/>
      <c r="L96" s="242"/>
      <c r="M96" s="242"/>
      <c r="N96" s="215"/>
      <c r="O96" s="215"/>
      <c r="P96" s="215"/>
      <c r="Q96" s="215"/>
      <c r="R96" s="215"/>
      <c r="S96" s="215"/>
      <c r="T96" s="215"/>
      <c r="U96" s="215"/>
    </row>
    <row r="97" spans="1:21" x14ac:dyDescent="0.3">
      <c r="A97" s="275"/>
      <c r="B97" s="387" t="s">
        <v>627</v>
      </c>
      <c r="C97" s="388" t="s">
        <v>628</v>
      </c>
      <c r="D97" s="389" t="s">
        <v>629</v>
      </c>
      <c r="E97" s="385" t="s">
        <v>630</v>
      </c>
      <c r="F97" s="385" t="s">
        <v>469</v>
      </c>
      <c r="G97" s="384">
        <v>45719</v>
      </c>
      <c r="H97" s="398">
        <f>L97</f>
        <v>45714</v>
      </c>
      <c r="I97" s="226"/>
      <c r="J97" s="227"/>
      <c r="K97" s="224" t="s">
        <v>470</v>
      </c>
      <c r="L97" s="225">
        <v>45714</v>
      </c>
      <c r="M97" s="225">
        <v>45721</v>
      </c>
      <c r="N97" s="224" t="s">
        <v>471</v>
      </c>
      <c r="O97" s="224">
        <f>M97-L97</f>
        <v>7</v>
      </c>
      <c r="P97" s="224">
        <f>L98-M97</f>
        <v>33</v>
      </c>
      <c r="Q97" s="385"/>
      <c r="R97" s="385" t="s">
        <v>399</v>
      </c>
      <c r="S97" s="385" t="str">
        <f>N100</f>
        <v>CAT - I</v>
      </c>
      <c r="T97" s="385" t="s">
        <v>399</v>
      </c>
      <c r="U97" s="385"/>
    </row>
    <row r="98" spans="1:21" x14ac:dyDescent="0.3">
      <c r="A98" s="276">
        <v>3</v>
      </c>
      <c r="B98" s="387"/>
      <c r="C98" s="388"/>
      <c r="D98" s="389"/>
      <c r="E98" s="385"/>
      <c r="F98" s="385"/>
      <c r="G98" s="384"/>
      <c r="H98" s="417"/>
      <c r="I98" s="226"/>
      <c r="J98" s="227"/>
      <c r="K98" s="224" t="s">
        <v>472</v>
      </c>
      <c r="L98" s="225">
        <v>45754</v>
      </c>
      <c r="M98" s="225">
        <v>45763</v>
      </c>
      <c r="N98" s="224" t="s">
        <v>471</v>
      </c>
      <c r="O98" s="224">
        <f>M98-L98</f>
        <v>9</v>
      </c>
      <c r="P98" s="224">
        <f>L99-M98</f>
        <v>4</v>
      </c>
      <c r="Q98" s="385"/>
      <c r="R98" s="385"/>
      <c r="S98" s="385"/>
      <c r="T98" s="385"/>
      <c r="U98" s="385"/>
    </row>
    <row r="99" spans="1:21" x14ac:dyDescent="0.3">
      <c r="A99" s="444">
        <v>4</v>
      </c>
      <c r="B99" s="387"/>
      <c r="C99" s="388"/>
      <c r="D99" s="389"/>
      <c r="E99" s="385"/>
      <c r="F99" s="385"/>
      <c r="G99" s="384"/>
      <c r="H99" s="417"/>
      <c r="I99" s="226"/>
      <c r="J99" s="227"/>
      <c r="K99" s="224" t="s">
        <v>474</v>
      </c>
      <c r="L99" s="225">
        <v>45767</v>
      </c>
      <c r="M99" s="225">
        <v>45770</v>
      </c>
      <c r="N99" s="224" t="s">
        <v>494</v>
      </c>
      <c r="O99" s="224">
        <f>M99-L99</f>
        <v>3</v>
      </c>
      <c r="P99" s="224">
        <f>L100-M99</f>
        <v>1</v>
      </c>
      <c r="Q99" s="385"/>
      <c r="R99" s="385"/>
      <c r="S99" s="385"/>
      <c r="T99" s="385"/>
      <c r="U99" s="385"/>
    </row>
    <row r="100" spans="1:21" x14ac:dyDescent="0.3">
      <c r="A100" s="444"/>
      <c r="B100" s="387"/>
      <c r="C100" s="388"/>
      <c r="D100" s="389"/>
      <c r="E100" s="385"/>
      <c r="F100" s="385"/>
      <c r="G100" s="384"/>
      <c r="H100" s="399"/>
      <c r="I100" s="226"/>
      <c r="J100" s="227"/>
      <c r="K100" s="224" t="s">
        <v>475</v>
      </c>
      <c r="L100" s="225">
        <v>45771</v>
      </c>
      <c r="M100" s="225">
        <v>45820</v>
      </c>
      <c r="N100" s="224" t="s">
        <v>485</v>
      </c>
      <c r="O100" s="224">
        <f ca="1">O1-L100</f>
        <v>74</v>
      </c>
      <c r="P100" s="224"/>
      <c r="Q100" s="385"/>
      <c r="R100" s="385"/>
      <c r="S100" s="385"/>
      <c r="T100" s="385"/>
      <c r="U100" s="385"/>
    </row>
    <row r="101" spans="1:21" x14ac:dyDescent="0.3">
      <c r="A101" s="276">
        <v>5</v>
      </c>
      <c r="B101" s="444" t="s">
        <v>627</v>
      </c>
      <c r="C101" s="445" t="s">
        <v>628</v>
      </c>
      <c r="D101" s="446" t="s">
        <v>847</v>
      </c>
      <c r="E101" s="407" t="s">
        <v>632</v>
      </c>
      <c r="F101" s="407" t="s">
        <v>469</v>
      </c>
      <c r="G101" s="408">
        <v>45755</v>
      </c>
      <c r="H101" s="421">
        <f>L101</f>
        <v>45772</v>
      </c>
      <c r="I101" s="243"/>
      <c r="J101" s="407"/>
      <c r="K101" s="215" t="s">
        <v>470</v>
      </c>
      <c r="L101" s="242">
        <v>45772</v>
      </c>
      <c r="M101" s="242">
        <v>45790</v>
      </c>
      <c r="N101" s="215" t="s">
        <v>471</v>
      </c>
      <c r="O101" s="215">
        <f>M101-L101</f>
        <v>18</v>
      </c>
      <c r="P101" s="215">
        <f>L102-M101</f>
        <v>3</v>
      </c>
      <c r="Q101" s="407"/>
      <c r="R101" s="407" t="s">
        <v>495</v>
      </c>
      <c r="S101" s="407" t="str">
        <f>N101</f>
        <v>CAT - III</v>
      </c>
      <c r="T101" s="407" t="s">
        <v>476</v>
      </c>
      <c r="U101" s="407">
        <f ca="1">U1-L102</f>
        <v>52</v>
      </c>
    </row>
    <row r="102" spans="1:21" ht="14.15" customHeight="1" x14ac:dyDescent="0.3">
      <c r="A102" s="276">
        <v>6</v>
      </c>
      <c r="B102" s="444"/>
      <c r="C102" s="445"/>
      <c r="D102" s="447"/>
      <c r="E102" s="407"/>
      <c r="F102" s="407"/>
      <c r="G102" s="408"/>
      <c r="H102" s="423"/>
      <c r="I102" s="243"/>
      <c r="J102" s="407"/>
      <c r="K102" s="215" t="s">
        <v>472</v>
      </c>
      <c r="L102" s="242">
        <v>45793</v>
      </c>
      <c r="M102" s="242">
        <v>45827</v>
      </c>
      <c r="N102" s="215"/>
      <c r="O102" s="215">
        <f ca="1">O1-L102</f>
        <v>52</v>
      </c>
      <c r="P102" s="215"/>
      <c r="Q102" s="407"/>
      <c r="R102" s="407"/>
      <c r="S102" s="407"/>
      <c r="T102" s="407"/>
      <c r="U102" s="407"/>
    </row>
    <row r="103" spans="1:21" ht="28" x14ac:dyDescent="0.3">
      <c r="A103" s="276">
        <v>7</v>
      </c>
      <c r="B103" s="276" t="s">
        <v>627</v>
      </c>
      <c r="C103" s="277" t="s">
        <v>628</v>
      </c>
      <c r="D103" s="278" t="s">
        <v>633</v>
      </c>
      <c r="E103" s="215" t="s">
        <v>634</v>
      </c>
      <c r="F103" s="215" t="s">
        <v>469</v>
      </c>
      <c r="G103" s="242">
        <v>45762</v>
      </c>
      <c r="H103" s="242">
        <f>L103</f>
        <v>45790</v>
      </c>
      <c r="I103" s="243"/>
      <c r="J103" s="243"/>
      <c r="K103" s="215" t="s">
        <v>470</v>
      </c>
      <c r="L103" s="242">
        <v>45790</v>
      </c>
      <c r="M103" s="242">
        <v>45821</v>
      </c>
      <c r="N103" s="215" t="s">
        <v>471</v>
      </c>
      <c r="O103" s="215">
        <f ca="1">O1-L103</f>
        <v>55</v>
      </c>
      <c r="P103" s="215"/>
      <c r="Q103" s="215"/>
      <c r="R103" s="215" t="s">
        <v>502</v>
      </c>
      <c r="S103" s="215" t="str">
        <f>N103</f>
        <v>CAT - III</v>
      </c>
      <c r="T103" s="215" t="s">
        <v>476</v>
      </c>
      <c r="U103" s="215">
        <f ca="1">U1-L103</f>
        <v>55</v>
      </c>
    </row>
    <row r="104" spans="1:21" x14ac:dyDescent="0.3">
      <c r="A104" s="276">
        <v>8</v>
      </c>
      <c r="B104" s="444" t="s">
        <v>627</v>
      </c>
      <c r="C104" s="445" t="s">
        <v>628</v>
      </c>
      <c r="D104" s="448" t="s">
        <v>635</v>
      </c>
      <c r="E104" s="407" t="s">
        <v>636</v>
      </c>
      <c r="F104" s="407" t="s">
        <v>469</v>
      </c>
      <c r="G104" s="408">
        <v>45780</v>
      </c>
      <c r="H104" s="421">
        <f>L104</f>
        <v>45758</v>
      </c>
      <c r="I104" s="243"/>
      <c r="J104" s="449">
        <v>45821</v>
      </c>
      <c r="K104" s="215" t="s">
        <v>470</v>
      </c>
      <c r="L104" s="242">
        <v>45758</v>
      </c>
      <c r="M104" s="242">
        <v>45766</v>
      </c>
      <c r="N104" s="215" t="s">
        <v>471</v>
      </c>
      <c r="O104" s="215">
        <f>M104-L104</f>
        <v>8</v>
      </c>
      <c r="P104" s="215">
        <f>L106-M104</f>
        <v>57</v>
      </c>
      <c r="Q104" s="407"/>
      <c r="R104" s="407" t="s">
        <v>502</v>
      </c>
      <c r="S104" s="407" t="str">
        <f>N106</f>
        <v>CAT - II</v>
      </c>
      <c r="T104" s="407" t="s">
        <v>476</v>
      </c>
      <c r="U104" s="407">
        <f ca="1">U1-M106</f>
        <v>18</v>
      </c>
    </row>
    <row r="105" spans="1:21" x14ac:dyDescent="0.3">
      <c r="A105" s="276">
        <v>9</v>
      </c>
      <c r="B105" s="444"/>
      <c r="C105" s="445"/>
      <c r="D105" s="448"/>
      <c r="E105" s="407"/>
      <c r="F105" s="407"/>
      <c r="G105" s="408"/>
      <c r="H105" s="422"/>
      <c r="I105" s="243"/>
      <c r="J105" s="450"/>
      <c r="K105" s="215" t="s">
        <v>472</v>
      </c>
      <c r="L105" s="242">
        <v>45793</v>
      </c>
      <c r="M105" s="242">
        <v>45808</v>
      </c>
      <c r="N105" s="215" t="s">
        <v>471</v>
      </c>
      <c r="O105" s="215">
        <f>L106-M105</f>
        <v>15</v>
      </c>
      <c r="P105" s="215"/>
      <c r="Q105" s="407"/>
      <c r="R105" s="407"/>
      <c r="S105" s="407"/>
      <c r="T105" s="407"/>
      <c r="U105" s="407"/>
    </row>
    <row r="106" spans="1:21" x14ac:dyDescent="0.3">
      <c r="A106" s="276">
        <v>9</v>
      </c>
      <c r="B106" s="444"/>
      <c r="C106" s="445"/>
      <c r="D106" s="448"/>
      <c r="E106" s="407"/>
      <c r="F106" s="407"/>
      <c r="G106" s="408"/>
      <c r="H106" s="423"/>
      <c r="I106" s="243"/>
      <c r="J106" s="451"/>
      <c r="K106" s="215" t="s">
        <v>474</v>
      </c>
      <c r="L106" s="242">
        <v>45823</v>
      </c>
      <c r="M106" s="242">
        <v>45827</v>
      </c>
      <c r="N106" s="215" t="s">
        <v>494</v>
      </c>
      <c r="O106" s="215"/>
      <c r="P106" s="215"/>
      <c r="Q106" s="407"/>
      <c r="R106" s="407"/>
      <c r="S106" s="407"/>
      <c r="T106" s="407"/>
      <c r="U106" s="407"/>
    </row>
    <row r="107" spans="1:21" ht="14.25" customHeight="1" x14ac:dyDescent="0.3">
      <c r="A107" s="276">
        <v>10</v>
      </c>
      <c r="B107" s="276" t="s">
        <v>627</v>
      </c>
      <c r="C107" s="277" t="s">
        <v>628</v>
      </c>
      <c r="D107" s="278" t="s">
        <v>637</v>
      </c>
      <c r="E107" s="215" t="s">
        <v>638</v>
      </c>
      <c r="F107" s="215" t="s">
        <v>469</v>
      </c>
      <c r="G107" s="242">
        <v>45835</v>
      </c>
      <c r="H107" s="234">
        <f>G107</f>
        <v>45835</v>
      </c>
      <c r="I107" s="215" t="s">
        <v>639</v>
      </c>
      <c r="J107" s="243">
        <v>45821</v>
      </c>
      <c r="K107" s="215"/>
      <c r="L107" s="242"/>
      <c r="M107" s="242"/>
      <c r="N107" s="215"/>
      <c r="O107" s="215"/>
      <c r="P107" s="215"/>
      <c r="Q107" s="215"/>
      <c r="R107" s="215"/>
      <c r="S107" s="215"/>
      <c r="T107" s="215"/>
      <c r="U107" s="215"/>
    </row>
    <row r="108" spans="1:21" ht="28" x14ac:dyDescent="0.3">
      <c r="A108" s="276">
        <v>11</v>
      </c>
      <c r="B108" s="276" t="s">
        <v>627</v>
      </c>
      <c r="C108" s="277" t="s">
        <v>628</v>
      </c>
      <c r="D108" s="278" t="s">
        <v>640</v>
      </c>
      <c r="E108" s="215" t="s">
        <v>641</v>
      </c>
      <c r="F108" s="215" t="s">
        <v>469</v>
      </c>
      <c r="G108" s="242">
        <v>45835</v>
      </c>
      <c r="H108" s="234">
        <f>G108</f>
        <v>45835</v>
      </c>
      <c r="I108" s="215" t="s">
        <v>639</v>
      </c>
      <c r="J108" s="243">
        <v>45821</v>
      </c>
      <c r="K108" s="215"/>
      <c r="L108" s="242"/>
      <c r="M108" s="242"/>
      <c r="N108" s="215"/>
      <c r="O108" s="215"/>
      <c r="P108" s="215"/>
      <c r="Q108" s="215"/>
      <c r="R108" s="215"/>
      <c r="S108" s="215"/>
      <c r="T108" s="215"/>
      <c r="U108" s="215"/>
    </row>
    <row r="109" spans="1:21" x14ac:dyDescent="0.3">
      <c r="A109" s="276">
        <v>12</v>
      </c>
      <c r="B109" s="276" t="s">
        <v>627</v>
      </c>
      <c r="C109" s="277" t="s">
        <v>628</v>
      </c>
      <c r="D109" s="278" t="s">
        <v>642</v>
      </c>
      <c r="E109" s="215" t="s">
        <v>643</v>
      </c>
      <c r="F109" s="215" t="s">
        <v>469</v>
      </c>
      <c r="G109" s="242">
        <v>45835</v>
      </c>
      <c r="H109" s="234">
        <f>G109</f>
        <v>45835</v>
      </c>
      <c r="I109" s="215" t="s">
        <v>639</v>
      </c>
      <c r="J109" s="243">
        <v>45821</v>
      </c>
      <c r="K109" s="215"/>
      <c r="L109" s="242"/>
      <c r="M109" s="242"/>
      <c r="N109" s="215"/>
      <c r="O109" s="215"/>
      <c r="P109" s="215"/>
      <c r="Q109" s="215"/>
      <c r="R109" s="215"/>
      <c r="S109" s="215"/>
      <c r="T109" s="215"/>
      <c r="U109" s="215"/>
    </row>
    <row r="110" spans="1:21" x14ac:dyDescent="0.3">
      <c r="A110" s="276">
        <v>13</v>
      </c>
      <c r="B110" s="276" t="s">
        <v>627</v>
      </c>
      <c r="C110" s="277" t="s">
        <v>628</v>
      </c>
      <c r="D110" s="278" t="s">
        <v>644</v>
      </c>
      <c r="E110" s="215" t="s">
        <v>645</v>
      </c>
      <c r="F110" s="215" t="s">
        <v>469</v>
      </c>
      <c r="G110" s="242">
        <v>45835</v>
      </c>
      <c r="H110" s="234">
        <f>G110</f>
        <v>45835</v>
      </c>
      <c r="I110" s="215" t="s">
        <v>639</v>
      </c>
      <c r="J110" s="243">
        <v>45821</v>
      </c>
      <c r="K110" s="215"/>
      <c r="L110" s="242"/>
      <c r="M110" s="242"/>
      <c r="N110" s="215"/>
      <c r="O110" s="215"/>
      <c r="P110" s="215"/>
      <c r="Q110" s="215"/>
      <c r="R110" s="215"/>
      <c r="S110" s="215"/>
      <c r="T110" s="215"/>
      <c r="U110" s="215"/>
    </row>
    <row r="111" spans="1:21" x14ac:dyDescent="0.3">
      <c r="A111" s="452">
        <v>14</v>
      </c>
      <c r="B111" s="276" t="s">
        <v>627</v>
      </c>
      <c r="C111" s="455" t="s">
        <v>628</v>
      </c>
      <c r="D111" s="458" t="s">
        <v>646</v>
      </c>
      <c r="E111" s="425" t="s">
        <v>647</v>
      </c>
      <c r="F111" s="425" t="s">
        <v>469</v>
      </c>
      <c r="G111" s="421">
        <v>45768</v>
      </c>
      <c r="H111" s="421">
        <f>L111</f>
        <v>45804</v>
      </c>
      <c r="I111" s="243"/>
      <c r="J111" s="243">
        <v>45804</v>
      </c>
      <c r="K111" s="215" t="s">
        <v>470</v>
      </c>
      <c r="L111" s="242">
        <v>45804</v>
      </c>
      <c r="M111" s="242">
        <v>45812</v>
      </c>
      <c r="N111" s="215" t="s">
        <v>471</v>
      </c>
      <c r="O111" s="215">
        <f>M111-L111</f>
        <v>8</v>
      </c>
      <c r="P111" s="215">
        <f ca="1">O1-M111</f>
        <v>33</v>
      </c>
      <c r="Q111" s="215"/>
      <c r="R111" s="407" t="s">
        <v>502</v>
      </c>
      <c r="S111" s="407" t="str">
        <f>N113</f>
        <v>CAT - II</v>
      </c>
      <c r="T111" s="407" t="s">
        <v>476</v>
      </c>
      <c r="U111" s="425">
        <f ca="1">U1-L111</f>
        <v>41</v>
      </c>
    </row>
    <row r="112" spans="1:21" ht="14.15" customHeight="1" x14ac:dyDescent="0.3">
      <c r="A112" s="453"/>
      <c r="B112" s="276"/>
      <c r="C112" s="456"/>
      <c r="D112" s="459"/>
      <c r="E112" s="426"/>
      <c r="F112" s="426"/>
      <c r="G112" s="422"/>
      <c r="H112" s="422"/>
      <c r="I112" s="243"/>
      <c r="J112" s="243"/>
      <c r="K112" s="215" t="s">
        <v>472</v>
      </c>
      <c r="L112" s="242">
        <v>45821</v>
      </c>
      <c r="M112" s="242">
        <v>45825</v>
      </c>
      <c r="N112" s="215" t="s">
        <v>471</v>
      </c>
      <c r="O112" s="215"/>
      <c r="P112" s="215"/>
      <c r="Q112" s="215"/>
      <c r="R112" s="407"/>
      <c r="S112" s="407"/>
      <c r="T112" s="407"/>
      <c r="U112" s="426"/>
    </row>
    <row r="113" spans="1:21" ht="14.15" customHeight="1" x14ac:dyDescent="0.3">
      <c r="A113" s="454"/>
      <c r="B113" s="276"/>
      <c r="C113" s="457"/>
      <c r="D113" s="460"/>
      <c r="E113" s="427"/>
      <c r="F113" s="427"/>
      <c r="G113" s="423"/>
      <c r="H113" s="423"/>
      <c r="I113" s="243"/>
      <c r="J113" s="243"/>
      <c r="K113" s="215" t="s">
        <v>474</v>
      </c>
      <c r="L113" s="242">
        <v>45826</v>
      </c>
      <c r="M113" s="242">
        <v>45828</v>
      </c>
      <c r="N113" s="215" t="s">
        <v>494</v>
      </c>
      <c r="O113" s="215"/>
      <c r="P113" s="215"/>
      <c r="Q113" s="215"/>
      <c r="R113" s="407"/>
      <c r="S113" s="407"/>
      <c r="T113" s="407"/>
      <c r="U113" s="427"/>
    </row>
    <row r="114" spans="1:21" ht="28" x14ac:dyDescent="0.3">
      <c r="A114" s="276">
        <v>15</v>
      </c>
      <c r="B114" s="276" t="s">
        <v>627</v>
      </c>
      <c r="C114" s="277" t="s">
        <v>628</v>
      </c>
      <c r="D114" s="278" t="s">
        <v>648</v>
      </c>
      <c r="E114" s="215" t="s">
        <v>649</v>
      </c>
      <c r="F114" s="215" t="s">
        <v>469</v>
      </c>
      <c r="G114" s="242">
        <v>45800</v>
      </c>
      <c r="H114" s="242">
        <f>L114</f>
        <v>45800</v>
      </c>
      <c r="I114" s="243"/>
      <c r="J114" s="243"/>
      <c r="K114" s="215" t="s">
        <v>470</v>
      </c>
      <c r="L114" s="242">
        <v>45800</v>
      </c>
      <c r="M114" s="242"/>
      <c r="N114" s="215"/>
      <c r="O114" s="215">
        <f ca="1">O1-L114</f>
        <v>45</v>
      </c>
      <c r="P114" s="215"/>
      <c r="Q114" s="215"/>
      <c r="R114" s="215" t="s">
        <v>495</v>
      </c>
      <c r="S114" s="215"/>
      <c r="T114" s="215" t="s">
        <v>473</v>
      </c>
      <c r="U114" s="215">
        <f ca="1">U1-L114</f>
        <v>45</v>
      </c>
    </row>
    <row r="115" spans="1:21" ht="28" x14ac:dyDescent="0.3">
      <c r="A115" s="276">
        <v>16</v>
      </c>
      <c r="B115" s="276" t="s">
        <v>627</v>
      </c>
      <c r="C115" s="277" t="s">
        <v>628</v>
      </c>
      <c r="D115" s="278" t="s">
        <v>650</v>
      </c>
      <c r="E115" s="215" t="s">
        <v>651</v>
      </c>
      <c r="F115" s="215" t="s">
        <v>469</v>
      </c>
      <c r="G115" s="242">
        <v>45826</v>
      </c>
      <c r="H115" s="234">
        <v>45836</v>
      </c>
      <c r="I115" s="279" t="s">
        <v>652</v>
      </c>
      <c r="J115" s="243">
        <v>45814</v>
      </c>
      <c r="K115" s="215"/>
      <c r="L115" s="242"/>
      <c r="M115" s="242"/>
      <c r="N115" s="215"/>
      <c r="O115" s="215"/>
      <c r="P115" s="215"/>
      <c r="Q115" s="215"/>
      <c r="R115" s="215"/>
      <c r="S115" s="215"/>
      <c r="T115" s="215"/>
      <c r="U115" s="215"/>
    </row>
    <row r="116" spans="1:21" x14ac:dyDescent="0.3">
      <c r="A116" s="276">
        <v>17</v>
      </c>
      <c r="B116" s="276" t="s">
        <v>627</v>
      </c>
      <c r="C116" s="277" t="s">
        <v>628</v>
      </c>
      <c r="D116" s="278" t="s">
        <v>653</v>
      </c>
      <c r="E116" s="215" t="s">
        <v>654</v>
      </c>
      <c r="F116" s="215" t="s">
        <v>469</v>
      </c>
      <c r="G116" s="242">
        <v>45826</v>
      </c>
      <c r="H116" s="234">
        <v>45836</v>
      </c>
      <c r="I116" s="243" t="s">
        <v>655</v>
      </c>
      <c r="J116" s="243">
        <v>45814</v>
      </c>
      <c r="K116" s="215"/>
      <c r="L116" s="242"/>
      <c r="M116" s="242"/>
      <c r="N116" s="215"/>
      <c r="O116" s="215"/>
      <c r="P116" s="215"/>
      <c r="Q116" s="215"/>
      <c r="R116" s="215"/>
      <c r="S116" s="215"/>
      <c r="T116" s="215"/>
      <c r="U116" s="215"/>
    </row>
    <row r="117" spans="1:21" ht="28" x14ac:dyDescent="0.3">
      <c r="A117" s="276">
        <v>18</v>
      </c>
      <c r="B117" s="276" t="s">
        <v>627</v>
      </c>
      <c r="C117" s="277" t="s">
        <v>628</v>
      </c>
      <c r="D117" s="278" t="s">
        <v>656</v>
      </c>
      <c r="E117" s="215" t="s">
        <v>657</v>
      </c>
      <c r="F117" s="215" t="s">
        <v>469</v>
      </c>
      <c r="G117" s="242">
        <v>45826</v>
      </c>
      <c r="H117" s="234">
        <v>45836</v>
      </c>
      <c r="I117" s="243" t="s">
        <v>655</v>
      </c>
      <c r="J117" s="243">
        <v>45814</v>
      </c>
      <c r="K117" s="215"/>
      <c r="L117" s="302"/>
      <c r="M117" s="242"/>
      <c r="N117" s="215"/>
      <c r="O117" s="215"/>
      <c r="P117" s="215"/>
      <c r="Q117" s="215"/>
      <c r="R117" s="215"/>
      <c r="S117" s="215"/>
      <c r="T117" s="215"/>
      <c r="U117" s="215"/>
    </row>
    <row r="118" spans="1:21" x14ac:dyDescent="0.3">
      <c r="A118" s="276">
        <v>19</v>
      </c>
      <c r="B118" s="276" t="s">
        <v>627</v>
      </c>
      <c r="C118" s="277" t="s">
        <v>628</v>
      </c>
      <c r="D118" s="278" t="s">
        <v>658</v>
      </c>
      <c r="E118" s="215" t="s">
        <v>659</v>
      </c>
      <c r="F118" s="215" t="s">
        <v>469</v>
      </c>
      <c r="G118" s="242">
        <v>45794</v>
      </c>
      <c r="H118" s="234">
        <v>45836</v>
      </c>
      <c r="I118" s="243"/>
      <c r="J118" s="243"/>
      <c r="K118" s="215"/>
      <c r="L118" s="242"/>
      <c r="M118" s="242"/>
      <c r="N118" s="215"/>
      <c r="O118" s="215"/>
      <c r="P118" s="215"/>
      <c r="Q118" s="215"/>
      <c r="R118" s="215"/>
      <c r="S118" s="215"/>
      <c r="T118" s="215"/>
      <c r="U118" s="215"/>
    </row>
    <row r="119" spans="1:21" ht="28" x14ac:dyDescent="0.3">
      <c r="A119" s="276">
        <v>20</v>
      </c>
      <c r="B119" s="276" t="s">
        <v>627</v>
      </c>
      <c r="C119" s="277" t="s">
        <v>628</v>
      </c>
      <c r="D119" s="278" t="s">
        <v>660</v>
      </c>
      <c r="E119" s="215" t="s">
        <v>661</v>
      </c>
      <c r="F119" s="215" t="s">
        <v>469</v>
      </c>
      <c r="G119" s="242">
        <v>45821</v>
      </c>
      <c r="H119" s="234">
        <v>45838</v>
      </c>
      <c r="I119" s="243"/>
      <c r="J119" s="243"/>
      <c r="K119" s="215"/>
      <c r="L119" s="242"/>
      <c r="M119" s="242"/>
      <c r="N119" s="215"/>
      <c r="O119" s="215"/>
      <c r="P119" s="215"/>
      <c r="Q119" s="215"/>
      <c r="R119" s="215"/>
      <c r="S119" s="215"/>
      <c r="T119" s="215"/>
      <c r="U119" s="215"/>
    </row>
    <row r="120" spans="1:21" ht="28" x14ac:dyDescent="0.3">
      <c r="A120" s="276">
        <v>21</v>
      </c>
      <c r="B120" s="276" t="s">
        <v>627</v>
      </c>
      <c r="C120" s="277" t="s">
        <v>628</v>
      </c>
      <c r="D120" s="278" t="s">
        <v>662</v>
      </c>
      <c r="E120" s="215" t="s">
        <v>663</v>
      </c>
      <c r="F120" s="215" t="s">
        <v>469</v>
      </c>
      <c r="G120" s="242">
        <v>45835</v>
      </c>
      <c r="H120" s="234">
        <v>45838</v>
      </c>
      <c r="I120" s="243" t="s">
        <v>664</v>
      </c>
      <c r="J120" s="243">
        <v>45828</v>
      </c>
      <c r="K120" s="215"/>
      <c r="L120" s="242"/>
      <c r="M120" s="242"/>
      <c r="N120" s="215"/>
      <c r="O120" s="215"/>
      <c r="P120" s="215"/>
      <c r="Q120" s="215"/>
      <c r="R120" s="215"/>
      <c r="S120" s="215"/>
      <c r="T120" s="215"/>
      <c r="U120" s="215"/>
    </row>
    <row r="121" spans="1:21" ht="28" x14ac:dyDescent="0.3">
      <c r="A121" s="276">
        <v>22</v>
      </c>
      <c r="B121" s="276" t="s">
        <v>627</v>
      </c>
      <c r="C121" s="277" t="s">
        <v>628</v>
      </c>
      <c r="D121" s="278" t="s">
        <v>665</v>
      </c>
      <c r="E121" s="215" t="s">
        <v>666</v>
      </c>
      <c r="F121" s="215" t="s">
        <v>479</v>
      </c>
      <c r="G121" s="242">
        <v>45842</v>
      </c>
      <c r="H121" s="234">
        <f t="shared" ref="H121:H129" si="1">G121</f>
        <v>45842</v>
      </c>
      <c r="I121" s="243" t="s">
        <v>664</v>
      </c>
      <c r="J121" s="243">
        <v>45828</v>
      </c>
      <c r="K121" s="215"/>
      <c r="L121" s="242"/>
      <c r="M121" s="242"/>
      <c r="N121" s="215"/>
      <c r="O121" s="215"/>
      <c r="P121" s="215"/>
      <c r="Q121" s="215"/>
      <c r="R121" s="215"/>
      <c r="S121" s="215"/>
      <c r="T121" s="215"/>
      <c r="U121" s="215"/>
    </row>
    <row r="122" spans="1:21" x14ac:dyDescent="0.3">
      <c r="A122" s="276">
        <v>23</v>
      </c>
      <c r="B122" s="276" t="s">
        <v>627</v>
      </c>
      <c r="C122" s="277" t="s">
        <v>628</v>
      </c>
      <c r="D122" s="278" t="s">
        <v>667</v>
      </c>
      <c r="E122" s="215" t="s">
        <v>668</v>
      </c>
      <c r="F122" s="215" t="s">
        <v>469</v>
      </c>
      <c r="G122" s="242">
        <v>45853</v>
      </c>
      <c r="H122" s="234">
        <f t="shared" si="1"/>
        <v>45853</v>
      </c>
      <c r="I122" s="243"/>
      <c r="J122" s="243">
        <v>45835</v>
      </c>
      <c r="K122" s="215"/>
      <c r="L122" s="242"/>
      <c r="M122" s="242"/>
      <c r="N122" s="215"/>
      <c r="O122" s="215"/>
      <c r="P122" s="215"/>
      <c r="Q122" s="215"/>
      <c r="R122" s="215"/>
      <c r="S122" s="215"/>
      <c r="T122" s="215"/>
      <c r="U122" s="215"/>
    </row>
    <row r="123" spans="1:21" ht="28" x14ac:dyDescent="0.3">
      <c r="A123" s="276">
        <v>24</v>
      </c>
      <c r="B123" s="276" t="s">
        <v>627</v>
      </c>
      <c r="C123" s="277" t="s">
        <v>628</v>
      </c>
      <c r="D123" s="278" t="s">
        <v>669</v>
      </c>
      <c r="E123" s="215" t="s">
        <v>670</v>
      </c>
      <c r="F123" s="215" t="s">
        <v>469</v>
      </c>
      <c r="G123" s="242">
        <v>45838</v>
      </c>
      <c r="H123" s="234">
        <f t="shared" si="1"/>
        <v>45838</v>
      </c>
      <c r="I123" s="243"/>
      <c r="J123" s="243">
        <v>45838</v>
      </c>
      <c r="K123" s="215"/>
      <c r="L123" s="242"/>
      <c r="M123" s="242"/>
      <c r="N123" s="215"/>
      <c r="O123" s="215"/>
      <c r="P123" s="215"/>
      <c r="Q123" s="215"/>
      <c r="R123" s="215"/>
      <c r="S123" s="215"/>
      <c r="T123" s="215"/>
      <c r="U123" s="215"/>
    </row>
    <row r="124" spans="1:21" x14ac:dyDescent="0.3">
      <c r="A124" s="276">
        <v>25</v>
      </c>
      <c r="B124" s="276" t="s">
        <v>627</v>
      </c>
      <c r="C124" s="277" t="s">
        <v>628</v>
      </c>
      <c r="D124" s="278" t="s">
        <v>671</v>
      </c>
      <c r="E124" s="215" t="s">
        <v>672</v>
      </c>
      <c r="F124" s="215" t="s">
        <v>469</v>
      </c>
      <c r="G124" s="242">
        <v>45850</v>
      </c>
      <c r="H124" s="234">
        <f t="shared" si="1"/>
        <v>45850</v>
      </c>
      <c r="I124" s="243"/>
      <c r="J124" s="243">
        <v>45850</v>
      </c>
      <c r="K124" s="215"/>
      <c r="L124" s="242"/>
      <c r="M124" s="242"/>
      <c r="N124" s="215"/>
      <c r="O124" s="215"/>
      <c r="P124" s="215"/>
      <c r="Q124" s="215"/>
      <c r="R124" s="215"/>
      <c r="S124" s="215"/>
      <c r="T124" s="215"/>
      <c r="U124" s="215"/>
    </row>
    <row r="125" spans="1:21" x14ac:dyDescent="0.3">
      <c r="A125" s="276">
        <v>1</v>
      </c>
      <c r="B125" s="276" t="s">
        <v>627</v>
      </c>
      <c r="C125" s="277" t="s">
        <v>628</v>
      </c>
      <c r="D125" s="278" t="s">
        <v>673</v>
      </c>
      <c r="E125" s="215" t="s">
        <v>674</v>
      </c>
      <c r="F125" s="215" t="s">
        <v>469</v>
      </c>
      <c r="G125" s="242">
        <v>45852</v>
      </c>
      <c r="H125" s="234">
        <f t="shared" si="1"/>
        <v>45852</v>
      </c>
      <c r="I125" s="243"/>
      <c r="J125" s="243">
        <v>45852</v>
      </c>
      <c r="K125" s="215"/>
      <c r="L125" s="242"/>
      <c r="M125" s="242"/>
      <c r="N125" s="215"/>
      <c r="O125" s="215"/>
      <c r="P125" s="215"/>
      <c r="Q125" s="215"/>
      <c r="R125" s="215"/>
      <c r="S125" s="215"/>
      <c r="T125" s="215"/>
      <c r="U125" s="215"/>
    </row>
    <row r="126" spans="1:21" x14ac:dyDescent="0.3">
      <c r="A126" s="276">
        <v>2</v>
      </c>
      <c r="B126" s="276" t="s">
        <v>627</v>
      </c>
      <c r="C126" s="277" t="s">
        <v>628</v>
      </c>
      <c r="D126" s="278" t="s">
        <v>675</v>
      </c>
      <c r="E126" s="215" t="s">
        <v>676</v>
      </c>
      <c r="F126" s="215" t="s">
        <v>469</v>
      </c>
      <c r="G126" s="242">
        <v>45863</v>
      </c>
      <c r="H126" s="234">
        <f t="shared" si="1"/>
        <v>45863</v>
      </c>
      <c r="I126" s="243"/>
      <c r="J126" s="243">
        <v>45853</v>
      </c>
      <c r="K126" s="215"/>
      <c r="L126" s="242"/>
      <c r="M126" s="242"/>
      <c r="N126" s="215"/>
      <c r="O126" s="215"/>
      <c r="P126" s="215"/>
      <c r="Q126" s="215"/>
      <c r="R126" s="215"/>
      <c r="S126" s="215"/>
      <c r="T126" s="215"/>
      <c r="U126" s="215"/>
    </row>
    <row r="127" spans="1:21" ht="28" x14ac:dyDescent="0.3">
      <c r="A127" s="276">
        <v>3</v>
      </c>
      <c r="B127" s="276" t="s">
        <v>627</v>
      </c>
      <c r="C127" s="277" t="s">
        <v>628</v>
      </c>
      <c r="D127" s="278" t="s">
        <v>677</v>
      </c>
      <c r="E127" s="215" t="s">
        <v>678</v>
      </c>
      <c r="F127" s="215" t="s">
        <v>469</v>
      </c>
      <c r="G127" s="242">
        <v>45854</v>
      </c>
      <c r="H127" s="234">
        <f t="shared" si="1"/>
        <v>45854</v>
      </c>
      <c r="I127" s="243"/>
      <c r="J127" s="243">
        <v>45854</v>
      </c>
      <c r="K127" s="215"/>
      <c r="L127" s="242"/>
      <c r="M127" s="242"/>
      <c r="N127" s="215"/>
      <c r="O127" s="215"/>
      <c r="P127" s="215"/>
      <c r="Q127" s="215"/>
      <c r="R127" s="215"/>
      <c r="S127" s="215"/>
      <c r="T127" s="215"/>
      <c r="U127" s="215"/>
    </row>
    <row r="128" spans="1:21" ht="28" x14ac:dyDescent="0.3">
      <c r="A128" s="444">
        <v>4</v>
      </c>
      <c r="B128" s="276" t="s">
        <v>627</v>
      </c>
      <c r="C128" s="277" t="s">
        <v>628</v>
      </c>
      <c r="D128" s="278" t="s">
        <v>679</v>
      </c>
      <c r="E128" s="215" t="s">
        <v>680</v>
      </c>
      <c r="F128" s="215" t="s">
        <v>469</v>
      </c>
      <c r="G128" s="242">
        <v>45860</v>
      </c>
      <c r="H128" s="234">
        <f t="shared" si="1"/>
        <v>45860</v>
      </c>
      <c r="I128" s="243"/>
      <c r="J128" s="243">
        <v>45860</v>
      </c>
      <c r="K128" s="215"/>
      <c r="L128" s="242"/>
      <c r="M128" s="242"/>
      <c r="N128" s="215"/>
      <c r="O128" s="215"/>
      <c r="P128" s="215"/>
      <c r="Q128" s="215"/>
      <c r="R128" s="215"/>
      <c r="S128" s="215"/>
      <c r="T128" s="215"/>
      <c r="U128" s="215"/>
    </row>
    <row r="129" spans="1:21" ht="28" x14ac:dyDescent="0.3">
      <c r="A129" s="444"/>
      <c r="B129" s="276" t="s">
        <v>627</v>
      </c>
      <c r="C129" s="277" t="s">
        <v>628</v>
      </c>
      <c r="D129" s="278" t="s">
        <v>681</v>
      </c>
      <c r="E129" s="215" t="s">
        <v>682</v>
      </c>
      <c r="F129" s="215" t="s">
        <v>469</v>
      </c>
      <c r="G129" s="242">
        <v>45866</v>
      </c>
      <c r="H129" s="234">
        <f t="shared" si="1"/>
        <v>45866</v>
      </c>
      <c r="I129" s="243"/>
      <c r="J129" s="243">
        <v>45866</v>
      </c>
      <c r="K129" s="215"/>
      <c r="L129" s="242"/>
      <c r="M129" s="242"/>
      <c r="N129" s="215"/>
      <c r="O129" s="215"/>
      <c r="P129" s="215"/>
      <c r="Q129" s="215"/>
      <c r="R129" s="215"/>
      <c r="S129" s="215"/>
      <c r="T129" s="215"/>
      <c r="U129" s="215"/>
    </row>
    <row r="130" spans="1:21" ht="28" x14ac:dyDescent="0.3">
      <c r="A130" s="276">
        <v>5</v>
      </c>
      <c r="B130" s="276" t="s">
        <v>627</v>
      </c>
      <c r="C130" s="277" t="s">
        <v>683</v>
      </c>
      <c r="D130" s="278" t="s">
        <v>684</v>
      </c>
      <c r="E130" s="215" t="s">
        <v>685</v>
      </c>
      <c r="F130" s="215" t="s">
        <v>469</v>
      </c>
      <c r="G130" s="242">
        <v>45714</v>
      </c>
      <c r="H130" s="242">
        <f>L130</f>
        <v>45714</v>
      </c>
      <c r="I130" s="243"/>
      <c r="J130" s="243"/>
      <c r="K130" s="215" t="s">
        <v>470</v>
      </c>
      <c r="L130" s="242">
        <v>45714</v>
      </c>
      <c r="M130" s="242"/>
      <c r="N130" s="215"/>
      <c r="O130" s="215">
        <f ca="1">O1-L130</f>
        <v>131</v>
      </c>
      <c r="P130" s="215"/>
      <c r="Q130" s="215"/>
      <c r="R130" s="215" t="s">
        <v>495</v>
      </c>
      <c r="S130" s="215"/>
      <c r="T130" s="215" t="s">
        <v>473</v>
      </c>
      <c r="U130" s="215">
        <f ca="1">U1-L130</f>
        <v>131</v>
      </c>
    </row>
    <row r="131" spans="1:21" ht="28" x14ac:dyDescent="0.3">
      <c r="A131" s="276">
        <v>6</v>
      </c>
      <c r="B131" s="276" t="s">
        <v>627</v>
      </c>
      <c r="C131" s="277" t="s">
        <v>683</v>
      </c>
      <c r="D131" s="278" t="s">
        <v>686</v>
      </c>
      <c r="E131" s="215" t="s">
        <v>687</v>
      </c>
      <c r="F131" s="215" t="s">
        <v>469</v>
      </c>
      <c r="G131" s="242">
        <v>45877</v>
      </c>
      <c r="H131" s="234">
        <f>G131</f>
        <v>45877</v>
      </c>
      <c r="I131" s="243"/>
      <c r="J131" s="243">
        <v>45877</v>
      </c>
      <c r="K131" s="215"/>
      <c r="L131" s="242"/>
      <c r="M131" s="242"/>
      <c r="N131" s="215"/>
      <c r="O131" s="215"/>
      <c r="P131" s="215"/>
      <c r="Q131" s="215"/>
      <c r="R131" s="215"/>
      <c r="S131" s="215"/>
      <c r="T131" s="215"/>
      <c r="U131" s="215"/>
    </row>
    <row r="132" spans="1:21" ht="28" x14ac:dyDescent="0.3">
      <c r="A132" s="276">
        <v>7</v>
      </c>
      <c r="B132" s="276" t="s">
        <v>627</v>
      </c>
      <c r="C132" s="277" t="s">
        <v>683</v>
      </c>
      <c r="D132" s="278" t="s">
        <v>688</v>
      </c>
      <c r="E132" s="215" t="s">
        <v>689</v>
      </c>
      <c r="F132" s="215" t="s">
        <v>469</v>
      </c>
      <c r="G132" s="242">
        <v>45987</v>
      </c>
      <c r="H132" s="234">
        <f>G132</f>
        <v>45987</v>
      </c>
      <c r="I132" s="243"/>
      <c r="J132" s="243">
        <v>45987</v>
      </c>
      <c r="K132" s="215"/>
      <c r="L132" s="242"/>
      <c r="M132" s="242"/>
      <c r="N132" s="215"/>
      <c r="O132" s="215"/>
      <c r="P132" s="215"/>
      <c r="Q132" s="215"/>
      <c r="R132" s="215"/>
      <c r="S132" s="215"/>
      <c r="T132" s="215"/>
      <c r="U132" s="215"/>
    </row>
    <row r="133" spans="1:21" s="297" customFormat="1" x14ac:dyDescent="0.3">
      <c r="A133" s="221">
        <v>8</v>
      </c>
      <c r="B133" s="387" t="s">
        <v>627</v>
      </c>
      <c r="C133" s="388" t="s">
        <v>683</v>
      </c>
      <c r="D133" s="389" t="s">
        <v>690</v>
      </c>
      <c r="E133" s="385" t="s">
        <v>691</v>
      </c>
      <c r="F133" s="396" t="s">
        <v>469</v>
      </c>
      <c r="G133" s="384">
        <v>45754</v>
      </c>
      <c r="H133" s="398">
        <f>L133</f>
        <v>45773</v>
      </c>
      <c r="I133" s="461"/>
      <c r="J133" s="461"/>
      <c r="K133" s="224" t="s">
        <v>470</v>
      </c>
      <c r="L133" s="225">
        <v>45773</v>
      </c>
      <c r="M133" s="225">
        <v>45777</v>
      </c>
      <c r="N133" s="224" t="s">
        <v>471</v>
      </c>
      <c r="O133" s="224">
        <f>M133-L133</f>
        <v>4</v>
      </c>
      <c r="P133" s="224">
        <f>L134-M133</f>
        <v>14</v>
      </c>
      <c r="Q133" s="385"/>
      <c r="R133" s="385" t="s">
        <v>495</v>
      </c>
      <c r="S133" s="385" t="s">
        <v>485</v>
      </c>
      <c r="T133" s="385" t="s">
        <v>399</v>
      </c>
      <c r="U133" s="385">
        <f>M134-L134</f>
        <v>21</v>
      </c>
    </row>
    <row r="134" spans="1:21" s="297" customFormat="1" x14ac:dyDescent="0.3">
      <c r="A134" s="221">
        <v>9</v>
      </c>
      <c r="B134" s="387"/>
      <c r="C134" s="388"/>
      <c r="D134" s="389"/>
      <c r="E134" s="385"/>
      <c r="F134" s="397"/>
      <c r="G134" s="384"/>
      <c r="H134" s="399"/>
      <c r="I134" s="463"/>
      <c r="J134" s="463"/>
      <c r="K134" s="224" t="s">
        <v>472</v>
      </c>
      <c r="L134" s="225">
        <v>45791</v>
      </c>
      <c r="M134" s="225">
        <v>45812</v>
      </c>
      <c r="N134" s="224" t="s">
        <v>485</v>
      </c>
      <c r="O134" s="224">
        <f>M134-L134</f>
        <v>21</v>
      </c>
      <c r="P134" s="224"/>
      <c r="Q134" s="385"/>
      <c r="R134" s="385"/>
      <c r="S134" s="385"/>
      <c r="T134" s="385"/>
      <c r="U134" s="385"/>
    </row>
    <row r="135" spans="1:21" s="297" customFormat="1" ht="28" customHeight="1" x14ac:dyDescent="0.3">
      <c r="A135" s="390">
        <v>10</v>
      </c>
      <c r="B135" s="221" t="s">
        <v>627</v>
      </c>
      <c r="C135" s="392" t="s">
        <v>683</v>
      </c>
      <c r="D135" s="394" t="s">
        <v>692</v>
      </c>
      <c r="E135" s="396" t="s">
        <v>693</v>
      </c>
      <c r="F135" s="396" t="s">
        <v>469</v>
      </c>
      <c r="G135" s="398">
        <v>45754</v>
      </c>
      <c r="H135" s="398">
        <f>L135</f>
        <v>45791</v>
      </c>
      <c r="I135" s="461"/>
      <c r="J135" s="461"/>
      <c r="K135" s="224" t="s">
        <v>470</v>
      </c>
      <c r="L135" s="225">
        <v>45791</v>
      </c>
      <c r="M135" s="225">
        <v>45809</v>
      </c>
      <c r="N135" s="224" t="s">
        <v>471</v>
      </c>
      <c r="O135" s="224">
        <f>M135-L135</f>
        <v>18</v>
      </c>
      <c r="P135" s="224">
        <f>L137-M135</f>
        <v>12</v>
      </c>
      <c r="Q135" s="396"/>
      <c r="R135" s="396" t="s">
        <v>495</v>
      </c>
      <c r="S135" s="396" t="str">
        <f>N137</f>
        <v>CAT - I</v>
      </c>
      <c r="T135" s="396" t="s">
        <v>399</v>
      </c>
      <c r="U135" s="396">
        <f ca="1">U1-L135</f>
        <v>54</v>
      </c>
    </row>
    <row r="136" spans="1:21" s="297" customFormat="1" x14ac:dyDescent="0.3">
      <c r="A136" s="410"/>
      <c r="B136" s="221"/>
      <c r="C136" s="411"/>
      <c r="D136" s="412"/>
      <c r="E136" s="413"/>
      <c r="F136" s="413"/>
      <c r="G136" s="417"/>
      <c r="H136" s="417"/>
      <c r="I136" s="462"/>
      <c r="J136" s="462"/>
      <c r="K136" s="224" t="s">
        <v>472</v>
      </c>
      <c r="L136" s="225">
        <v>45812</v>
      </c>
      <c r="M136" s="225">
        <v>45820</v>
      </c>
      <c r="N136" s="224" t="s">
        <v>471</v>
      </c>
      <c r="O136" s="224"/>
      <c r="P136" s="224"/>
      <c r="Q136" s="413"/>
      <c r="R136" s="413"/>
      <c r="S136" s="413"/>
      <c r="T136" s="413"/>
      <c r="U136" s="413"/>
    </row>
    <row r="137" spans="1:21" s="297" customFormat="1" x14ac:dyDescent="0.3">
      <c r="A137" s="391"/>
      <c r="B137" s="221"/>
      <c r="C137" s="393"/>
      <c r="D137" s="419"/>
      <c r="E137" s="397"/>
      <c r="F137" s="397"/>
      <c r="G137" s="399"/>
      <c r="H137" s="399"/>
      <c r="I137" s="463"/>
      <c r="J137" s="463"/>
      <c r="K137" s="224" t="s">
        <v>474</v>
      </c>
      <c r="L137" s="225">
        <v>45821</v>
      </c>
      <c r="M137" s="225">
        <v>45830</v>
      </c>
      <c r="N137" s="224" t="s">
        <v>485</v>
      </c>
      <c r="O137" s="224">
        <f ca="1">O1-L137</f>
        <v>24</v>
      </c>
      <c r="P137" s="224"/>
      <c r="Q137" s="397"/>
      <c r="R137" s="397"/>
      <c r="S137" s="397"/>
      <c r="T137" s="397"/>
      <c r="U137" s="397"/>
    </row>
    <row r="138" spans="1:21" ht="28" x14ac:dyDescent="0.3">
      <c r="A138" s="276">
        <v>11</v>
      </c>
      <c r="B138" s="276" t="s">
        <v>627</v>
      </c>
      <c r="C138" s="277" t="s">
        <v>683</v>
      </c>
      <c r="D138" s="278" t="s">
        <v>694</v>
      </c>
      <c r="E138" s="215" t="s">
        <v>695</v>
      </c>
      <c r="F138" s="215" t="s">
        <v>469</v>
      </c>
      <c r="G138" s="242">
        <v>45811</v>
      </c>
      <c r="H138" s="242">
        <v>45837</v>
      </c>
      <c r="I138" s="243"/>
      <c r="J138" s="243">
        <f>J107+7</f>
        <v>45828</v>
      </c>
      <c r="K138" s="215"/>
      <c r="L138" s="242"/>
      <c r="M138" s="242"/>
      <c r="N138" s="215"/>
      <c r="O138" s="215"/>
      <c r="P138" s="215"/>
      <c r="Q138" s="215"/>
      <c r="R138" s="215"/>
      <c r="S138" s="215"/>
      <c r="T138" s="215"/>
      <c r="U138" s="215"/>
    </row>
    <row r="139" spans="1:21" ht="28" x14ac:dyDescent="0.3">
      <c r="A139" s="444">
        <v>12</v>
      </c>
      <c r="B139" s="276" t="s">
        <v>627</v>
      </c>
      <c r="C139" s="277" t="s">
        <v>683</v>
      </c>
      <c r="D139" s="278" t="s">
        <v>696</v>
      </c>
      <c r="E139" s="215" t="s">
        <v>697</v>
      </c>
      <c r="F139" s="215" t="s">
        <v>469</v>
      </c>
      <c r="G139" s="242">
        <v>45808</v>
      </c>
      <c r="H139" s="242">
        <v>45837</v>
      </c>
      <c r="I139" s="243"/>
      <c r="J139" s="243">
        <f>J108+7</f>
        <v>45828</v>
      </c>
      <c r="K139" s="215"/>
      <c r="L139" s="242"/>
      <c r="M139" s="242"/>
      <c r="N139" s="215"/>
      <c r="O139" s="215"/>
      <c r="P139" s="215"/>
      <c r="Q139" s="215"/>
      <c r="R139" s="215"/>
      <c r="S139" s="215"/>
      <c r="T139" s="215"/>
      <c r="U139" s="215"/>
    </row>
    <row r="140" spans="1:21" ht="28" x14ac:dyDescent="0.3">
      <c r="A140" s="444"/>
      <c r="B140" s="276" t="s">
        <v>627</v>
      </c>
      <c r="C140" s="277" t="s">
        <v>683</v>
      </c>
      <c r="D140" s="278" t="s">
        <v>698</v>
      </c>
      <c r="E140" s="215" t="s">
        <v>699</v>
      </c>
      <c r="F140" s="215" t="s">
        <v>469</v>
      </c>
      <c r="G140" s="242">
        <v>45831</v>
      </c>
      <c r="H140" s="242">
        <v>45837</v>
      </c>
      <c r="I140" s="243"/>
      <c r="J140" s="243">
        <v>45831</v>
      </c>
      <c r="K140" s="215"/>
      <c r="L140" s="242"/>
      <c r="M140" s="242"/>
      <c r="N140" s="215"/>
      <c r="O140" s="215"/>
      <c r="P140" s="215"/>
      <c r="Q140" s="215"/>
      <c r="R140" s="215"/>
      <c r="S140" s="215"/>
      <c r="T140" s="215"/>
      <c r="U140" s="215"/>
    </row>
    <row r="141" spans="1:21" ht="28" x14ac:dyDescent="0.3">
      <c r="A141" s="275">
        <v>13</v>
      </c>
      <c r="B141" s="276" t="s">
        <v>627</v>
      </c>
      <c r="C141" s="277" t="s">
        <v>683</v>
      </c>
      <c r="D141" s="278" t="s">
        <v>700</v>
      </c>
      <c r="E141" s="215" t="s">
        <v>701</v>
      </c>
      <c r="F141" s="215" t="s">
        <v>479</v>
      </c>
      <c r="G141" s="242">
        <v>45829</v>
      </c>
      <c r="H141" s="242">
        <v>45837</v>
      </c>
      <c r="I141" s="243"/>
      <c r="J141" s="243">
        <v>45829</v>
      </c>
      <c r="K141" s="215"/>
      <c r="L141" s="242"/>
      <c r="M141" s="242"/>
      <c r="N141" s="215"/>
      <c r="O141" s="215"/>
      <c r="P141" s="215"/>
      <c r="Q141" s="215"/>
      <c r="R141" s="215"/>
      <c r="S141" s="215"/>
      <c r="T141" s="215"/>
      <c r="U141" s="215"/>
    </row>
    <row r="142" spans="1:21" s="297" customFormat="1" x14ac:dyDescent="0.3">
      <c r="A142" s="396"/>
      <c r="B142" s="224" t="s">
        <v>627</v>
      </c>
      <c r="C142" s="464" t="s">
        <v>683</v>
      </c>
      <c r="D142" s="467" t="s">
        <v>702</v>
      </c>
      <c r="E142" s="396" t="s">
        <v>703</v>
      </c>
      <c r="F142" s="396" t="s">
        <v>469</v>
      </c>
      <c r="G142" s="398">
        <v>45783</v>
      </c>
      <c r="H142" s="398">
        <f>L142</f>
        <v>45792</v>
      </c>
      <c r="I142" s="226"/>
      <c r="J142" s="226"/>
      <c r="K142" s="224" t="s">
        <v>470</v>
      </c>
      <c r="L142" s="225">
        <v>45792</v>
      </c>
      <c r="M142" s="225">
        <v>45813</v>
      </c>
      <c r="N142" s="224" t="s">
        <v>471</v>
      </c>
      <c r="O142" s="224">
        <f ca="1">O1-L142</f>
        <v>53</v>
      </c>
      <c r="P142" s="224"/>
      <c r="Q142" s="400">
        <f>M142</f>
        <v>45813</v>
      </c>
      <c r="R142" s="396" t="s">
        <v>495</v>
      </c>
      <c r="S142" s="396" t="str">
        <f>N143</f>
        <v>CAT - II</v>
      </c>
      <c r="T142" s="396" t="s">
        <v>399</v>
      </c>
      <c r="U142" s="224">
        <f ca="1">U1-L142</f>
        <v>53</v>
      </c>
    </row>
    <row r="143" spans="1:21" s="297" customFormat="1" x14ac:dyDescent="0.3">
      <c r="A143" s="413"/>
      <c r="B143" s="224"/>
      <c r="C143" s="465"/>
      <c r="D143" s="468"/>
      <c r="E143" s="413"/>
      <c r="F143" s="413"/>
      <c r="G143" s="417"/>
      <c r="H143" s="417"/>
      <c r="I143" s="226"/>
      <c r="J143" s="226"/>
      <c r="K143" s="224" t="s">
        <v>472</v>
      </c>
      <c r="L143" s="225">
        <v>45813</v>
      </c>
      <c r="M143" s="225">
        <v>45821</v>
      </c>
      <c r="N143" s="224" t="s">
        <v>494</v>
      </c>
      <c r="O143" s="224"/>
      <c r="P143" s="224"/>
      <c r="Q143" s="420"/>
      <c r="R143" s="413"/>
      <c r="S143" s="413"/>
      <c r="T143" s="413"/>
      <c r="U143" s="224"/>
    </row>
    <row r="144" spans="1:21" s="297" customFormat="1" x14ac:dyDescent="0.3">
      <c r="A144" s="397"/>
      <c r="B144" s="224"/>
      <c r="C144" s="466"/>
      <c r="D144" s="469"/>
      <c r="E144" s="397"/>
      <c r="F144" s="397"/>
      <c r="G144" s="399"/>
      <c r="H144" s="399"/>
      <c r="I144" s="226"/>
      <c r="J144" s="226"/>
      <c r="K144" s="224" t="s">
        <v>474</v>
      </c>
      <c r="L144" s="225">
        <v>45827</v>
      </c>
      <c r="M144" s="225">
        <v>45830</v>
      </c>
      <c r="N144" s="224" t="s">
        <v>485</v>
      </c>
      <c r="O144" s="224"/>
      <c r="P144" s="224"/>
      <c r="Q144" s="401"/>
      <c r="R144" s="397"/>
      <c r="S144" s="397"/>
      <c r="T144" s="397"/>
      <c r="U144" s="224"/>
    </row>
    <row r="145" spans="1:21" ht="28" x14ac:dyDescent="0.3">
      <c r="A145" s="276">
        <v>14</v>
      </c>
      <c r="B145" s="276" t="s">
        <v>627</v>
      </c>
      <c r="C145" s="277" t="s">
        <v>683</v>
      </c>
      <c r="D145" s="278" t="s">
        <v>704</v>
      </c>
      <c r="E145" s="215" t="s">
        <v>705</v>
      </c>
      <c r="F145" s="215" t="s">
        <v>469</v>
      </c>
      <c r="G145" s="242">
        <v>45783</v>
      </c>
      <c r="H145" s="242">
        <f>L145</f>
        <v>45791</v>
      </c>
      <c r="I145" s="243"/>
      <c r="J145" s="243"/>
      <c r="K145" s="215" t="s">
        <v>470</v>
      </c>
      <c r="L145" s="242">
        <v>45791</v>
      </c>
      <c r="M145" s="242"/>
      <c r="N145" s="215"/>
      <c r="O145" s="215">
        <f ca="1">O1-L145</f>
        <v>54</v>
      </c>
      <c r="P145" s="215"/>
      <c r="Q145" s="215"/>
      <c r="R145" s="215" t="s">
        <v>495</v>
      </c>
      <c r="S145" s="215"/>
      <c r="T145" s="215" t="s">
        <v>473</v>
      </c>
      <c r="U145" s="215">
        <f ca="1">U1-L145</f>
        <v>54</v>
      </c>
    </row>
    <row r="146" spans="1:21" s="297" customFormat="1" x14ac:dyDescent="0.3">
      <c r="A146" s="221">
        <v>15</v>
      </c>
      <c r="B146" s="387" t="s">
        <v>627</v>
      </c>
      <c r="C146" s="388" t="s">
        <v>683</v>
      </c>
      <c r="D146" s="389" t="s">
        <v>706</v>
      </c>
      <c r="E146" s="385" t="s">
        <v>707</v>
      </c>
      <c r="F146" s="385" t="s">
        <v>469</v>
      </c>
      <c r="G146" s="384">
        <v>45755</v>
      </c>
      <c r="H146" s="398">
        <f>L146</f>
        <v>45755</v>
      </c>
      <c r="I146" s="226"/>
      <c r="J146" s="226"/>
      <c r="K146" s="224" t="s">
        <v>470</v>
      </c>
      <c r="L146" s="225">
        <v>45755</v>
      </c>
      <c r="M146" s="225">
        <v>45770</v>
      </c>
      <c r="N146" s="224" t="s">
        <v>471</v>
      </c>
      <c r="O146" s="224">
        <f t="shared" ref="O146:O151" si="2">M146-L146</f>
        <v>15</v>
      </c>
      <c r="P146" s="224">
        <f>L148-M146</f>
        <v>55</v>
      </c>
      <c r="Q146" s="385"/>
      <c r="R146" s="385" t="s">
        <v>495</v>
      </c>
      <c r="S146" s="385" t="str">
        <f>N148</f>
        <v>CAT - I</v>
      </c>
      <c r="T146" s="385" t="s">
        <v>399</v>
      </c>
      <c r="U146" s="385">
        <f ca="1">U1-L148</f>
        <v>20</v>
      </c>
    </row>
    <row r="147" spans="1:21" s="297" customFormat="1" x14ac:dyDescent="0.3">
      <c r="A147" s="221">
        <v>1</v>
      </c>
      <c r="B147" s="387"/>
      <c r="C147" s="388"/>
      <c r="D147" s="389"/>
      <c r="E147" s="385"/>
      <c r="F147" s="385"/>
      <c r="G147" s="384"/>
      <c r="H147" s="417"/>
      <c r="I147" s="226"/>
      <c r="J147" s="226"/>
      <c r="K147" s="224" t="s">
        <v>472</v>
      </c>
      <c r="L147" s="225">
        <v>45788</v>
      </c>
      <c r="M147" s="225">
        <v>45809</v>
      </c>
      <c r="N147" s="224" t="s">
        <v>471</v>
      </c>
      <c r="O147" s="224">
        <f t="shared" si="2"/>
        <v>21</v>
      </c>
      <c r="P147" s="224">
        <f>L148-M147</f>
        <v>16</v>
      </c>
      <c r="Q147" s="385"/>
      <c r="R147" s="385"/>
      <c r="S147" s="385"/>
      <c r="T147" s="385"/>
      <c r="U147" s="385"/>
    </row>
    <row r="148" spans="1:21" s="297" customFormat="1" x14ac:dyDescent="0.3">
      <c r="A148" s="221">
        <v>1</v>
      </c>
      <c r="B148" s="387"/>
      <c r="C148" s="388"/>
      <c r="D148" s="389"/>
      <c r="E148" s="385"/>
      <c r="F148" s="385"/>
      <c r="G148" s="384"/>
      <c r="H148" s="399"/>
      <c r="I148" s="226"/>
      <c r="J148" s="226"/>
      <c r="K148" s="224" t="s">
        <v>472</v>
      </c>
      <c r="L148" s="225">
        <v>45825</v>
      </c>
      <c r="M148" s="225">
        <v>45830</v>
      </c>
      <c r="N148" s="224" t="s">
        <v>485</v>
      </c>
      <c r="O148" s="224">
        <f t="shared" si="2"/>
        <v>5</v>
      </c>
      <c r="P148" s="224">
        <f ca="1">O1-M148</f>
        <v>15</v>
      </c>
      <c r="Q148" s="385"/>
      <c r="R148" s="385"/>
      <c r="S148" s="385"/>
      <c r="T148" s="385"/>
      <c r="U148" s="385"/>
    </row>
    <row r="149" spans="1:21" s="297" customFormat="1" x14ac:dyDescent="0.3">
      <c r="A149" s="221">
        <v>2</v>
      </c>
      <c r="B149" s="387" t="s">
        <v>627</v>
      </c>
      <c r="C149" s="388" t="s">
        <v>683</v>
      </c>
      <c r="D149" s="389" t="s">
        <v>396</v>
      </c>
      <c r="E149" s="385" t="s">
        <v>708</v>
      </c>
      <c r="F149" s="385" t="s">
        <v>469</v>
      </c>
      <c r="G149" s="384">
        <v>45755</v>
      </c>
      <c r="H149" s="398">
        <f>L149</f>
        <v>45755</v>
      </c>
      <c r="I149" s="226"/>
      <c r="J149" s="226"/>
      <c r="K149" s="224" t="s">
        <v>470</v>
      </c>
      <c r="L149" s="225">
        <v>45755</v>
      </c>
      <c r="M149" s="225">
        <v>45770</v>
      </c>
      <c r="N149" s="224" t="s">
        <v>471</v>
      </c>
      <c r="O149" s="224">
        <f t="shared" si="2"/>
        <v>15</v>
      </c>
      <c r="P149" s="224">
        <f>L151-M149</f>
        <v>55</v>
      </c>
      <c r="Q149" s="385"/>
      <c r="R149" s="385" t="s">
        <v>495</v>
      </c>
      <c r="S149" s="385" t="str">
        <f>N151</f>
        <v>CAT - I</v>
      </c>
      <c r="T149" s="385" t="s">
        <v>399</v>
      </c>
      <c r="U149" s="385">
        <f ca="1">U1-L151</f>
        <v>20</v>
      </c>
    </row>
    <row r="150" spans="1:21" s="297" customFormat="1" x14ac:dyDescent="0.3">
      <c r="A150" s="221">
        <v>3</v>
      </c>
      <c r="B150" s="387"/>
      <c r="C150" s="388"/>
      <c r="D150" s="389"/>
      <c r="E150" s="385"/>
      <c r="F150" s="385"/>
      <c r="G150" s="384"/>
      <c r="H150" s="417"/>
      <c r="I150" s="226"/>
      <c r="J150" s="226"/>
      <c r="K150" s="224" t="s">
        <v>472</v>
      </c>
      <c r="L150" s="225">
        <v>45787</v>
      </c>
      <c r="M150" s="225">
        <v>45809</v>
      </c>
      <c r="N150" s="224" t="s">
        <v>471</v>
      </c>
      <c r="O150" s="224">
        <f t="shared" si="2"/>
        <v>22</v>
      </c>
      <c r="P150" s="224">
        <f>L151-M150</f>
        <v>16</v>
      </c>
      <c r="Q150" s="385"/>
      <c r="R150" s="385"/>
      <c r="S150" s="385"/>
      <c r="T150" s="385"/>
      <c r="U150" s="385"/>
    </row>
    <row r="151" spans="1:21" s="297" customFormat="1" x14ac:dyDescent="0.3">
      <c r="A151" s="221">
        <v>3</v>
      </c>
      <c r="B151" s="387"/>
      <c r="C151" s="388"/>
      <c r="D151" s="389"/>
      <c r="E151" s="385"/>
      <c r="F151" s="385"/>
      <c r="G151" s="384"/>
      <c r="H151" s="399"/>
      <c r="I151" s="226"/>
      <c r="J151" s="226"/>
      <c r="K151" s="224" t="s">
        <v>474</v>
      </c>
      <c r="L151" s="225">
        <v>45825</v>
      </c>
      <c r="M151" s="225">
        <v>45830</v>
      </c>
      <c r="N151" s="224" t="s">
        <v>485</v>
      </c>
      <c r="O151" s="224">
        <f t="shared" si="2"/>
        <v>5</v>
      </c>
      <c r="P151" s="224"/>
      <c r="Q151" s="385"/>
      <c r="R151" s="385"/>
      <c r="S151" s="385"/>
      <c r="T151" s="385"/>
      <c r="U151" s="385"/>
    </row>
    <row r="152" spans="1:21" ht="28" x14ac:dyDescent="0.3">
      <c r="A152" s="276">
        <v>4</v>
      </c>
      <c r="B152" s="276" t="s">
        <v>627</v>
      </c>
      <c r="C152" s="277" t="s">
        <v>683</v>
      </c>
      <c r="D152" s="278" t="s">
        <v>709</v>
      </c>
      <c r="E152" s="215" t="s">
        <v>710</v>
      </c>
      <c r="F152" s="215" t="s">
        <v>479</v>
      </c>
      <c r="G152" s="242">
        <v>45807</v>
      </c>
      <c r="H152" s="234">
        <v>45835</v>
      </c>
      <c r="I152" s="243"/>
      <c r="J152" s="243">
        <v>45807</v>
      </c>
      <c r="K152" s="215"/>
      <c r="L152" s="242"/>
      <c r="M152" s="242"/>
      <c r="N152" s="215"/>
      <c r="O152" s="215"/>
      <c r="P152" s="215"/>
      <c r="Q152" s="215"/>
      <c r="R152" s="215"/>
      <c r="S152" s="215"/>
      <c r="T152" s="215"/>
      <c r="U152" s="215"/>
    </row>
    <row r="153" spans="1:21" ht="28" x14ac:dyDescent="0.3">
      <c r="A153" s="276">
        <v>5</v>
      </c>
      <c r="B153" s="276" t="s">
        <v>627</v>
      </c>
      <c r="C153" s="277" t="s">
        <v>683</v>
      </c>
      <c r="D153" s="278" t="s">
        <v>711</v>
      </c>
      <c r="E153" s="215" t="s">
        <v>712</v>
      </c>
      <c r="F153" s="215" t="s">
        <v>479</v>
      </c>
      <c r="G153" s="242">
        <v>45845</v>
      </c>
      <c r="H153" s="234">
        <f>G153</f>
        <v>45845</v>
      </c>
      <c r="I153" s="243"/>
      <c r="J153" s="243">
        <v>45845</v>
      </c>
      <c r="K153" s="215"/>
      <c r="L153" s="242"/>
      <c r="M153" s="242"/>
      <c r="N153" s="215"/>
      <c r="O153" s="215"/>
      <c r="P153" s="215"/>
      <c r="Q153" s="215"/>
      <c r="R153" s="215"/>
      <c r="S153" s="215"/>
      <c r="T153" s="215"/>
      <c r="U153" s="215"/>
    </row>
    <row r="154" spans="1:21" ht="28" x14ac:dyDescent="0.3">
      <c r="A154" s="276">
        <v>6</v>
      </c>
      <c r="B154" s="276" t="s">
        <v>713</v>
      </c>
      <c r="C154" s="277" t="s">
        <v>714</v>
      </c>
      <c r="D154" s="278" t="s">
        <v>715</v>
      </c>
      <c r="E154" s="215" t="s">
        <v>716</v>
      </c>
      <c r="F154" s="215" t="s">
        <v>469</v>
      </c>
      <c r="G154" s="243">
        <v>45803</v>
      </c>
      <c r="H154" s="243">
        <f>L154</f>
        <v>45804</v>
      </c>
      <c r="I154" s="279"/>
      <c r="J154" s="243"/>
      <c r="K154" s="215" t="s">
        <v>470</v>
      </c>
      <c r="L154" s="242">
        <v>45804</v>
      </c>
      <c r="M154" s="242">
        <v>45824</v>
      </c>
      <c r="N154" s="215" t="s">
        <v>471</v>
      </c>
      <c r="O154" s="215">
        <f ca="1">O1-L154</f>
        <v>41</v>
      </c>
      <c r="P154" s="215"/>
      <c r="Q154" s="215"/>
      <c r="R154" s="215" t="s">
        <v>502</v>
      </c>
      <c r="S154" s="215" t="str">
        <f>N154</f>
        <v>CAT - III</v>
      </c>
      <c r="T154" s="215" t="s">
        <v>476</v>
      </c>
      <c r="U154" s="215">
        <f ca="1">U1-L154</f>
        <v>41</v>
      </c>
    </row>
    <row r="155" spans="1:21" ht="28" x14ac:dyDescent="0.3">
      <c r="A155" s="276"/>
      <c r="B155" s="276"/>
      <c r="C155" s="277" t="s">
        <v>714</v>
      </c>
      <c r="D155" s="278" t="s">
        <v>717</v>
      </c>
      <c r="E155" s="215" t="s">
        <v>718</v>
      </c>
      <c r="F155" s="215" t="s">
        <v>469</v>
      </c>
      <c r="G155" s="243">
        <v>45817</v>
      </c>
      <c r="H155" s="243">
        <f>L155</f>
        <v>45813</v>
      </c>
      <c r="I155" s="279"/>
      <c r="J155" s="243"/>
      <c r="K155" s="215" t="s">
        <v>470</v>
      </c>
      <c r="L155" s="242">
        <v>45813</v>
      </c>
      <c r="M155" s="242"/>
      <c r="N155" s="215"/>
      <c r="O155" s="215"/>
      <c r="P155" s="215"/>
      <c r="Q155" s="215"/>
      <c r="R155" s="215" t="s">
        <v>495</v>
      </c>
      <c r="S155" s="215"/>
      <c r="T155" s="215" t="s">
        <v>473</v>
      </c>
      <c r="U155" s="215"/>
    </row>
    <row r="156" spans="1:21" ht="28" x14ac:dyDescent="0.3">
      <c r="A156" s="276">
        <v>7</v>
      </c>
      <c r="B156" s="276" t="s">
        <v>713</v>
      </c>
      <c r="C156" s="277" t="s">
        <v>714</v>
      </c>
      <c r="D156" s="278" t="s">
        <v>719</v>
      </c>
      <c r="E156" s="215" t="s">
        <v>720</v>
      </c>
      <c r="F156" s="215" t="s">
        <v>469</v>
      </c>
      <c r="G156" s="243">
        <v>45816</v>
      </c>
      <c r="H156" s="243">
        <v>45835</v>
      </c>
      <c r="I156" s="243" t="s">
        <v>389</v>
      </c>
      <c r="J156" s="243"/>
      <c r="K156" s="215"/>
      <c r="L156" s="242"/>
      <c r="M156" s="242"/>
      <c r="N156" s="215"/>
      <c r="O156" s="215"/>
      <c r="P156" s="215"/>
      <c r="Q156" s="215"/>
      <c r="R156" s="215"/>
      <c r="S156" s="215"/>
      <c r="T156" s="215"/>
      <c r="U156" s="215"/>
    </row>
    <row r="157" spans="1:21" ht="28" x14ac:dyDescent="0.3">
      <c r="A157" s="276">
        <v>8</v>
      </c>
      <c r="B157" s="276" t="s">
        <v>713</v>
      </c>
      <c r="C157" s="277" t="s">
        <v>714</v>
      </c>
      <c r="D157" s="278" t="s">
        <v>721</v>
      </c>
      <c r="E157" s="215" t="s">
        <v>722</v>
      </c>
      <c r="F157" s="215" t="s">
        <v>469</v>
      </c>
      <c r="G157" s="243">
        <v>45805</v>
      </c>
      <c r="H157" s="243">
        <v>45817</v>
      </c>
      <c r="I157" s="243" t="s">
        <v>389</v>
      </c>
      <c r="J157" s="243"/>
      <c r="K157" s="215" t="s">
        <v>470</v>
      </c>
      <c r="L157" s="242">
        <v>45817</v>
      </c>
      <c r="M157" s="242"/>
      <c r="N157" s="215"/>
      <c r="O157" s="215"/>
      <c r="P157" s="215"/>
      <c r="Q157" s="215"/>
      <c r="R157" s="215" t="s">
        <v>495</v>
      </c>
      <c r="S157" s="215"/>
      <c r="T157" s="215" t="s">
        <v>473</v>
      </c>
      <c r="U157" s="215"/>
    </row>
    <row r="158" spans="1:21" ht="28" x14ac:dyDescent="0.3">
      <c r="A158" s="276">
        <v>9</v>
      </c>
      <c r="B158" s="276" t="s">
        <v>713</v>
      </c>
      <c r="C158" s="277" t="s">
        <v>714</v>
      </c>
      <c r="D158" s="278" t="s">
        <v>723</v>
      </c>
      <c r="E158" s="215" t="s">
        <v>724</v>
      </c>
      <c r="F158" s="215" t="s">
        <v>469</v>
      </c>
      <c r="G158" s="243">
        <v>45805</v>
      </c>
      <c r="H158" s="243">
        <v>45817</v>
      </c>
      <c r="I158" s="243" t="s">
        <v>389</v>
      </c>
      <c r="J158" s="243"/>
      <c r="K158" s="215" t="s">
        <v>470</v>
      </c>
      <c r="L158" s="242">
        <v>45817</v>
      </c>
      <c r="M158" s="242"/>
      <c r="N158" s="215"/>
      <c r="O158" s="215"/>
      <c r="P158" s="215"/>
      <c r="Q158" s="215"/>
      <c r="R158" s="215" t="s">
        <v>495</v>
      </c>
      <c r="S158" s="215"/>
      <c r="T158" s="215" t="s">
        <v>473</v>
      </c>
      <c r="U158" s="215"/>
    </row>
    <row r="159" spans="1:21" ht="28" x14ac:dyDescent="0.3">
      <c r="A159" s="276">
        <v>10</v>
      </c>
      <c r="B159" s="276" t="s">
        <v>713</v>
      </c>
      <c r="C159" s="277" t="s">
        <v>714</v>
      </c>
      <c r="D159" s="278" t="s">
        <v>725</v>
      </c>
      <c r="E159" s="215" t="s">
        <v>726</v>
      </c>
      <c r="F159" s="215" t="s">
        <v>469</v>
      </c>
      <c r="G159" s="243">
        <v>45820</v>
      </c>
      <c r="H159" s="243">
        <v>45838</v>
      </c>
      <c r="I159" s="243" t="s">
        <v>389</v>
      </c>
      <c r="J159" s="243"/>
      <c r="K159" s="215"/>
      <c r="L159" s="242"/>
      <c r="M159" s="242"/>
      <c r="N159" s="215"/>
      <c r="O159" s="215"/>
      <c r="P159" s="215"/>
      <c r="Q159" s="215"/>
      <c r="R159" s="215"/>
      <c r="S159" s="215"/>
      <c r="T159" s="215"/>
      <c r="U159" s="215"/>
    </row>
    <row r="160" spans="1:21" ht="28" x14ac:dyDescent="0.3">
      <c r="A160" s="276">
        <v>11</v>
      </c>
      <c r="B160" s="276" t="s">
        <v>713</v>
      </c>
      <c r="C160" s="277" t="s">
        <v>714</v>
      </c>
      <c r="D160" s="278" t="s">
        <v>727</v>
      </c>
      <c r="E160" s="215" t="s">
        <v>728</v>
      </c>
      <c r="F160" s="215" t="s">
        <v>469</v>
      </c>
      <c r="G160" s="243">
        <v>45814</v>
      </c>
      <c r="H160" s="243">
        <v>45838</v>
      </c>
      <c r="I160" s="243" t="s">
        <v>389</v>
      </c>
      <c r="J160" s="243"/>
      <c r="K160" s="215"/>
      <c r="L160" s="242"/>
      <c r="M160" s="242"/>
      <c r="N160" s="215"/>
      <c r="O160" s="215"/>
      <c r="P160" s="215"/>
      <c r="Q160" s="215"/>
      <c r="R160" s="215"/>
      <c r="S160" s="215"/>
      <c r="T160" s="215"/>
      <c r="U160" s="215"/>
    </row>
    <row r="161" spans="1:21" ht="28" x14ac:dyDescent="0.3">
      <c r="A161" s="276">
        <v>12</v>
      </c>
      <c r="B161" s="276" t="s">
        <v>713</v>
      </c>
      <c r="C161" s="277" t="s">
        <v>714</v>
      </c>
      <c r="D161" s="278" t="s">
        <v>729</v>
      </c>
      <c r="E161" s="215" t="s">
        <v>730</v>
      </c>
      <c r="F161" s="215" t="s">
        <v>469</v>
      </c>
      <c r="G161" s="243">
        <f>[2]Sheet4!E50</f>
        <v>45870</v>
      </c>
      <c r="H161" s="235">
        <f>G161</f>
        <v>45870</v>
      </c>
      <c r="I161" s="243" t="s">
        <v>389</v>
      </c>
      <c r="J161" s="243"/>
      <c r="K161" s="215"/>
      <c r="L161" s="242"/>
      <c r="M161" s="242"/>
      <c r="N161" s="215"/>
      <c r="O161" s="215"/>
      <c r="P161" s="215"/>
      <c r="Q161" s="215"/>
      <c r="R161" s="215"/>
      <c r="S161" s="215"/>
      <c r="T161" s="215"/>
      <c r="U161" s="215"/>
    </row>
    <row r="162" spans="1:21" ht="28" x14ac:dyDescent="0.3">
      <c r="A162" s="276">
        <v>13</v>
      </c>
      <c r="B162" s="276" t="s">
        <v>713</v>
      </c>
      <c r="C162" s="277" t="s">
        <v>714</v>
      </c>
      <c r="D162" s="278" t="s">
        <v>731</v>
      </c>
      <c r="E162" s="215" t="s">
        <v>732</v>
      </c>
      <c r="F162" s="215" t="s">
        <v>469</v>
      </c>
      <c r="G162" s="243">
        <f>[2]Sheet4!E51</f>
        <v>45845</v>
      </c>
      <c r="H162" s="235">
        <f>G162</f>
        <v>45845</v>
      </c>
      <c r="I162" s="243" t="s">
        <v>389</v>
      </c>
      <c r="J162" s="243"/>
      <c r="K162" s="215"/>
      <c r="L162" s="242"/>
      <c r="M162" s="242"/>
      <c r="N162" s="215"/>
      <c r="O162" s="215"/>
      <c r="P162" s="215"/>
      <c r="Q162" s="215"/>
      <c r="R162" s="215"/>
      <c r="S162" s="215"/>
      <c r="T162" s="215"/>
      <c r="U162" s="215"/>
    </row>
    <row r="163" spans="1:21" ht="28" x14ac:dyDescent="0.3">
      <c r="A163" s="276">
        <v>14</v>
      </c>
      <c r="B163" s="276" t="s">
        <v>713</v>
      </c>
      <c r="C163" s="277" t="s">
        <v>714</v>
      </c>
      <c r="D163" s="278" t="s">
        <v>733</v>
      </c>
      <c r="E163" s="215" t="s">
        <v>734</v>
      </c>
      <c r="F163" s="215" t="s">
        <v>469</v>
      </c>
      <c r="G163" s="243">
        <v>45788</v>
      </c>
      <c r="H163" s="243">
        <v>45824</v>
      </c>
      <c r="I163" s="243" t="s">
        <v>389</v>
      </c>
      <c r="J163" s="243">
        <v>45814</v>
      </c>
      <c r="K163" s="215"/>
      <c r="L163" s="242"/>
      <c r="M163" s="242"/>
      <c r="N163" s="215"/>
      <c r="O163" s="215"/>
      <c r="P163" s="215"/>
      <c r="Q163" s="215"/>
      <c r="R163" s="215"/>
      <c r="S163" s="215"/>
      <c r="T163" s="215"/>
      <c r="U163" s="215"/>
    </row>
    <row r="164" spans="1:21" ht="28" x14ac:dyDescent="0.3">
      <c r="A164" s="276">
        <v>15</v>
      </c>
      <c r="B164" s="276" t="s">
        <v>713</v>
      </c>
      <c r="C164" s="277" t="s">
        <v>714</v>
      </c>
      <c r="D164" s="278" t="s">
        <v>735</v>
      </c>
      <c r="E164" s="215" t="s">
        <v>736</v>
      </c>
      <c r="F164" s="215" t="s">
        <v>469</v>
      </c>
      <c r="G164" s="243">
        <f>[2]Sheet4!E53</f>
        <v>45865</v>
      </c>
      <c r="H164" s="235">
        <f t="shared" ref="H164:H186" si="3">G164</f>
        <v>45865</v>
      </c>
      <c r="I164" s="243" t="s">
        <v>389</v>
      </c>
      <c r="J164" s="243"/>
      <c r="K164" s="215"/>
      <c r="L164" s="242"/>
      <c r="M164" s="242"/>
      <c r="N164" s="215"/>
      <c r="O164" s="215"/>
      <c r="P164" s="215"/>
      <c r="Q164" s="215"/>
      <c r="R164" s="215"/>
      <c r="S164" s="215"/>
      <c r="T164" s="215"/>
      <c r="U164" s="215"/>
    </row>
    <row r="165" spans="1:21" ht="28" x14ac:dyDescent="0.3">
      <c r="A165" s="276">
        <v>16</v>
      </c>
      <c r="B165" s="276" t="s">
        <v>713</v>
      </c>
      <c r="C165" s="277" t="s">
        <v>714</v>
      </c>
      <c r="D165" s="278" t="s">
        <v>737</v>
      </c>
      <c r="E165" s="215" t="s">
        <v>738</v>
      </c>
      <c r="F165" s="215" t="s">
        <v>469</v>
      </c>
      <c r="G165" s="243">
        <f>[2]Sheet4!E54</f>
        <v>45843</v>
      </c>
      <c r="H165" s="235">
        <f t="shared" si="3"/>
        <v>45843</v>
      </c>
      <c r="I165" s="243" t="s">
        <v>389</v>
      </c>
      <c r="J165" s="243"/>
      <c r="K165" s="215"/>
      <c r="L165" s="242"/>
      <c r="M165" s="242"/>
      <c r="N165" s="215"/>
      <c r="O165" s="215"/>
      <c r="P165" s="215"/>
      <c r="Q165" s="215"/>
      <c r="R165" s="215"/>
      <c r="S165" s="215"/>
      <c r="T165" s="215"/>
      <c r="U165" s="215"/>
    </row>
    <row r="166" spans="1:21" ht="28" x14ac:dyDescent="0.3">
      <c r="A166" s="276">
        <v>17</v>
      </c>
      <c r="B166" s="276" t="s">
        <v>713</v>
      </c>
      <c r="C166" s="277" t="s">
        <v>714</v>
      </c>
      <c r="D166" s="278" t="s">
        <v>739</v>
      </c>
      <c r="E166" s="215" t="s">
        <v>740</v>
      </c>
      <c r="F166" s="215" t="s">
        <v>469</v>
      </c>
      <c r="G166" s="243">
        <f>[2]Sheet4!E55</f>
        <v>45840</v>
      </c>
      <c r="H166" s="235">
        <f t="shared" si="3"/>
        <v>45840</v>
      </c>
      <c r="I166" s="243" t="s">
        <v>389</v>
      </c>
      <c r="J166" s="243"/>
      <c r="K166" s="215"/>
      <c r="L166" s="242"/>
      <c r="M166" s="242"/>
      <c r="N166" s="215"/>
      <c r="O166" s="215"/>
      <c r="P166" s="215"/>
      <c r="Q166" s="215"/>
      <c r="R166" s="215"/>
      <c r="S166" s="215"/>
      <c r="T166" s="215"/>
      <c r="U166" s="215"/>
    </row>
    <row r="167" spans="1:21" ht="28" x14ac:dyDescent="0.3">
      <c r="A167" s="276">
        <v>18</v>
      </c>
      <c r="B167" s="276" t="s">
        <v>713</v>
      </c>
      <c r="C167" s="277" t="s">
        <v>714</v>
      </c>
      <c r="D167" s="278" t="s">
        <v>741</v>
      </c>
      <c r="E167" s="215" t="s">
        <v>742</v>
      </c>
      <c r="F167" s="215" t="s">
        <v>469</v>
      </c>
      <c r="G167" s="243">
        <f>[2]Sheet4!E56</f>
        <v>45822</v>
      </c>
      <c r="H167" s="235">
        <v>45835</v>
      </c>
      <c r="I167" s="243" t="s">
        <v>389</v>
      </c>
      <c r="J167" s="243"/>
      <c r="K167" s="215"/>
      <c r="L167" s="242"/>
      <c r="M167" s="242"/>
      <c r="N167" s="215"/>
      <c r="O167" s="215"/>
      <c r="P167" s="215"/>
      <c r="Q167" s="215"/>
      <c r="R167" s="215"/>
      <c r="S167" s="215"/>
      <c r="T167" s="215"/>
      <c r="U167" s="215"/>
    </row>
    <row r="168" spans="1:21" ht="28" x14ac:dyDescent="0.3">
      <c r="A168" s="276">
        <v>19</v>
      </c>
      <c r="B168" s="276" t="s">
        <v>713</v>
      </c>
      <c r="C168" s="277" t="s">
        <v>714</v>
      </c>
      <c r="D168" s="278" t="s">
        <v>743</v>
      </c>
      <c r="E168" s="215" t="s">
        <v>744</v>
      </c>
      <c r="F168" s="215" t="s">
        <v>479</v>
      </c>
      <c r="G168" s="243">
        <f>[2]Sheet4!E57</f>
        <v>45840</v>
      </c>
      <c r="H168" s="235">
        <f t="shared" si="3"/>
        <v>45840</v>
      </c>
      <c r="I168" s="243" t="s">
        <v>389</v>
      </c>
      <c r="J168" s="243"/>
      <c r="K168" s="215"/>
      <c r="L168" s="242"/>
      <c r="M168" s="242"/>
      <c r="N168" s="215"/>
      <c r="O168" s="215"/>
      <c r="P168" s="215"/>
      <c r="Q168" s="215"/>
      <c r="R168" s="215"/>
      <c r="S168" s="215"/>
      <c r="T168" s="215"/>
      <c r="U168" s="215"/>
    </row>
    <row r="169" spans="1:21" ht="28" x14ac:dyDescent="0.3">
      <c r="A169" s="276">
        <v>20</v>
      </c>
      <c r="B169" s="276" t="s">
        <v>713</v>
      </c>
      <c r="C169" s="277" t="s">
        <v>714</v>
      </c>
      <c r="D169" s="278" t="s">
        <v>745</v>
      </c>
      <c r="E169" s="215" t="s">
        <v>746</v>
      </c>
      <c r="F169" s="215" t="s">
        <v>479</v>
      </c>
      <c r="G169" s="243">
        <f>[2]Sheet4!E58</f>
        <v>45847</v>
      </c>
      <c r="H169" s="235">
        <f t="shared" si="3"/>
        <v>45847</v>
      </c>
      <c r="I169" s="243" t="s">
        <v>389</v>
      </c>
      <c r="J169" s="243"/>
      <c r="K169" s="215"/>
      <c r="L169" s="242"/>
      <c r="M169" s="242"/>
      <c r="N169" s="215"/>
      <c r="O169" s="215"/>
      <c r="P169" s="215"/>
      <c r="Q169" s="215"/>
      <c r="R169" s="215"/>
      <c r="S169" s="215"/>
      <c r="T169" s="215"/>
      <c r="U169" s="215"/>
    </row>
    <row r="170" spans="1:21" ht="28" x14ac:dyDescent="0.3">
      <c r="A170" s="276">
        <v>21</v>
      </c>
      <c r="B170" s="276" t="s">
        <v>713</v>
      </c>
      <c r="C170" s="277" t="s">
        <v>714</v>
      </c>
      <c r="D170" s="278" t="s">
        <v>747</v>
      </c>
      <c r="E170" s="215" t="s">
        <v>748</v>
      </c>
      <c r="F170" s="215" t="s">
        <v>469</v>
      </c>
      <c r="G170" s="243">
        <f>[2]Sheet4!E59</f>
        <v>45894</v>
      </c>
      <c r="H170" s="235">
        <f t="shared" si="3"/>
        <v>45894</v>
      </c>
      <c r="I170" s="243" t="s">
        <v>389</v>
      </c>
      <c r="J170" s="243"/>
      <c r="K170" s="215"/>
      <c r="L170" s="242"/>
      <c r="M170" s="242"/>
      <c r="N170" s="215"/>
      <c r="O170" s="215"/>
      <c r="P170" s="215"/>
      <c r="Q170" s="215"/>
      <c r="R170" s="215"/>
      <c r="S170" s="215"/>
      <c r="T170" s="215"/>
      <c r="U170" s="215"/>
    </row>
    <row r="171" spans="1:21" ht="28" x14ac:dyDescent="0.3">
      <c r="A171" s="276">
        <v>22</v>
      </c>
      <c r="B171" s="276" t="s">
        <v>713</v>
      </c>
      <c r="C171" s="277" t="s">
        <v>714</v>
      </c>
      <c r="D171" s="278" t="s">
        <v>749</v>
      </c>
      <c r="E171" s="215" t="s">
        <v>750</v>
      </c>
      <c r="F171" s="215" t="s">
        <v>479</v>
      </c>
      <c r="G171" s="243">
        <f>[2]Sheet4!E60</f>
        <v>45813</v>
      </c>
      <c r="H171" s="235">
        <v>45836</v>
      </c>
      <c r="I171" s="243" t="s">
        <v>389</v>
      </c>
      <c r="J171" s="243"/>
      <c r="K171" s="215"/>
      <c r="L171" s="242"/>
      <c r="M171" s="242"/>
      <c r="N171" s="215"/>
      <c r="O171" s="215"/>
      <c r="P171" s="215"/>
      <c r="Q171" s="215"/>
      <c r="R171" s="215"/>
      <c r="S171" s="215"/>
      <c r="T171" s="215"/>
      <c r="U171" s="215"/>
    </row>
    <row r="172" spans="1:21" ht="28" x14ac:dyDescent="0.3">
      <c r="A172" s="276">
        <v>23</v>
      </c>
      <c r="B172" s="276" t="s">
        <v>713</v>
      </c>
      <c r="C172" s="277" t="s">
        <v>714</v>
      </c>
      <c r="D172" s="278" t="s">
        <v>751</v>
      </c>
      <c r="E172" s="215" t="s">
        <v>752</v>
      </c>
      <c r="F172" s="215" t="s">
        <v>469</v>
      </c>
      <c r="G172" s="243">
        <f>[2]Sheet4!E61</f>
        <v>45858</v>
      </c>
      <c r="H172" s="235">
        <f t="shared" si="3"/>
        <v>45858</v>
      </c>
      <c r="I172" s="243" t="s">
        <v>389</v>
      </c>
      <c r="J172" s="243"/>
      <c r="K172" s="215"/>
      <c r="L172" s="242"/>
      <c r="M172" s="242"/>
      <c r="N172" s="215"/>
      <c r="O172" s="215"/>
      <c r="P172" s="215"/>
      <c r="Q172" s="215"/>
      <c r="R172" s="215"/>
      <c r="S172" s="215"/>
      <c r="T172" s="215"/>
      <c r="U172" s="215"/>
    </row>
    <row r="173" spans="1:21" ht="28" x14ac:dyDescent="0.3">
      <c r="A173" s="276">
        <v>24</v>
      </c>
      <c r="B173" s="276" t="s">
        <v>713</v>
      </c>
      <c r="C173" s="277" t="s">
        <v>714</v>
      </c>
      <c r="D173" s="278" t="s">
        <v>753</v>
      </c>
      <c r="E173" s="215" t="s">
        <v>754</v>
      </c>
      <c r="F173" s="215" t="s">
        <v>479</v>
      </c>
      <c r="G173" s="243">
        <f>[2]Sheet4!E62</f>
        <v>45834</v>
      </c>
      <c r="H173" s="235">
        <f t="shared" si="3"/>
        <v>45834</v>
      </c>
      <c r="I173" s="243" t="s">
        <v>389</v>
      </c>
      <c r="J173" s="243"/>
      <c r="K173" s="215"/>
      <c r="L173" s="242"/>
      <c r="M173" s="242"/>
      <c r="N173" s="215"/>
      <c r="O173" s="215"/>
      <c r="P173" s="215"/>
      <c r="Q173" s="215"/>
      <c r="R173" s="215"/>
      <c r="S173" s="215"/>
      <c r="T173" s="215"/>
      <c r="U173" s="215"/>
    </row>
    <row r="174" spans="1:21" ht="28" x14ac:dyDescent="0.3">
      <c r="A174" s="276">
        <v>25</v>
      </c>
      <c r="B174" s="276" t="s">
        <v>713</v>
      </c>
      <c r="C174" s="277" t="s">
        <v>714</v>
      </c>
      <c r="D174" s="278" t="s">
        <v>755</v>
      </c>
      <c r="E174" s="215" t="s">
        <v>756</v>
      </c>
      <c r="F174" s="215" t="s">
        <v>469</v>
      </c>
      <c r="G174" s="243">
        <f>[2]Sheet4!E63</f>
        <v>45840</v>
      </c>
      <c r="H174" s="235">
        <f t="shared" si="3"/>
        <v>45840</v>
      </c>
      <c r="I174" s="243" t="s">
        <v>389</v>
      </c>
      <c r="J174" s="243"/>
      <c r="K174" s="215"/>
      <c r="L174" s="242"/>
      <c r="M174" s="242"/>
      <c r="N174" s="215"/>
      <c r="O174" s="215"/>
      <c r="P174" s="215"/>
      <c r="Q174" s="215"/>
      <c r="R174" s="215"/>
      <c r="S174" s="215"/>
      <c r="T174" s="215"/>
      <c r="U174" s="215"/>
    </row>
    <row r="175" spans="1:21" ht="28" x14ac:dyDescent="0.3">
      <c r="A175" s="276">
        <v>26</v>
      </c>
      <c r="B175" s="276" t="s">
        <v>713</v>
      </c>
      <c r="C175" s="277" t="s">
        <v>714</v>
      </c>
      <c r="D175" s="278" t="s">
        <v>757</v>
      </c>
      <c r="E175" s="215" t="s">
        <v>758</v>
      </c>
      <c r="F175" s="215" t="s">
        <v>479</v>
      </c>
      <c r="G175" s="243">
        <f>[2]Sheet4!E64</f>
        <v>45962</v>
      </c>
      <c r="H175" s="235">
        <f t="shared" si="3"/>
        <v>45962</v>
      </c>
      <c r="I175" s="243" t="s">
        <v>389</v>
      </c>
      <c r="J175" s="243"/>
      <c r="K175" s="215"/>
      <c r="L175" s="242"/>
      <c r="M175" s="242"/>
      <c r="N175" s="215"/>
      <c r="O175" s="215"/>
      <c r="P175" s="215"/>
      <c r="Q175" s="215"/>
      <c r="R175" s="215"/>
      <c r="S175" s="215"/>
      <c r="T175" s="215"/>
      <c r="U175" s="215"/>
    </row>
    <row r="176" spans="1:21" ht="28" x14ac:dyDescent="0.3">
      <c r="A176" s="276">
        <v>27</v>
      </c>
      <c r="B176" s="276" t="s">
        <v>713</v>
      </c>
      <c r="C176" s="277" t="s">
        <v>714</v>
      </c>
      <c r="D176" s="278" t="s">
        <v>759</v>
      </c>
      <c r="E176" s="215" t="s">
        <v>760</v>
      </c>
      <c r="F176" s="215" t="s">
        <v>469</v>
      </c>
      <c r="G176" s="243">
        <f>[2]Sheet4!E65</f>
        <v>45826</v>
      </c>
      <c r="H176" s="235">
        <v>45838</v>
      </c>
      <c r="I176" s="243" t="s">
        <v>389</v>
      </c>
      <c r="J176" s="243"/>
      <c r="K176" s="215"/>
      <c r="L176" s="242"/>
      <c r="M176" s="242"/>
      <c r="N176" s="215"/>
      <c r="O176" s="215"/>
      <c r="P176" s="215"/>
      <c r="Q176" s="215"/>
      <c r="R176" s="215"/>
      <c r="S176" s="215"/>
      <c r="T176" s="215"/>
      <c r="U176" s="215"/>
    </row>
    <row r="177" spans="1:21" ht="28" x14ac:dyDescent="0.3">
      <c r="A177" s="276">
        <v>28</v>
      </c>
      <c r="B177" s="276" t="s">
        <v>713</v>
      </c>
      <c r="C177" s="277" t="s">
        <v>714</v>
      </c>
      <c r="D177" s="278" t="s">
        <v>761</v>
      </c>
      <c r="E177" s="215" t="s">
        <v>762</v>
      </c>
      <c r="F177" s="215" t="s">
        <v>479</v>
      </c>
      <c r="G177" s="243">
        <f>[2]Sheet4!E66</f>
        <v>45853</v>
      </c>
      <c r="H177" s="235">
        <f t="shared" si="3"/>
        <v>45853</v>
      </c>
      <c r="I177" s="243" t="s">
        <v>389</v>
      </c>
      <c r="J177" s="243"/>
      <c r="K177" s="215"/>
      <c r="L177" s="242"/>
      <c r="M177" s="242"/>
      <c r="N177" s="215"/>
      <c r="O177" s="215"/>
      <c r="P177" s="215"/>
      <c r="Q177" s="215"/>
      <c r="R177" s="215"/>
      <c r="S177" s="215"/>
      <c r="T177" s="215"/>
      <c r="U177" s="215"/>
    </row>
    <row r="178" spans="1:21" ht="28" x14ac:dyDescent="0.3">
      <c r="A178" s="276">
        <v>29</v>
      </c>
      <c r="B178" s="276" t="s">
        <v>713</v>
      </c>
      <c r="C178" s="277" t="s">
        <v>714</v>
      </c>
      <c r="D178" s="278" t="s">
        <v>763</v>
      </c>
      <c r="E178" s="215" t="s">
        <v>764</v>
      </c>
      <c r="F178" s="215" t="s">
        <v>479</v>
      </c>
      <c r="G178" s="243" t="str">
        <f>[2]Sheet4!E67</f>
        <v>Done</v>
      </c>
      <c r="H178" s="235" t="str">
        <f t="shared" si="3"/>
        <v>Done</v>
      </c>
      <c r="I178" s="243" t="s">
        <v>389</v>
      </c>
      <c r="J178" s="243"/>
      <c r="K178" s="215"/>
      <c r="L178" s="242"/>
      <c r="M178" s="242"/>
      <c r="N178" s="215"/>
      <c r="O178" s="215"/>
      <c r="P178" s="215"/>
      <c r="Q178" s="215"/>
      <c r="R178" s="215"/>
      <c r="S178" s="215"/>
      <c r="T178" s="215"/>
      <c r="U178" s="215"/>
    </row>
    <row r="179" spans="1:21" ht="70" x14ac:dyDescent="0.3">
      <c r="A179" s="276">
        <v>30</v>
      </c>
      <c r="B179" s="276" t="s">
        <v>713</v>
      </c>
      <c r="C179" s="277" t="s">
        <v>714</v>
      </c>
      <c r="D179" s="278" t="s">
        <v>765</v>
      </c>
      <c r="E179" s="215" t="s">
        <v>766</v>
      </c>
      <c r="F179" s="215" t="s">
        <v>479</v>
      </c>
      <c r="G179" s="243">
        <v>45900</v>
      </c>
      <c r="H179" s="235">
        <f t="shared" si="3"/>
        <v>45900</v>
      </c>
      <c r="I179" s="243" t="s">
        <v>389</v>
      </c>
      <c r="J179" s="243"/>
      <c r="K179" s="215"/>
      <c r="L179" s="242"/>
      <c r="M179" s="242"/>
      <c r="N179" s="215"/>
      <c r="O179" s="215"/>
      <c r="P179" s="215"/>
      <c r="Q179" s="215"/>
      <c r="R179" s="215"/>
      <c r="S179" s="215"/>
      <c r="T179" s="215"/>
      <c r="U179" s="215"/>
    </row>
    <row r="180" spans="1:21" ht="28" x14ac:dyDescent="0.3">
      <c r="A180" s="276">
        <v>31</v>
      </c>
      <c r="B180" s="276" t="s">
        <v>713</v>
      </c>
      <c r="C180" s="277" t="s">
        <v>714</v>
      </c>
      <c r="D180" s="278" t="s">
        <v>767</v>
      </c>
      <c r="E180" s="215" t="s">
        <v>768</v>
      </c>
      <c r="F180" s="215" t="s">
        <v>469</v>
      </c>
      <c r="G180" s="243">
        <f>[2]Sheet4!E69</f>
        <v>45834</v>
      </c>
      <c r="H180" s="235">
        <f t="shared" si="3"/>
        <v>45834</v>
      </c>
      <c r="I180" s="243" t="s">
        <v>389</v>
      </c>
      <c r="J180" s="243"/>
      <c r="K180" s="215"/>
      <c r="L180" s="242"/>
      <c r="M180" s="242"/>
      <c r="N180" s="215"/>
      <c r="O180" s="215"/>
      <c r="P180" s="215"/>
      <c r="Q180" s="215"/>
      <c r="R180" s="215"/>
      <c r="S180" s="215"/>
      <c r="T180" s="215"/>
      <c r="U180" s="215"/>
    </row>
    <row r="181" spans="1:21" ht="28" x14ac:dyDescent="0.3">
      <c r="A181" s="276">
        <v>32</v>
      </c>
      <c r="B181" s="276" t="s">
        <v>713</v>
      </c>
      <c r="C181" s="277" t="s">
        <v>714</v>
      </c>
      <c r="D181" s="278" t="s">
        <v>769</v>
      </c>
      <c r="E181" s="215" t="s">
        <v>770</v>
      </c>
      <c r="F181" s="215" t="s">
        <v>469</v>
      </c>
      <c r="G181" s="243">
        <f>[2]Sheet4!E70</f>
        <v>45814</v>
      </c>
      <c r="H181" s="235">
        <v>45838</v>
      </c>
      <c r="I181" s="243" t="s">
        <v>389</v>
      </c>
      <c r="J181" s="243"/>
      <c r="K181" s="215"/>
      <c r="L181" s="242"/>
      <c r="M181" s="242"/>
      <c r="N181" s="215"/>
      <c r="O181" s="215"/>
      <c r="P181" s="215"/>
      <c r="Q181" s="215"/>
      <c r="R181" s="215"/>
      <c r="S181" s="215"/>
      <c r="T181" s="215"/>
      <c r="U181" s="215"/>
    </row>
    <row r="182" spans="1:21" ht="28" x14ac:dyDescent="0.3">
      <c r="A182" s="276">
        <v>33</v>
      </c>
      <c r="B182" s="276" t="s">
        <v>713</v>
      </c>
      <c r="C182" s="277" t="s">
        <v>714</v>
      </c>
      <c r="D182" s="278" t="s">
        <v>771</v>
      </c>
      <c r="E182" s="215" t="s">
        <v>772</v>
      </c>
      <c r="F182" s="215" t="s">
        <v>469</v>
      </c>
      <c r="G182" s="243">
        <f>[2]Sheet4!E71</f>
        <v>45814</v>
      </c>
      <c r="H182" s="235">
        <v>45838</v>
      </c>
      <c r="I182" s="243" t="s">
        <v>389</v>
      </c>
      <c r="J182" s="243"/>
      <c r="K182" s="215"/>
      <c r="L182" s="242"/>
      <c r="M182" s="242"/>
      <c r="N182" s="215"/>
      <c r="O182" s="215"/>
      <c r="P182" s="215"/>
      <c r="Q182" s="215"/>
      <c r="R182" s="215"/>
      <c r="S182" s="215"/>
      <c r="T182" s="215"/>
      <c r="U182" s="215"/>
    </row>
    <row r="183" spans="1:21" ht="28" x14ac:dyDescent="0.3">
      <c r="A183" s="276">
        <v>1</v>
      </c>
      <c r="B183" s="276" t="s">
        <v>713</v>
      </c>
      <c r="C183" s="277" t="s">
        <v>714</v>
      </c>
      <c r="D183" s="278" t="s">
        <v>773</v>
      </c>
      <c r="E183" s="215" t="s">
        <v>774</v>
      </c>
      <c r="F183" s="215" t="s">
        <v>469</v>
      </c>
      <c r="G183" s="243">
        <f>[2]Sheet4!E72</f>
        <v>45826</v>
      </c>
      <c r="H183" s="235">
        <v>45838</v>
      </c>
      <c r="I183" s="243" t="s">
        <v>389</v>
      </c>
      <c r="J183" s="243"/>
      <c r="K183" s="215"/>
      <c r="L183" s="242"/>
      <c r="M183" s="242"/>
      <c r="N183" s="215"/>
      <c r="O183" s="215"/>
      <c r="P183" s="215"/>
      <c r="Q183" s="215"/>
      <c r="R183" s="215"/>
      <c r="S183" s="215"/>
      <c r="T183" s="215"/>
      <c r="U183" s="215"/>
    </row>
    <row r="184" spans="1:21" ht="28" x14ac:dyDescent="0.3">
      <c r="A184" s="276">
        <f t="shared" ref="A184:A213" si="4">A183+1</f>
        <v>2</v>
      </c>
      <c r="B184" s="276" t="s">
        <v>713</v>
      </c>
      <c r="C184" s="277" t="s">
        <v>714</v>
      </c>
      <c r="D184" s="278" t="s">
        <v>775</v>
      </c>
      <c r="E184" s="215" t="s">
        <v>776</v>
      </c>
      <c r="F184" s="215" t="s">
        <v>469</v>
      </c>
      <c r="G184" s="243">
        <f>[2]Sheet4!E73</f>
        <v>45834</v>
      </c>
      <c r="H184" s="235">
        <v>45838</v>
      </c>
      <c r="I184" s="243" t="s">
        <v>389</v>
      </c>
      <c r="J184" s="243"/>
      <c r="K184" s="215"/>
      <c r="L184" s="242"/>
      <c r="M184" s="242"/>
      <c r="N184" s="215"/>
      <c r="O184" s="215"/>
      <c r="P184" s="215"/>
      <c r="Q184" s="215"/>
      <c r="R184" s="215"/>
      <c r="S184" s="215"/>
      <c r="T184" s="215"/>
      <c r="U184" s="215"/>
    </row>
    <row r="185" spans="1:21" ht="28" x14ac:dyDescent="0.3">
      <c r="A185" s="276">
        <f t="shared" si="4"/>
        <v>3</v>
      </c>
      <c r="B185" s="276" t="s">
        <v>713</v>
      </c>
      <c r="C185" s="277" t="s">
        <v>714</v>
      </c>
      <c r="D185" s="278" t="s">
        <v>777</v>
      </c>
      <c r="E185" s="215" t="s">
        <v>778</v>
      </c>
      <c r="F185" s="215" t="s">
        <v>469</v>
      </c>
      <c r="G185" s="243">
        <f>[2]Sheet4!E74</f>
        <v>45848</v>
      </c>
      <c r="H185" s="235">
        <f t="shared" si="3"/>
        <v>45848</v>
      </c>
      <c r="I185" s="243" t="s">
        <v>389</v>
      </c>
      <c r="J185" s="243"/>
      <c r="K185" s="215"/>
      <c r="L185" s="242"/>
      <c r="M185" s="242"/>
      <c r="N185" s="215"/>
      <c r="O185" s="215"/>
      <c r="P185" s="215"/>
      <c r="Q185" s="215"/>
      <c r="R185" s="215"/>
      <c r="S185" s="215"/>
      <c r="T185" s="215"/>
      <c r="U185" s="215"/>
    </row>
    <row r="186" spans="1:21" ht="28" x14ac:dyDescent="0.3">
      <c r="A186" s="276">
        <f t="shared" si="4"/>
        <v>4</v>
      </c>
      <c r="B186" s="276" t="s">
        <v>713</v>
      </c>
      <c r="C186" s="277" t="s">
        <v>714</v>
      </c>
      <c r="D186" s="278" t="s">
        <v>779</v>
      </c>
      <c r="E186" s="215" t="s">
        <v>780</v>
      </c>
      <c r="F186" s="215" t="s">
        <v>469</v>
      </c>
      <c r="G186" s="243">
        <v>45868</v>
      </c>
      <c r="H186" s="235">
        <f t="shared" si="3"/>
        <v>45868</v>
      </c>
      <c r="I186" s="243" t="s">
        <v>389</v>
      </c>
      <c r="J186" s="243"/>
      <c r="K186" s="215"/>
      <c r="L186" s="242"/>
      <c r="M186" s="242"/>
      <c r="N186" s="215"/>
      <c r="O186" s="215"/>
      <c r="P186" s="215"/>
      <c r="Q186" s="215"/>
      <c r="R186" s="215"/>
      <c r="S186" s="215"/>
      <c r="T186" s="215"/>
      <c r="U186" s="215"/>
    </row>
    <row r="187" spans="1:21" ht="30" customHeight="1" x14ac:dyDescent="0.3">
      <c r="A187" s="452">
        <f t="shared" si="4"/>
        <v>5</v>
      </c>
      <c r="B187" s="276" t="s">
        <v>713</v>
      </c>
      <c r="C187" s="455" t="s">
        <v>714</v>
      </c>
      <c r="D187" s="470" t="s">
        <v>781</v>
      </c>
      <c r="E187" s="425" t="s">
        <v>782</v>
      </c>
      <c r="F187" s="425" t="s">
        <v>469</v>
      </c>
      <c r="G187" s="472">
        <v>45797</v>
      </c>
      <c r="H187" s="472">
        <v>45836</v>
      </c>
      <c r="I187" s="243" t="s">
        <v>389</v>
      </c>
      <c r="J187" s="243"/>
      <c r="K187" s="215" t="s">
        <v>470</v>
      </c>
      <c r="L187" s="242">
        <v>45790</v>
      </c>
      <c r="M187" s="242">
        <v>45812</v>
      </c>
      <c r="N187" s="215" t="s">
        <v>471</v>
      </c>
      <c r="O187" s="215">
        <f>M187-L187</f>
        <v>22</v>
      </c>
      <c r="P187" s="215">
        <f ca="1">O1-M187</f>
        <v>33</v>
      </c>
      <c r="Q187" s="425"/>
      <c r="R187" s="425" t="s">
        <v>495</v>
      </c>
      <c r="S187" s="425" t="str">
        <f>N187</f>
        <v>CAT - III</v>
      </c>
      <c r="T187" s="425" t="s">
        <v>473</v>
      </c>
      <c r="U187" s="425">
        <f ca="1">U1-L187</f>
        <v>55</v>
      </c>
    </row>
    <row r="188" spans="1:21" x14ac:dyDescent="0.3">
      <c r="A188" s="454"/>
      <c r="B188" s="276"/>
      <c r="C188" s="457"/>
      <c r="D188" s="471"/>
      <c r="E188" s="427"/>
      <c r="F188" s="427"/>
      <c r="G188" s="473"/>
      <c r="H188" s="473"/>
      <c r="I188" s="243"/>
      <c r="J188" s="243"/>
      <c r="K188" s="215" t="s">
        <v>472</v>
      </c>
      <c r="L188" s="242">
        <v>45824</v>
      </c>
      <c r="M188" s="242"/>
      <c r="N188" s="215"/>
      <c r="O188" s="215"/>
      <c r="P188" s="215"/>
      <c r="Q188" s="427"/>
      <c r="R188" s="427"/>
      <c r="S188" s="427"/>
      <c r="T188" s="427"/>
      <c r="U188" s="427"/>
    </row>
    <row r="189" spans="1:21" x14ac:dyDescent="0.3">
      <c r="A189" s="276">
        <f>A187+1</f>
        <v>6</v>
      </c>
      <c r="B189" s="276" t="s">
        <v>713</v>
      </c>
      <c r="C189" s="277" t="s">
        <v>783</v>
      </c>
      <c r="D189" s="278" t="s">
        <v>784</v>
      </c>
      <c r="E189" s="215" t="s">
        <v>785</v>
      </c>
      <c r="F189" s="215" t="s">
        <v>469</v>
      </c>
      <c r="G189" s="243">
        <f>[2]Sheet4!E77</f>
        <v>45826</v>
      </c>
      <c r="H189" s="243">
        <f>L189</f>
        <v>45804</v>
      </c>
      <c r="I189" s="243" t="s">
        <v>389</v>
      </c>
      <c r="J189" s="243"/>
      <c r="K189" s="215" t="s">
        <v>470</v>
      </c>
      <c r="L189" s="242">
        <v>45804</v>
      </c>
      <c r="M189" s="242"/>
      <c r="N189" s="215"/>
      <c r="O189" s="215">
        <f ca="1">O1-L189</f>
        <v>41</v>
      </c>
      <c r="P189" s="215"/>
      <c r="Q189" s="215"/>
      <c r="R189" s="215" t="s">
        <v>495</v>
      </c>
      <c r="S189" s="215"/>
      <c r="T189" s="215" t="s">
        <v>473</v>
      </c>
      <c r="U189" s="215">
        <f ca="1">U1-L189</f>
        <v>41</v>
      </c>
    </row>
    <row r="190" spans="1:21" x14ac:dyDescent="0.3">
      <c r="A190" s="276">
        <f t="shared" si="4"/>
        <v>7</v>
      </c>
      <c r="B190" s="276" t="s">
        <v>713</v>
      </c>
      <c r="C190" s="277" t="s">
        <v>783</v>
      </c>
      <c r="D190" s="278" t="s">
        <v>786</v>
      </c>
      <c r="E190" s="215" t="s">
        <v>787</v>
      </c>
      <c r="F190" s="215" t="s">
        <v>479</v>
      </c>
      <c r="G190" s="243">
        <f>[2]Sheet4!E78</f>
        <v>45826</v>
      </c>
      <c r="H190" s="243">
        <f>H156</f>
        <v>45835</v>
      </c>
      <c r="I190" s="243" t="s">
        <v>389</v>
      </c>
      <c r="J190" s="243"/>
      <c r="K190" s="215"/>
      <c r="L190" s="242"/>
      <c r="M190" s="242"/>
      <c r="N190" s="215"/>
      <c r="O190" s="215"/>
      <c r="P190" s="215"/>
      <c r="Q190" s="215"/>
      <c r="R190" s="215"/>
      <c r="S190" s="215"/>
      <c r="T190" s="215"/>
      <c r="U190" s="215"/>
    </row>
    <row r="191" spans="1:21" x14ac:dyDescent="0.3">
      <c r="A191" s="276">
        <f t="shared" si="4"/>
        <v>8</v>
      </c>
      <c r="B191" s="276" t="s">
        <v>713</v>
      </c>
      <c r="C191" s="277" t="s">
        <v>783</v>
      </c>
      <c r="D191" s="278" t="s">
        <v>788</v>
      </c>
      <c r="E191" s="215" t="s">
        <v>789</v>
      </c>
      <c r="F191" s="215" t="s">
        <v>469</v>
      </c>
      <c r="G191" s="243">
        <f>[2]Sheet4!E79</f>
        <v>45833</v>
      </c>
      <c r="H191" s="243">
        <f>H157</f>
        <v>45817</v>
      </c>
      <c r="I191" s="243" t="s">
        <v>389</v>
      </c>
      <c r="J191" s="243"/>
      <c r="K191" s="215" t="s">
        <v>470</v>
      </c>
      <c r="L191" s="242">
        <v>45817</v>
      </c>
      <c r="M191" s="242">
        <v>45828</v>
      </c>
      <c r="N191" s="215" t="s">
        <v>471</v>
      </c>
      <c r="O191" s="215"/>
      <c r="P191" s="215"/>
      <c r="Q191" s="215"/>
      <c r="R191" s="215" t="s">
        <v>502</v>
      </c>
      <c r="S191" s="215" t="str">
        <f>N191</f>
        <v>CAT - III</v>
      </c>
      <c r="T191" s="215" t="s">
        <v>476</v>
      </c>
      <c r="U191" s="215"/>
    </row>
    <row r="192" spans="1:21" x14ac:dyDescent="0.3">
      <c r="A192" s="276">
        <f t="shared" si="4"/>
        <v>9</v>
      </c>
      <c r="B192" s="276" t="s">
        <v>713</v>
      </c>
      <c r="C192" s="277" t="s">
        <v>783</v>
      </c>
      <c r="D192" s="278" t="s">
        <v>790</v>
      </c>
      <c r="E192" s="215" t="s">
        <v>791</v>
      </c>
      <c r="F192" s="215" t="s">
        <v>469</v>
      </c>
      <c r="G192" s="243">
        <f>[2]Sheet4!E80</f>
        <v>45870</v>
      </c>
      <c r="H192" s="243">
        <f>H158</f>
        <v>45817</v>
      </c>
      <c r="I192" s="243" t="s">
        <v>389</v>
      </c>
      <c r="J192" s="243"/>
      <c r="K192" s="215" t="s">
        <v>470</v>
      </c>
      <c r="L192" s="242">
        <v>45817</v>
      </c>
      <c r="M192" s="242"/>
      <c r="N192" s="215"/>
      <c r="O192" s="215"/>
      <c r="P192" s="215"/>
      <c r="Q192" s="215"/>
      <c r="R192" s="215" t="s">
        <v>495</v>
      </c>
      <c r="S192" s="215"/>
      <c r="T192" s="215" t="s">
        <v>473</v>
      </c>
      <c r="U192" s="215"/>
    </row>
    <row r="193" spans="1:21" x14ac:dyDescent="0.3">
      <c r="A193" s="276">
        <f t="shared" si="4"/>
        <v>10</v>
      </c>
      <c r="B193" s="276" t="s">
        <v>713</v>
      </c>
      <c r="C193" s="277" t="s">
        <v>783</v>
      </c>
      <c r="D193" s="278" t="s">
        <v>792</v>
      </c>
      <c r="E193" s="215" t="s">
        <v>793</v>
      </c>
      <c r="F193" s="215" t="s">
        <v>469</v>
      </c>
      <c r="G193" s="243">
        <f>[2]Sheet4!E81</f>
        <v>45845</v>
      </c>
      <c r="H193" s="235">
        <f t="shared" ref="H193:H208" si="5">G193</f>
        <v>45845</v>
      </c>
      <c r="I193" s="243" t="s">
        <v>389</v>
      </c>
      <c r="J193" s="243"/>
      <c r="K193" s="215"/>
      <c r="L193" s="242"/>
      <c r="M193" s="242"/>
      <c r="N193" s="215"/>
      <c r="O193" s="215"/>
      <c r="P193" s="215"/>
      <c r="Q193" s="215"/>
      <c r="R193" s="215"/>
      <c r="S193" s="215"/>
      <c r="T193" s="215"/>
      <c r="U193" s="215"/>
    </row>
    <row r="194" spans="1:21" x14ac:dyDescent="0.3">
      <c r="A194" s="276">
        <f t="shared" si="4"/>
        <v>11</v>
      </c>
      <c r="B194" s="276" t="s">
        <v>713</v>
      </c>
      <c r="C194" s="277" t="s">
        <v>783</v>
      </c>
      <c r="D194" s="278" t="s">
        <v>794</v>
      </c>
      <c r="E194" s="215" t="s">
        <v>795</v>
      </c>
      <c r="F194" s="215" t="s">
        <v>479</v>
      </c>
      <c r="G194" s="243">
        <f>[2]Sheet4!E82</f>
        <v>45845</v>
      </c>
      <c r="H194" s="235">
        <f t="shared" si="5"/>
        <v>45845</v>
      </c>
      <c r="I194" s="243" t="s">
        <v>389</v>
      </c>
      <c r="J194" s="243"/>
      <c r="K194" s="215"/>
      <c r="L194" s="242"/>
      <c r="M194" s="242"/>
      <c r="N194" s="215"/>
      <c r="O194" s="215"/>
      <c r="P194" s="215"/>
      <c r="Q194" s="215"/>
      <c r="R194" s="215"/>
      <c r="S194" s="215"/>
      <c r="T194" s="215"/>
      <c r="U194" s="215"/>
    </row>
    <row r="195" spans="1:21" x14ac:dyDescent="0.3">
      <c r="A195" s="276">
        <f t="shared" si="4"/>
        <v>12</v>
      </c>
      <c r="B195" s="276" t="s">
        <v>713</v>
      </c>
      <c r="C195" s="277" t="s">
        <v>783</v>
      </c>
      <c r="D195" s="278" t="s">
        <v>796</v>
      </c>
      <c r="E195" s="215" t="s">
        <v>797</v>
      </c>
      <c r="F195" s="215" t="s">
        <v>479</v>
      </c>
      <c r="G195" s="243">
        <f>[2]Sheet4!E83</f>
        <v>45865</v>
      </c>
      <c r="H195" s="235">
        <f t="shared" si="5"/>
        <v>45865</v>
      </c>
      <c r="I195" s="243" t="s">
        <v>389</v>
      </c>
      <c r="J195" s="243"/>
      <c r="K195" s="215"/>
      <c r="L195" s="242"/>
      <c r="M195" s="242"/>
      <c r="N195" s="215"/>
      <c r="O195" s="215"/>
      <c r="P195" s="215"/>
      <c r="Q195" s="215"/>
      <c r="R195" s="215"/>
      <c r="S195" s="215"/>
      <c r="T195" s="215"/>
      <c r="U195" s="215"/>
    </row>
    <row r="196" spans="1:21" x14ac:dyDescent="0.3">
      <c r="A196" s="276">
        <f t="shared" si="4"/>
        <v>13</v>
      </c>
      <c r="B196" s="276" t="s">
        <v>713</v>
      </c>
      <c r="C196" s="277" t="s">
        <v>783</v>
      </c>
      <c r="D196" s="278" t="s">
        <v>798</v>
      </c>
      <c r="E196" s="215" t="s">
        <v>799</v>
      </c>
      <c r="F196" s="215" t="s">
        <v>469</v>
      </c>
      <c r="G196" s="243">
        <f>[2]Sheet4!E84</f>
        <v>45843</v>
      </c>
      <c r="H196" s="235">
        <f t="shared" si="5"/>
        <v>45843</v>
      </c>
      <c r="I196" s="243" t="s">
        <v>389</v>
      </c>
      <c r="J196" s="243"/>
      <c r="K196" s="215"/>
      <c r="L196" s="242"/>
      <c r="M196" s="242"/>
      <c r="N196" s="215"/>
      <c r="O196" s="215"/>
      <c r="P196" s="215"/>
      <c r="Q196" s="215"/>
      <c r="R196" s="215"/>
      <c r="S196" s="215"/>
      <c r="T196" s="215"/>
      <c r="U196" s="215"/>
    </row>
    <row r="197" spans="1:21" x14ac:dyDescent="0.3">
      <c r="A197" s="276">
        <f t="shared" si="4"/>
        <v>14</v>
      </c>
      <c r="B197" s="276" t="s">
        <v>713</v>
      </c>
      <c r="C197" s="277" t="s">
        <v>783</v>
      </c>
      <c r="D197" s="278" t="s">
        <v>800</v>
      </c>
      <c r="E197" s="215" t="s">
        <v>801</v>
      </c>
      <c r="F197" s="215" t="s">
        <v>469</v>
      </c>
      <c r="G197" s="243">
        <f>[2]Sheet4!E85</f>
        <v>45822</v>
      </c>
      <c r="H197" s="235">
        <v>45835</v>
      </c>
      <c r="I197" s="243" t="s">
        <v>389</v>
      </c>
      <c r="J197" s="243"/>
      <c r="K197" s="215"/>
      <c r="L197" s="242"/>
      <c r="M197" s="242"/>
      <c r="N197" s="215"/>
      <c r="O197" s="215"/>
      <c r="P197" s="215"/>
      <c r="Q197" s="215"/>
      <c r="R197" s="215"/>
      <c r="S197" s="215"/>
      <c r="T197" s="215"/>
      <c r="U197" s="215"/>
    </row>
    <row r="198" spans="1:21" x14ac:dyDescent="0.3">
      <c r="A198" s="276">
        <f t="shared" si="4"/>
        <v>15</v>
      </c>
      <c r="B198" s="276" t="s">
        <v>713</v>
      </c>
      <c r="C198" s="277" t="s">
        <v>783</v>
      </c>
      <c r="D198" s="278" t="s">
        <v>802</v>
      </c>
      <c r="E198" s="215" t="s">
        <v>803</v>
      </c>
      <c r="F198" s="215" t="s">
        <v>469</v>
      </c>
      <c r="G198" s="243">
        <f>[2]Sheet4!E86</f>
        <v>45840</v>
      </c>
      <c r="H198" s="235">
        <f t="shared" si="5"/>
        <v>45840</v>
      </c>
      <c r="I198" s="243" t="s">
        <v>389</v>
      </c>
      <c r="J198" s="243"/>
      <c r="K198" s="215"/>
      <c r="L198" s="242"/>
      <c r="M198" s="242"/>
      <c r="N198" s="215"/>
      <c r="O198" s="215"/>
      <c r="P198" s="215"/>
      <c r="Q198" s="215"/>
      <c r="R198" s="215"/>
      <c r="S198" s="215"/>
      <c r="T198" s="215"/>
      <c r="U198" s="215"/>
    </row>
    <row r="199" spans="1:21" x14ac:dyDescent="0.3">
      <c r="A199" s="276">
        <f t="shared" si="4"/>
        <v>16</v>
      </c>
      <c r="B199" s="276" t="s">
        <v>713</v>
      </c>
      <c r="C199" s="277" t="s">
        <v>783</v>
      </c>
      <c r="D199" s="278" t="s">
        <v>804</v>
      </c>
      <c r="E199" s="215" t="s">
        <v>805</v>
      </c>
      <c r="F199" s="215" t="s">
        <v>469</v>
      </c>
      <c r="G199" s="243">
        <f>[2]Sheet4!E87</f>
        <v>45870</v>
      </c>
      <c r="H199" s="235">
        <f t="shared" si="5"/>
        <v>45870</v>
      </c>
      <c r="I199" s="243" t="s">
        <v>389</v>
      </c>
      <c r="J199" s="243"/>
      <c r="K199" s="215"/>
      <c r="L199" s="242"/>
      <c r="M199" s="242"/>
      <c r="N199" s="215"/>
      <c r="O199" s="215"/>
      <c r="P199" s="215"/>
      <c r="Q199" s="215"/>
      <c r="R199" s="215"/>
      <c r="S199" s="215"/>
      <c r="T199" s="215"/>
      <c r="U199" s="215"/>
    </row>
    <row r="200" spans="1:21" x14ac:dyDescent="0.3">
      <c r="A200" s="276">
        <f t="shared" si="4"/>
        <v>17</v>
      </c>
      <c r="B200" s="276" t="s">
        <v>713</v>
      </c>
      <c r="C200" s="277" t="s">
        <v>783</v>
      </c>
      <c r="D200" s="278" t="s">
        <v>806</v>
      </c>
      <c r="E200" s="215" t="s">
        <v>807</v>
      </c>
      <c r="F200" s="215" t="s">
        <v>469</v>
      </c>
      <c r="G200" s="243">
        <f>[2]Sheet4!E88</f>
        <v>45813</v>
      </c>
      <c r="H200" s="235">
        <v>45835</v>
      </c>
      <c r="I200" s="243" t="s">
        <v>389</v>
      </c>
      <c r="J200" s="243"/>
      <c r="K200" s="215"/>
      <c r="L200" s="242"/>
      <c r="M200" s="242"/>
      <c r="N200" s="215"/>
      <c r="O200" s="215"/>
      <c r="P200" s="215"/>
      <c r="Q200" s="215"/>
      <c r="R200" s="215"/>
      <c r="S200" s="215"/>
      <c r="T200" s="215"/>
      <c r="U200" s="215"/>
    </row>
    <row r="201" spans="1:21" x14ac:dyDescent="0.3">
      <c r="A201" s="276">
        <f t="shared" si="4"/>
        <v>18</v>
      </c>
      <c r="B201" s="276" t="s">
        <v>713</v>
      </c>
      <c r="C201" s="277" t="s">
        <v>783</v>
      </c>
      <c r="D201" s="278" t="s">
        <v>808</v>
      </c>
      <c r="E201" s="215" t="s">
        <v>809</v>
      </c>
      <c r="F201" s="215" t="s">
        <v>479</v>
      </c>
      <c r="G201" s="243">
        <f>[2]Sheet4!E89</f>
        <v>45858</v>
      </c>
      <c r="H201" s="235">
        <f t="shared" si="5"/>
        <v>45858</v>
      </c>
      <c r="I201" s="243" t="s">
        <v>389</v>
      </c>
      <c r="J201" s="243"/>
      <c r="K201" s="215"/>
      <c r="L201" s="242"/>
      <c r="M201" s="242"/>
      <c r="N201" s="215"/>
      <c r="O201" s="215"/>
      <c r="P201" s="215"/>
      <c r="Q201" s="215"/>
      <c r="R201" s="215"/>
      <c r="S201" s="215"/>
      <c r="T201" s="215"/>
      <c r="U201" s="215"/>
    </row>
    <row r="202" spans="1:21" x14ac:dyDescent="0.3">
      <c r="A202" s="276">
        <f t="shared" si="4"/>
        <v>19</v>
      </c>
      <c r="B202" s="276" t="s">
        <v>713</v>
      </c>
      <c r="C202" s="277" t="s">
        <v>783</v>
      </c>
      <c r="D202" s="278" t="s">
        <v>810</v>
      </c>
      <c r="E202" s="215" t="s">
        <v>811</v>
      </c>
      <c r="F202" s="215" t="s">
        <v>479</v>
      </c>
      <c r="G202" s="243">
        <f>[2]Sheet4!E90</f>
        <v>45834</v>
      </c>
      <c r="H202" s="235">
        <f t="shared" si="5"/>
        <v>45834</v>
      </c>
      <c r="I202" s="243" t="s">
        <v>389</v>
      </c>
      <c r="J202" s="243"/>
      <c r="K202" s="215"/>
      <c r="L202" s="242"/>
      <c r="M202" s="242"/>
      <c r="N202" s="215"/>
      <c r="O202" s="215"/>
      <c r="P202" s="215"/>
      <c r="Q202" s="215"/>
      <c r="R202" s="215"/>
      <c r="S202" s="215"/>
      <c r="T202" s="215"/>
      <c r="U202" s="215"/>
    </row>
    <row r="203" spans="1:21" x14ac:dyDescent="0.3">
      <c r="A203" s="276">
        <f t="shared" si="4"/>
        <v>20</v>
      </c>
      <c r="B203" s="276" t="s">
        <v>713</v>
      </c>
      <c r="C203" s="277" t="s">
        <v>783</v>
      </c>
      <c r="D203" s="278" t="s">
        <v>812</v>
      </c>
      <c r="E203" s="215" t="s">
        <v>813</v>
      </c>
      <c r="F203" s="215" t="s">
        <v>479</v>
      </c>
      <c r="G203" s="243">
        <f>[2]Sheet4!E91</f>
        <v>45840</v>
      </c>
      <c r="H203" s="235">
        <f t="shared" si="5"/>
        <v>45840</v>
      </c>
      <c r="I203" s="243" t="s">
        <v>389</v>
      </c>
      <c r="J203" s="243"/>
      <c r="K203" s="215"/>
      <c r="L203" s="242"/>
      <c r="M203" s="242"/>
      <c r="N203" s="215"/>
      <c r="O203" s="215"/>
      <c r="P203" s="215"/>
      <c r="Q203" s="215"/>
      <c r="R203" s="215"/>
      <c r="S203" s="215"/>
      <c r="T203" s="215"/>
      <c r="U203" s="215"/>
    </row>
    <row r="204" spans="1:21" s="287" customFormat="1" ht="28" x14ac:dyDescent="0.3">
      <c r="A204" s="276">
        <f t="shared" si="4"/>
        <v>21</v>
      </c>
      <c r="B204" s="276" t="s">
        <v>713</v>
      </c>
      <c r="C204" s="277" t="s">
        <v>783</v>
      </c>
      <c r="D204" s="278" t="s">
        <v>814</v>
      </c>
      <c r="E204" s="215" t="s">
        <v>815</v>
      </c>
      <c r="F204" s="215" t="s">
        <v>479</v>
      </c>
      <c r="G204" s="243">
        <f>[2]Sheet4!E92</f>
        <v>45826</v>
      </c>
      <c r="H204" s="235">
        <v>45835</v>
      </c>
      <c r="I204" s="243" t="s">
        <v>389</v>
      </c>
      <c r="J204" s="243"/>
      <c r="K204" s="286"/>
      <c r="L204" s="242"/>
      <c r="M204" s="242"/>
      <c r="N204" s="286"/>
      <c r="O204" s="215"/>
      <c r="P204" s="215"/>
      <c r="Q204" s="286"/>
      <c r="R204" s="286"/>
      <c r="S204" s="286"/>
      <c r="T204" s="286"/>
      <c r="U204" s="286"/>
    </row>
    <row r="205" spans="1:21" x14ac:dyDescent="0.3">
      <c r="A205" s="276">
        <f t="shared" si="4"/>
        <v>22</v>
      </c>
      <c r="B205" s="276" t="s">
        <v>713</v>
      </c>
      <c r="C205" s="277" t="s">
        <v>783</v>
      </c>
      <c r="D205" s="278" t="s">
        <v>816</v>
      </c>
      <c r="E205" s="215" t="s">
        <v>817</v>
      </c>
      <c r="F205" s="215" t="s">
        <v>469</v>
      </c>
      <c r="G205" s="243" t="str">
        <f>[2]Sheet4!E93</f>
        <v>Done</v>
      </c>
      <c r="H205" s="235" t="str">
        <f t="shared" si="5"/>
        <v>Done</v>
      </c>
      <c r="I205" s="243" t="s">
        <v>389</v>
      </c>
      <c r="J205" s="243"/>
      <c r="K205" s="215"/>
      <c r="L205" s="242"/>
      <c r="M205" s="242"/>
      <c r="N205" s="215"/>
      <c r="O205" s="215"/>
      <c r="P205" s="215"/>
      <c r="Q205" s="215"/>
      <c r="R205" s="215"/>
      <c r="S205" s="215"/>
      <c r="T205" s="215"/>
      <c r="U205" s="215"/>
    </row>
    <row r="206" spans="1:21" x14ac:dyDescent="0.3">
      <c r="A206" s="276">
        <f t="shared" si="4"/>
        <v>23</v>
      </c>
      <c r="B206" s="276" t="s">
        <v>713</v>
      </c>
      <c r="C206" s="277" t="s">
        <v>783</v>
      </c>
      <c r="D206" s="278" t="s">
        <v>818</v>
      </c>
      <c r="E206" s="215" t="s">
        <v>819</v>
      </c>
      <c r="F206" s="215" t="s">
        <v>469</v>
      </c>
      <c r="G206" s="243">
        <f>[2]Sheet4!E94</f>
        <v>45853</v>
      </c>
      <c r="H206" s="235">
        <f t="shared" si="5"/>
        <v>45853</v>
      </c>
      <c r="I206" s="243" t="s">
        <v>389</v>
      </c>
      <c r="J206" s="243"/>
      <c r="K206" s="215"/>
      <c r="L206" s="242"/>
      <c r="M206" s="242"/>
      <c r="N206" s="215"/>
      <c r="O206" s="215"/>
      <c r="P206" s="215"/>
      <c r="Q206" s="215"/>
      <c r="R206" s="215"/>
      <c r="S206" s="215"/>
      <c r="T206" s="215"/>
      <c r="U206" s="215"/>
    </row>
    <row r="207" spans="1:21" x14ac:dyDescent="0.3">
      <c r="A207" s="276">
        <f t="shared" si="4"/>
        <v>24</v>
      </c>
      <c r="B207" s="276" t="s">
        <v>713</v>
      </c>
      <c r="C207" s="277" t="s">
        <v>783</v>
      </c>
      <c r="D207" s="278" t="s">
        <v>820</v>
      </c>
      <c r="E207" s="215" t="s">
        <v>821</v>
      </c>
      <c r="F207" s="214" t="s">
        <v>479</v>
      </c>
      <c r="G207" s="243">
        <f>[2]Sheet4!E95</f>
        <v>45826</v>
      </c>
      <c r="H207" s="235">
        <v>45835</v>
      </c>
      <c r="I207" s="243" t="s">
        <v>389</v>
      </c>
      <c r="J207" s="243"/>
      <c r="K207" s="215"/>
      <c r="L207" s="242"/>
      <c r="M207" s="242"/>
      <c r="N207" s="215"/>
      <c r="O207" s="215"/>
      <c r="P207" s="215"/>
      <c r="Q207" s="215"/>
      <c r="R207" s="215"/>
      <c r="S207" s="215"/>
      <c r="T207" s="215"/>
      <c r="U207" s="215"/>
    </row>
    <row r="208" spans="1:21" x14ac:dyDescent="0.3">
      <c r="A208" s="276">
        <f t="shared" si="4"/>
        <v>25</v>
      </c>
      <c r="B208" s="276" t="s">
        <v>713</v>
      </c>
      <c r="C208" s="277" t="s">
        <v>783</v>
      </c>
      <c r="D208" s="278" t="s">
        <v>822</v>
      </c>
      <c r="E208" s="215" t="s">
        <v>823</v>
      </c>
      <c r="F208" s="215" t="s">
        <v>469</v>
      </c>
      <c r="G208" s="243" t="str">
        <f>[2]Sheet4!E96</f>
        <v>Done</v>
      </c>
      <c r="H208" s="235" t="str">
        <f t="shared" si="5"/>
        <v>Done</v>
      </c>
      <c r="I208" s="243" t="s">
        <v>389</v>
      </c>
      <c r="J208" s="243"/>
      <c r="K208" s="215"/>
      <c r="L208" s="242"/>
      <c r="M208" s="242"/>
      <c r="N208" s="215"/>
      <c r="O208" s="215"/>
      <c r="P208" s="215"/>
      <c r="Q208" s="215"/>
      <c r="R208" s="215"/>
      <c r="S208" s="215"/>
      <c r="T208" s="215"/>
      <c r="U208" s="215"/>
    </row>
    <row r="209" spans="1:21" x14ac:dyDescent="0.3">
      <c r="A209" s="452">
        <f t="shared" si="4"/>
        <v>26</v>
      </c>
      <c r="B209" s="276" t="s">
        <v>713</v>
      </c>
      <c r="C209" s="277" t="s">
        <v>783</v>
      </c>
      <c r="D209" s="278" t="s">
        <v>824</v>
      </c>
      <c r="E209" s="215" t="s">
        <v>825</v>
      </c>
      <c r="F209" s="215" t="s">
        <v>469</v>
      </c>
      <c r="G209" s="243">
        <v>45868</v>
      </c>
      <c r="H209" s="235">
        <f>G209</f>
        <v>45868</v>
      </c>
      <c r="I209" s="243" t="s">
        <v>389</v>
      </c>
      <c r="J209" s="243"/>
      <c r="K209" s="215"/>
      <c r="L209" s="242"/>
      <c r="M209" s="242"/>
      <c r="N209" s="215"/>
      <c r="O209" s="215"/>
      <c r="P209" s="215"/>
      <c r="Q209" s="215"/>
      <c r="R209" s="215"/>
      <c r="S209" s="215"/>
      <c r="T209" s="215"/>
      <c r="U209" s="215"/>
    </row>
    <row r="210" spans="1:21" x14ac:dyDescent="0.3">
      <c r="A210" s="454"/>
      <c r="B210" s="276" t="s">
        <v>713</v>
      </c>
      <c r="C210" s="277" t="s">
        <v>783</v>
      </c>
      <c r="D210" s="278" t="s">
        <v>826</v>
      </c>
      <c r="E210" s="215" t="s">
        <v>827</v>
      </c>
      <c r="F210" s="215" t="s">
        <v>479</v>
      </c>
      <c r="G210" s="243">
        <v>45868</v>
      </c>
      <c r="H210" s="235">
        <f>G210</f>
        <v>45868</v>
      </c>
      <c r="I210" s="243" t="s">
        <v>389</v>
      </c>
      <c r="J210" s="243"/>
      <c r="K210" s="215"/>
      <c r="L210" s="242"/>
      <c r="M210" s="242"/>
      <c r="N210" s="215"/>
      <c r="O210" s="215"/>
      <c r="P210" s="215"/>
      <c r="Q210" s="215"/>
      <c r="R210" s="215"/>
      <c r="S210" s="215"/>
      <c r="T210" s="215"/>
      <c r="U210" s="215"/>
    </row>
    <row r="211" spans="1:21" x14ac:dyDescent="0.3">
      <c r="A211" s="276">
        <f>A209+1</f>
        <v>27</v>
      </c>
      <c r="B211" s="276" t="s">
        <v>713</v>
      </c>
      <c r="C211" s="277" t="s">
        <v>783</v>
      </c>
      <c r="D211" s="278" t="s">
        <v>828</v>
      </c>
      <c r="E211" s="215" t="s">
        <v>829</v>
      </c>
      <c r="F211" s="215" t="s">
        <v>479</v>
      </c>
      <c r="G211" s="243">
        <v>45899</v>
      </c>
      <c r="H211" s="235">
        <f>G211</f>
        <v>45899</v>
      </c>
      <c r="I211" s="243" t="s">
        <v>389</v>
      </c>
      <c r="J211" s="243"/>
      <c r="K211" s="215"/>
      <c r="L211" s="242"/>
      <c r="M211" s="242"/>
      <c r="N211" s="215"/>
      <c r="O211" s="215"/>
      <c r="P211" s="215"/>
      <c r="Q211" s="215"/>
      <c r="R211" s="215"/>
      <c r="S211" s="215"/>
      <c r="T211" s="215"/>
      <c r="U211" s="215"/>
    </row>
    <row r="212" spans="1:21" ht="28" x14ac:dyDescent="0.3">
      <c r="A212" s="281">
        <f t="shared" si="4"/>
        <v>28</v>
      </c>
      <c r="B212" s="276" t="s">
        <v>713</v>
      </c>
      <c r="C212" s="277" t="s">
        <v>783</v>
      </c>
      <c r="D212" s="278" t="s">
        <v>830</v>
      </c>
      <c r="E212" s="215" t="s">
        <v>831</v>
      </c>
      <c r="F212" s="215" t="s">
        <v>479</v>
      </c>
      <c r="G212" s="243">
        <v>45899</v>
      </c>
      <c r="H212" s="235">
        <f>G212</f>
        <v>45899</v>
      </c>
      <c r="I212" s="243" t="s">
        <v>389</v>
      </c>
      <c r="J212" s="243"/>
      <c r="K212" s="215"/>
      <c r="L212" s="242"/>
      <c r="M212" s="242"/>
      <c r="N212" s="215"/>
      <c r="O212" s="215"/>
      <c r="P212" s="215"/>
      <c r="Q212" s="215"/>
      <c r="R212" s="215"/>
      <c r="S212" s="215"/>
      <c r="T212" s="215"/>
      <c r="U212" s="215"/>
    </row>
    <row r="213" spans="1:21" x14ac:dyDescent="0.3">
      <c r="A213" s="298">
        <f t="shared" si="4"/>
        <v>29</v>
      </c>
      <c r="B213" s="276" t="s">
        <v>713</v>
      </c>
      <c r="C213" s="277" t="s">
        <v>783</v>
      </c>
      <c r="D213" s="278" t="s">
        <v>832</v>
      </c>
      <c r="E213" s="215" t="s">
        <v>833</v>
      </c>
      <c r="F213" s="215" t="s">
        <v>469</v>
      </c>
      <c r="G213" s="243">
        <v>45899</v>
      </c>
      <c r="H213" s="235">
        <f>G213</f>
        <v>45899</v>
      </c>
      <c r="I213" s="243" t="s">
        <v>389</v>
      </c>
      <c r="J213" s="243"/>
      <c r="K213" s="215"/>
      <c r="L213" s="242"/>
      <c r="M213" s="242"/>
      <c r="N213" s="215"/>
      <c r="O213" s="215"/>
      <c r="P213" s="215"/>
      <c r="Q213" s="215"/>
      <c r="R213" s="215"/>
      <c r="S213" s="215"/>
      <c r="T213" s="215"/>
      <c r="U213" s="215"/>
    </row>
    <row r="214" spans="1:21" x14ac:dyDescent="0.3">
      <c r="A214" s="298"/>
      <c r="B214" s="276" t="s">
        <v>713</v>
      </c>
      <c r="C214" s="455" t="s">
        <v>783</v>
      </c>
      <c r="D214" s="446" t="s">
        <v>834</v>
      </c>
      <c r="E214" s="425" t="s">
        <v>835</v>
      </c>
      <c r="F214" s="425" t="s">
        <v>469</v>
      </c>
      <c r="G214" s="472">
        <v>45793</v>
      </c>
      <c r="H214" s="472">
        <f>L214</f>
        <v>45793</v>
      </c>
      <c r="I214" s="480" t="s">
        <v>389</v>
      </c>
      <c r="J214" s="480"/>
      <c r="K214" s="215" t="s">
        <v>470</v>
      </c>
      <c r="L214" s="242">
        <v>45793</v>
      </c>
      <c r="M214" s="242">
        <v>45807</v>
      </c>
      <c r="N214" s="215" t="s">
        <v>471</v>
      </c>
      <c r="O214" s="215">
        <f>M214-L214</f>
        <v>14</v>
      </c>
      <c r="P214" s="215">
        <f ca="1">O1-M214</f>
        <v>38</v>
      </c>
      <c r="Q214" s="425"/>
      <c r="R214" s="425" t="s">
        <v>502</v>
      </c>
      <c r="S214" s="425" t="str">
        <f>N214</f>
        <v>CAT - III</v>
      </c>
      <c r="T214" s="425" t="s">
        <v>476</v>
      </c>
      <c r="U214" s="425">
        <f ca="1">U1-M214</f>
        <v>38</v>
      </c>
    </row>
    <row r="215" spans="1:21" x14ac:dyDescent="0.3">
      <c r="A215" s="290"/>
      <c r="B215" s="276"/>
      <c r="C215" s="457"/>
      <c r="D215" s="447"/>
      <c r="E215" s="427"/>
      <c r="F215" s="427"/>
      <c r="G215" s="427"/>
      <c r="H215" s="473"/>
      <c r="I215" s="481"/>
      <c r="J215" s="481"/>
      <c r="K215" s="215" t="s">
        <v>472</v>
      </c>
      <c r="L215" s="242"/>
      <c r="M215" s="242"/>
      <c r="N215" s="215"/>
      <c r="O215" s="215"/>
      <c r="P215" s="215"/>
      <c r="Q215" s="427"/>
      <c r="R215" s="427"/>
      <c r="S215" s="427"/>
      <c r="T215" s="427"/>
      <c r="U215" s="427"/>
    </row>
    <row r="216" spans="1:21" x14ac:dyDescent="0.3">
      <c r="B216" s="276" t="s">
        <v>713</v>
      </c>
      <c r="C216" s="277" t="s">
        <v>783</v>
      </c>
      <c r="D216" s="278" t="s">
        <v>836</v>
      </c>
      <c r="E216" s="215" t="s">
        <v>837</v>
      </c>
      <c r="F216" s="241" t="s">
        <v>469</v>
      </c>
      <c r="G216" s="243">
        <v>45868</v>
      </c>
      <c r="H216" s="235">
        <f>G216</f>
        <v>45868</v>
      </c>
      <c r="I216" s="243" t="s">
        <v>389</v>
      </c>
      <c r="J216" s="243"/>
      <c r="K216" s="215"/>
      <c r="L216" s="242"/>
      <c r="M216" s="242"/>
      <c r="N216" s="215"/>
      <c r="O216" s="215"/>
      <c r="P216" s="215"/>
      <c r="Q216" s="215"/>
      <c r="R216" s="215"/>
      <c r="S216" s="215"/>
      <c r="T216" s="215"/>
      <c r="U216" s="215"/>
    </row>
    <row r="217" spans="1:21" x14ac:dyDescent="0.3">
      <c r="B217" s="281" t="s">
        <v>713</v>
      </c>
      <c r="C217" s="282" t="s">
        <v>783</v>
      </c>
      <c r="D217" s="289" t="s">
        <v>838</v>
      </c>
      <c r="E217" s="267" t="s">
        <v>839</v>
      </c>
      <c r="F217" s="272" t="s">
        <v>469</v>
      </c>
      <c r="G217" s="280">
        <v>45826</v>
      </c>
      <c r="H217" s="235">
        <v>45835</v>
      </c>
      <c r="I217" s="280" t="s">
        <v>389</v>
      </c>
      <c r="J217" s="280"/>
      <c r="K217" s="267"/>
      <c r="L217" s="266"/>
      <c r="M217" s="266"/>
      <c r="N217" s="267"/>
      <c r="O217" s="267"/>
      <c r="P217" s="267"/>
      <c r="Q217" s="267"/>
      <c r="R217" s="267"/>
      <c r="S217" s="267"/>
      <c r="T217" s="267"/>
      <c r="U217" s="267"/>
    </row>
    <row r="218" spans="1:21" s="290" customFormat="1" x14ac:dyDescent="0.3">
      <c r="A218" s="291"/>
      <c r="B218" s="288" t="s">
        <v>713</v>
      </c>
      <c r="C218" s="475" t="s">
        <v>783</v>
      </c>
      <c r="D218" s="476" t="s">
        <v>840</v>
      </c>
      <c r="E218" s="474" t="s">
        <v>839</v>
      </c>
      <c r="F218" s="474" t="s">
        <v>469</v>
      </c>
      <c r="G218" s="477">
        <v>45803</v>
      </c>
      <c r="H218" s="478">
        <f>L218</f>
        <v>45803</v>
      </c>
      <c r="I218" s="477" t="s">
        <v>389</v>
      </c>
      <c r="J218" s="477"/>
      <c r="K218" s="228" t="s">
        <v>470</v>
      </c>
      <c r="L218" s="292">
        <v>45803</v>
      </c>
      <c r="M218" s="292">
        <v>45810</v>
      </c>
      <c r="N218" s="228" t="s">
        <v>471</v>
      </c>
      <c r="O218" s="228">
        <f>M218-L218</f>
        <v>7</v>
      </c>
      <c r="P218" s="228">
        <f>L219-M218</f>
        <v>8</v>
      </c>
      <c r="Q218" s="474"/>
      <c r="R218" s="474" t="s">
        <v>502</v>
      </c>
      <c r="S218" s="474" t="str">
        <f>N219</f>
        <v>CAT - III</v>
      </c>
      <c r="T218" s="474" t="s">
        <v>476</v>
      </c>
      <c r="U218" s="474">
        <f ca="1">U1-M219</f>
        <v>25</v>
      </c>
    </row>
    <row r="219" spans="1:21" s="290" customFormat="1" x14ac:dyDescent="0.3">
      <c r="A219" s="291"/>
      <c r="B219" s="228"/>
      <c r="C219" s="475"/>
      <c r="D219" s="476"/>
      <c r="E219" s="474"/>
      <c r="F219" s="474"/>
      <c r="G219" s="477"/>
      <c r="H219" s="479"/>
      <c r="I219" s="477"/>
      <c r="J219" s="477"/>
      <c r="K219" s="228" t="s">
        <v>472</v>
      </c>
      <c r="L219" s="292">
        <v>45818</v>
      </c>
      <c r="M219" s="292">
        <v>45820</v>
      </c>
      <c r="N219" s="228" t="s">
        <v>471</v>
      </c>
      <c r="O219" s="228">
        <f>M219-L219</f>
        <v>2</v>
      </c>
      <c r="P219" s="228">
        <f ca="1">O1-M219</f>
        <v>25</v>
      </c>
      <c r="Q219" s="474"/>
      <c r="R219" s="474"/>
      <c r="S219" s="474"/>
      <c r="T219" s="474"/>
      <c r="U219" s="474"/>
    </row>
    <row r="220" spans="1:21" s="290" customFormat="1" x14ac:dyDescent="0.3">
      <c r="A220" s="291"/>
      <c r="L220" s="293"/>
      <c r="M220" s="293"/>
    </row>
  </sheetData>
  <autoFilter ref="A2:U219" xr:uid="{3231EE02-D3A7-4921-9CFE-BCAE4C68606C}"/>
  <mergeCells count="309">
    <mergeCell ref="Q218:Q219"/>
    <mergeCell ref="R218:R219"/>
    <mergeCell ref="S218:S219"/>
    <mergeCell ref="T218:T219"/>
    <mergeCell ref="U218:U219"/>
    <mergeCell ref="T214:T215"/>
    <mergeCell ref="U214:U215"/>
    <mergeCell ref="C218:C219"/>
    <mergeCell ref="D218:D219"/>
    <mergeCell ref="E218:E219"/>
    <mergeCell ref="F218:F219"/>
    <mergeCell ref="G218:G219"/>
    <mergeCell ref="H218:H219"/>
    <mergeCell ref="I218:I219"/>
    <mergeCell ref="J218:J219"/>
    <mergeCell ref="H214:H215"/>
    <mergeCell ref="I214:I215"/>
    <mergeCell ref="J214:J215"/>
    <mergeCell ref="Q214:Q215"/>
    <mergeCell ref="R214:R215"/>
    <mergeCell ref="S214:S215"/>
    <mergeCell ref="A209:A210"/>
    <mergeCell ref="C214:C215"/>
    <mergeCell ref="D214:D215"/>
    <mergeCell ref="E214:E215"/>
    <mergeCell ref="F214:F215"/>
    <mergeCell ref="G214:G215"/>
    <mergeCell ref="H187:H188"/>
    <mergeCell ref="Q187:Q188"/>
    <mergeCell ref="R187:R188"/>
    <mergeCell ref="S187:S188"/>
    <mergeCell ref="T187:T188"/>
    <mergeCell ref="U187:U188"/>
    <mergeCell ref="A187:A188"/>
    <mergeCell ref="C187:C188"/>
    <mergeCell ref="D187:D188"/>
    <mergeCell ref="E187:E188"/>
    <mergeCell ref="F187:F188"/>
    <mergeCell ref="G187:G188"/>
    <mergeCell ref="H149:H151"/>
    <mergeCell ref="Q149:Q151"/>
    <mergeCell ref="R149:R151"/>
    <mergeCell ref="S149:S151"/>
    <mergeCell ref="T149:T151"/>
    <mergeCell ref="U149:U151"/>
    <mergeCell ref="B149:B151"/>
    <mergeCell ref="C149:C151"/>
    <mergeCell ref="D149:D151"/>
    <mergeCell ref="E149:E151"/>
    <mergeCell ref="F149:F151"/>
    <mergeCell ref="G149:G151"/>
    <mergeCell ref="H146:H148"/>
    <mergeCell ref="Q146:Q148"/>
    <mergeCell ref="R146:R148"/>
    <mergeCell ref="S146:S148"/>
    <mergeCell ref="T146:T148"/>
    <mergeCell ref="U146:U148"/>
    <mergeCell ref="B146:B148"/>
    <mergeCell ref="C146:C148"/>
    <mergeCell ref="D146:D148"/>
    <mergeCell ref="E146:E148"/>
    <mergeCell ref="F146:F148"/>
    <mergeCell ref="G146:G148"/>
    <mergeCell ref="G142:G144"/>
    <mergeCell ref="H142:H144"/>
    <mergeCell ref="Q142:Q144"/>
    <mergeCell ref="R142:R144"/>
    <mergeCell ref="S142:S144"/>
    <mergeCell ref="T142:T144"/>
    <mergeCell ref="A139:A140"/>
    <mergeCell ref="A142:A144"/>
    <mergeCell ref="C142:C144"/>
    <mergeCell ref="D142:D144"/>
    <mergeCell ref="E142:E144"/>
    <mergeCell ref="F142:F144"/>
    <mergeCell ref="J135:J137"/>
    <mergeCell ref="Q135:Q137"/>
    <mergeCell ref="R135:R137"/>
    <mergeCell ref="S135:S137"/>
    <mergeCell ref="T135:T137"/>
    <mergeCell ref="U135:U137"/>
    <mergeCell ref="T133:T134"/>
    <mergeCell ref="U133:U134"/>
    <mergeCell ref="A135:A137"/>
    <mergeCell ref="C135:C137"/>
    <mergeCell ref="D135:D137"/>
    <mergeCell ref="E135:E137"/>
    <mergeCell ref="F135:F137"/>
    <mergeCell ref="G135:G137"/>
    <mergeCell ref="H135:H137"/>
    <mergeCell ref="I135:I137"/>
    <mergeCell ref="H133:H134"/>
    <mergeCell ref="I133:I134"/>
    <mergeCell ref="J133:J134"/>
    <mergeCell ref="Q133:Q134"/>
    <mergeCell ref="R133:R134"/>
    <mergeCell ref="S133:S134"/>
    <mergeCell ref="S111:S113"/>
    <mergeCell ref="T111:T113"/>
    <mergeCell ref="U111:U113"/>
    <mergeCell ref="A128:A129"/>
    <mergeCell ref="B133:B134"/>
    <mergeCell ref="C133:C134"/>
    <mergeCell ref="D133:D134"/>
    <mergeCell ref="E133:E134"/>
    <mergeCell ref="F133:F134"/>
    <mergeCell ref="G133:G134"/>
    <mergeCell ref="A111:A113"/>
    <mergeCell ref="C111:C113"/>
    <mergeCell ref="D111:D113"/>
    <mergeCell ref="E111:E113"/>
    <mergeCell ref="F111:F113"/>
    <mergeCell ref="G111:G113"/>
    <mergeCell ref="H111:H113"/>
    <mergeCell ref="R111:R113"/>
    <mergeCell ref="U101:U102"/>
    <mergeCell ref="B104:B106"/>
    <mergeCell ref="C104:C106"/>
    <mergeCell ref="D104:D106"/>
    <mergeCell ref="E104:E106"/>
    <mergeCell ref="F104:F106"/>
    <mergeCell ref="T104:T106"/>
    <mergeCell ref="U104:U106"/>
    <mergeCell ref="S104:S106"/>
    <mergeCell ref="G104:G106"/>
    <mergeCell ref="H104:H106"/>
    <mergeCell ref="J104:J106"/>
    <mergeCell ref="Q104:Q106"/>
    <mergeCell ref="R104:R106"/>
    <mergeCell ref="Q101:Q102"/>
    <mergeCell ref="R101:R102"/>
    <mergeCell ref="S101:S102"/>
    <mergeCell ref="T101:T102"/>
    <mergeCell ref="A99:A100"/>
    <mergeCell ref="B101:B102"/>
    <mergeCell ref="C101:C102"/>
    <mergeCell ref="D101:D102"/>
    <mergeCell ref="E101:E102"/>
    <mergeCell ref="F101:F102"/>
    <mergeCell ref="G101:G102"/>
    <mergeCell ref="H101:H102"/>
    <mergeCell ref="J101:J102"/>
    <mergeCell ref="G97:G100"/>
    <mergeCell ref="H97:H100"/>
    <mergeCell ref="H69:H71"/>
    <mergeCell ref="H67:H68"/>
    <mergeCell ref="Q69:Q71"/>
    <mergeCell ref="R69:R71"/>
    <mergeCell ref="S69:S71"/>
    <mergeCell ref="T69:T71"/>
    <mergeCell ref="U69:U71"/>
    <mergeCell ref="B97:B100"/>
    <mergeCell ref="C97:C100"/>
    <mergeCell ref="D97:D100"/>
    <mergeCell ref="E97:E100"/>
    <mergeCell ref="F97:F100"/>
    <mergeCell ref="U97:U100"/>
    <mergeCell ref="Q97:Q100"/>
    <mergeCell ref="R97:R100"/>
    <mergeCell ref="S97:S100"/>
    <mergeCell ref="T97:T100"/>
    <mergeCell ref="T67:T68"/>
    <mergeCell ref="U67:U68"/>
    <mergeCell ref="I67:I68"/>
    <mergeCell ref="J67:J68"/>
    <mergeCell ref="Q67:Q68"/>
    <mergeCell ref="R67:R68"/>
    <mergeCell ref="S67:S68"/>
    <mergeCell ref="A44:A47"/>
    <mergeCell ref="B44:B47"/>
    <mergeCell ref="C44:C47"/>
    <mergeCell ref="D44:D47"/>
    <mergeCell ref="E44:E47"/>
    <mergeCell ref="F44:F47"/>
    <mergeCell ref="G44:G47"/>
    <mergeCell ref="A69:A71"/>
    <mergeCell ref="B69:B71"/>
    <mergeCell ref="C69:C71"/>
    <mergeCell ref="D69:D71"/>
    <mergeCell ref="E69:E71"/>
    <mergeCell ref="F69:F71"/>
    <mergeCell ref="G69:G71"/>
    <mergeCell ref="A67:A68"/>
    <mergeCell ref="C67:C68"/>
    <mergeCell ref="D67:D68"/>
    <mergeCell ref="E67:E68"/>
    <mergeCell ref="F67:F68"/>
    <mergeCell ref="G67:G68"/>
    <mergeCell ref="H44:H47"/>
    <mergeCell ref="F38:F41"/>
    <mergeCell ref="G38:G41"/>
    <mergeCell ref="H38:H41"/>
    <mergeCell ref="Q36:Q37"/>
    <mergeCell ref="R36:R37"/>
    <mergeCell ref="S36:S37"/>
    <mergeCell ref="T36:T37"/>
    <mergeCell ref="U36:U37"/>
    <mergeCell ref="R44:R47"/>
    <mergeCell ref="S44:S47"/>
    <mergeCell ref="T44:T47"/>
    <mergeCell ref="U44:U47"/>
    <mergeCell ref="A38:A41"/>
    <mergeCell ref="B38:B41"/>
    <mergeCell ref="C38:C41"/>
    <mergeCell ref="D38:D41"/>
    <mergeCell ref="E38:E41"/>
    <mergeCell ref="T38:T41"/>
    <mergeCell ref="U38:U41"/>
    <mergeCell ref="Q38:Q41"/>
    <mergeCell ref="R38:R41"/>
    <mergeCell ref="S38:S41"/>
    <mergeCell ref="A36:A37"/>
    <mergeCell ref="B36:B37"/>
    <mergeCell ref="C36:C37"/>
    <mergeCell ref="D36:D37"/>
    <mergeCell ref="E36:E37"/>
    <mergeCell ref="F36:F37"/>
    <mergeCell ref="G36:G37"/>
    <mergeCell ref="H36:H37"/>
    <mergeCell ref="F30:F34"/>
    <mergeCell ref="G30:G34"/>
    <mergeCell ref="H30:H34"/>
    <mergeCell ref="T25:T27"/>
    <mergeCell ref="U25:U27"/>
    <mergeCell ref="A30:A34"/>
    <mergeCell ref="B30:B33"/>
    <mergeCell ref="C30:C34"/>
    <mergeCell ref="D30:D34"/>
    <mergeCell ref="E30:E34"/>
    <mergeCell ref="T30:T34"/>
    <mergeCell ref="U30:U33"/>
    <mergeCell ref="Q30:Q34"/>
    <mergeCell ref="R30:R34"/>
    <mergeCell ref="S30:S34"/>
    <mergeCell ref="A19:A21"/>
    <mergeCell ref="B19:B21"/>
    <mergeCell ref="C19:C21"/>
    <mergeCell ref="D19:D21"/>
    <mergeCell ref="E19:E21"/>
    <mergeCell ref="T19:T21"/>
    <mergeCell ref="U19:U21"/>
    <mergeCell ref="A25:A27"/>
    <mergeCell ref="B25:B27"/>
    <mergeCell ref="C25:C27"/>
    <mergeCell ref="D25:D27"/>
    <mergeCell ref="E25:E27"/>
    <mergeCell ref="F25:F27"/>
    <mergeCell ref="G25:G27"/>
    <mergeCell ref="H25:H27"/>
    <mergeCell ref="F19:F21"/>
    <mergeCell ref="G19:G21"/>
    <mergeCell ref="H19:H21"/>
    <mergeCell ref="Q19:Q21"/>
    <mergeCell ref="R19:R21"/>
    <mergeCell ref="S19:S21"/>
    <mergeCell ref="Q25:Q27"/>
    <mergeCell ref="R25:R27"/>
    <mergeCell ref="S25:S27"/>
    <mergeCell ref="U10:U11"/>
    <mergeCell ref="A14:A15"/>
    <mergeCell ref="B14:B15"/>
    <mergeCell ref="C14:C15"/>
    <mergeCell ref="D14:D15"/>
    <mergeCell ref="E14:E15"/>
    <mergeCell ref="F14:F15"/>
    <mergeCell ref="G14:G15"/>
    <mergeCell ref="H14:H15"/>
    <mergeCell ref="R14:R15"/>
    <mergeCell ref="S14:S15"/>
    <mergeCell ref="T14:T15"/>
    <mergeCell ref="U14:U15"/>
    <mergeCell ref="U7:U8"/>
    <mergeCell ref="A10:A11"/>
    <mergeCell ref="C10:C11"/>
    <mergeCell ref="D10:D11"/>
    <mergeCell ref="E10:E11"/>
    <mergeCell ref="F10:F11"/>
    <mergeCell ref="G10:G11"/>
    <mergeCell ref="H10:H11"/>
    <mergeCell ref="Q10:Q11"/>
    <mergeCell ref="R10:R11"/>
    <mergeCell ref="G7:G8"/>
    <mergeCell ref="H7:H8"/>
    <mergeCell ref="Q7:Q8"/>
    <mergeCell ref="R7:R8"/>
    <mergeCell ref="S7:S8"/>
    <mergeCell ref="T7:T8"/>
    <mergeCell ref="A7:A8"/>
    <mergeCell ref="B7:B8"/>
    <mergeCell ref="C7:C8"/>
    <mergeCell ref="D7:D8"/>
    <mergeCell ref="E7:E8"/>
    <mergeCell ref="F7:F8"/>
    <mergeCell ref="S10:S11"/>
    <mergeCell ref="T10:T11"/>
    <mergeCell ref="H3:H6"/>
    <mergeCell ref="Q3:Q6"/>
    <mergeCell ref="R3:R6"/>
    <mergeCell ref="S3:S6"/>
    <mergeCell ref="T3:T6"/>
    <mergeCell ref="U3:U6"/>
    <mergeCell ref="A1:G1"/>
    <mergeCell ref="A3:A6"/>
    <mergeCell ref="B3:B6"/>
    <mergeCell ref="C3:C6"/>
    <mergeCell ref="D3:D6"/>
    <mergeCell ref="E3:E6"/>
    <mergeCell ref="F3:F6"/>
    <mergeCell ref="G3:G6"/>
  </mergeCells>
  <dataValidations count="1">
    <dataValidation type="list" allowBlank="1" showInputMessage="1" showErrorMessage="1" sqref="F135 F3 F208:F214 F72:F97 F7 F189:F206 F114:F133 F42:F44 F16:F19 F36 F22:F25 F101 F149 F38:F40 F69 F28:F30 F103:F111 F138:F143 F48:F67 F145:F146 F152:F187 F9:F10 F12:F14" xr:uid="{BE050F3F-E60D-41B3-9407-81D5CFB8B7EB}">
      <formula1>"Approval, Information"</formula1>
    </dataValidation>
  </dataValidation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1DAB-19BC-4E58-8359-1C333300A855}">
  <dimension ref="B1:EQ129"/>
  <sheetViews>
    <sheetView topLeftCell="B1" zoomScale="80" zoomScaleNormal="130" workbookViewId="0">
      <pane xSplit="16" ySplit="3" topLeftCell="DL4" activePane="bottomRight" state="frozen"/>
      <selection activeCell="B1" sqref="B1"/>
      <selection pane="topRight" activeCell="Q1" sqref="Q1"/>
      <selection pane="bottomLeft" activeCell="B4" sqref="B4"/>
      <selection pane="bottomRight" activeCell="DL12" sqref="DL12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35.81640625" style="328" bestFit="1" customWidth="1"/>
    <col min="5" max="6" width="10.81640625" style="57" bestFit="1" customWidth="1"/>
    <col min="7" max="7" width="6.36328125" style="57" bestFit="1" customWidth="1"/>
    <col min="8" max="9" width="10.81640625" style="57" bestFit="1" customWidth="1"/>
    <col min="10" max="10" width="6.08984375" style="22" customWidth="1"/>
    <col min="11" max="11" width="7.6328125" style="54" bestFit="1" customWidth="1"/>
    <col min="12" max="12" width="13.81640625" style="55" hidden="1" customWidth="1"/>
    <col min="13" max="13" width="13.7265625" style="55" hidden="1" customWidth="1"/>
    <col min="14" max="14" width="9" style="22" hidden="1" customWidth="1"/>
    <col min="15" max="15" width="8.54296875" style="22" bestFit="1" customWidth="1"/>
    <col min="16" max="16" width="12.453125" style="22" customWidth="1"/>
    <col min="17" max="17" width="10.453125" style="54" customWidth="1"/>
    <col min="18" max="18" width="7.6328125" style="54" bestFit="1" customWidth="1"/>
    <col min="19" max="19" width="6.7265625" style="54" bestFit="1" customWidth="1"/>
    <col min="20" max="20" width="6.7265625" style="54" customWidth="1"/>
    <col min="21" max="27" width="4.90625" style="56" hidden="1" customWidth="1"/>
    <col min="28" max="28" width="5.36328125" style="56" hidden="1" customWidth="1"/>
    <col min="29" max="34" width="4.90625" style="56" hidden="1" customWidth="1"/>
    <col min="35" max="35" width="5.36328125" style="56" hidden="1" customWidth="1"/>
    <col min="36" max="41" width="4.90625" style="56" hidden="1" customWidth="1"/>
    <col min="42" max="42" width="5.36328125" style="56" hidden="1" customWidth="1"/>
    <col min="43" max="44" width="4.90625" style="56" hidden="1" customWidth="1"/>
    <col min="45" max="45" width="5.6328125" style="56" hidden="1" customWidth="1"/>
    <col min="46" max="46" width="6.6328125" style="56" hidden="1" customWidth="1"/>
    <col min="47" max="48" width="4.90625" style="56" hidden="1" customWidth="1"/>
    <col min="49" max="49" width="5.36328125" style="56" hidden="1" customWidth="1"/>
    <col min="50" max="55" width="4.90625" style="56" hidden="1" customWidth="1"/>
    <col min="56" max="56" width="5.36328125" style="56" hidden="1" customWidth="1"/>
    <col min="57" max="62" width="4.90625" style="56" hidden="1" customWidth="1"/>
    <col min="63" max="63" width="5.36328125" style="56" hidden="1" customWidth="1"/>
    <col min="64" max="69" width="4.90625" style="56" hidden="1" customWidth="1"/>
    <col min="70" max="70" width="5.36328125" style="56" hidden="1" customWidth="1"/>
    <col min="71" max="76" width="4.90625" style="56" hidden="1" customWidth="1"/>
    <col min="77" max="77" width="5.36328125" style="56" hidden="1" customWidth="1"/>
    <col min="78" max="110" width="4.90625" style="56" hidden="1" customWidth="1"/>
    <col min="111" max="141" width="4.54296875" style="56" bestFit="1" customWidth="1"/>
    <col min="142" max="142" width="1.7265625" style="56" hidden="1" customWidth="1"/>
    <col min="143" max="143" width="12.1796875" style="56" hidden="1" customWidth="1"/>
    <col min="144" max="144" width="0.1796875" style="56" customWidth="1"/>
    <col min="145" max="147" width="12.1796875" style="56" hidden="1" customWidth="1"/>
    <col min="148" max="16384" width="12.1796875" style="56"/>
  </cols>
  <sheetData>
    <row r="1" spans="2:147" x14ac:dyDescent="0.4">
      <c r="C1" s="52" t="s">
        <v>10</v>
      </c>
      <c r="D1" s="324">
        <f>'Construction DASHBOARD'!B6</f>
        <v>45815</v>
      </c>
      <c r="E1" s="121"/>
      <c r="F1" s="121"/>
      <c r="G1" s="121"/>
      <c r="H1" s="121"/>
      <c r="I1" s="121"/>
      <c r="U1" s="170"/>
    </row>
    <row r="2" spans="2:147" s="22" customFormat="1" ht="72" customHeight="1" x14ac:dyDescent="0.35">
      <c r="B2" s="487" t="s">
        <v>96</v>
      </c>
      <c r="C2" s="488" t="s">
        <v>97</v>
      </c>
      <c r="D2" s="489" t="s">
        <v>98</v>
      </c>
      <c r="E2" s="484" t="s">
        <v>306</v>
      </c>
      <c r="F2" s="484" t="s">
        <v>307</v>
      </c>
      <c r="G2" s="494" t="s">
        <v>434</v>
      </c>
      <c r="H2" s="484" t="s">
        <v>428</v>
      </c>
      <c r="I2" s="484" t="s">
        <v>429</v>
      </c>
      <c r="J2" s="488" t="s">
        <v>3</v>
      </c>
      <c r="K2" s="482" t="s">
        <v>1</v>
      </c>
      <c r="L2" s="486" t="s">
        <v>100</v>
      </c>
      <c r="M2" s="492" t="s">
        <v>405</v>
      </c>
      <c r="N2" s="484" t="s">
        <v>102</v>
      </c>
      <c r="O2" s="484" t="s">
        <v>103</v>
      </c>
      <c r="P2" s="484" t="s">
        <v>255</v>
      </c>
      <c r="Q2" s="482" t="s">
        <v>104</v>
      </c>
      <c r="R2" s="482" t="s">
        <v>105</v>
      </c>
      <c r="S2" s="483" t="s">
        <v>254</v>
      </c>
      <c r="T2" s="498" t="s">
        <v>410</v>
      </c>
      <c r="U2" s="59">
        <v>45746</v>
      </c>
      <c r="V2" s="59">
        <v>45750</v>
      </c>
      <c r="W2" s="59">
        <v>45751</v>
      </c>
      <c r="X2" s="59">
        <v>45752</v>
      </c>
      <c r="Y2" s="59">
        <v>45753</v>
      </c>
      <c r="Z2" s="59">
        <v>45754</v>
      </c>
      <c r="AA2" s="59">
        <v>45755</v>
      </c>
      <c r="AB2" s="59">
        <v>45756</v>
      </c>
      <c r="AC2" s="59">
        <v>45757</v>
      </c>
      <c r="AD2" s="59">
        <v>45758</v>
      </c>
      <c r="AE2" s="59">
        <v>45759</v>
      </c>
      <c r="AF2" s="59">
        <v>45760</v>
      </c>
      <c r="AG2" s="59">
        <v>45761</v>
      </c>
      <c r="AH2" s="59">
        <v>45762</v>
      </c>
      <c r="AI2" s="59">
        <v>45763</v>
      </c>
      <c r="AJ2" s="59">
        <v>45764</v>
      </c>
      <c r="AK2" s="59">
        <v>45765</v>
      </c>
      <c r="AL2" s="59">
        <v>45766</v>
      </c>
      <c r="AM2" s="59">
        <v>45767</v>
      </c>
      <c r="AN2" s="59">
        <v>45768</v>
      </c>
      <c r="AO2" s="59">
        <v>45769</v>
      </c>
      <c r="AP2" s="59">
        <v>45770</v>
      </c>
      <c r="AQ2" s="59">
        <v>45771</v>
      </c>
      <c r="AR2" s="59">
        <v>45772</v>
      </c>
      <c r="AS2" s="59">
        <v>45773</v>
      </c>
      <c r="AT2" s="59">
        <v>45774</v>
      </c>
      <c r="AU2" s="59">
        <v>45775</v>
      </c>
      <c r="AV2" s="59">
        <v>45776</v>
      </c>
      <c r="AW2" s="59">
        <v>45777</v>
      </c>
      <c r="AX2" s="59">
        <v>45778</v>
      </c>
      <c r="AY2" s="59">
        <v>45779</v>
      </c>
      <c r="AZ2" s="59">
        <v>45780</v>
      </c>
      <c r="BA2" s="59">
        <v>45781</v>
      </c>
      <c r="BB2" s="59">
        <v>45782</v>
      </c>
      <c r="BC2" s="59">
        <v>45783</v>
      </c>
      <c r="BD2" s="59">
        <v>45784</v>
      </c>
      <c r="BE2" s="59">
        <v>45785</v>
      </c>
      <c r="BF2" s="59">
        <v>45786</v>
      </c>
      <c r="BG2" s="59">
        <v>45787</v>
      </c>
      <c r="BH2" s="59">
        <v>45788</v>
      </c>
      <c r="BI2" s="59">
        <v>45789</v>
      </c>
      <c r="BJ2" s="59">
        <v>45790</v>
      </c>
      <c r="BK2" s="59">
        <v>45791</v>
      </c>
      <c r="BL2" s="59">
        <v>45792</v>
      </c>
      <c r="BM2" s="59">
        <v>45793</v>
      </c>
      <c r="BN2" s="59">
        <v>45794</v>
      </c>
      <c r="BO2" s="59">
        <v>45795</v>
      </c>
      <c r="BP2" s="59">
        <v>45796</v>
      </c>
      <c r="BQ2" s="59">
        <v>45797</v>
      </c>
      <c r="BR2" s="59">
        <v>45798</v>
      </c>
      <c r="BS2" s="59">
        <v>45799</v>
      </c>
      <c r="BT2" s="59">
        <v>45800</v>
      </c>
      <c r="BU2" s="59">
        <v>45801</v>
      </c>
      <c r="BV2" s="59">
        <v>45802</v>
      </c>
      <c r="BW2" s="59">
        <v>45803</v>
      </c>
      <c r="BX2" s="59">
        <v>45804</v>
      </c>
      <c r="BY2" s="59">
        <v>45805</v>
      </c>
      <c r="BZ2" s="59">
        <v>45806</v>
      </c>
      <c r="CA2" s="59">
        <v>45807</v>
      </c>
      <c r="CB2" s="59">
        <v>45808</v>
      </c>
      <c r="CC2" s="59">
        <v>45809</v>
      </c>
      <c r="CD2" s="59">
        <v>45810</v>
      </c>
      <c r="CE2" s="59">
        <v>45811</v>
      </c>
      <c r="CF2" s="59">
        <v>45812</v>
      </c>
      <c r="CG2" s="59">
        <v>45813</v>
      </c>
      <c r="CH2" s="59">
        <v>45814</v>
      </c>
      <c r="CI2" s="59">
        <v>45815</v>
      </c>
      <c r="CJ2" s="59">
        <v>45816</v>
      </c>
      <c r="CK2" s="59">
        <v>45817</v>
      </c>
      <c r="CL2" s="59">
        <v>45818</v>
      </c>
      <c r="CM2" s="59">
        <v>45819</v>
      </c>
      <c r="CN2" s="59">
        <v>45820</v>
      </c>
      <c r="CO2" s="59">
        <v>45821</v>
      </c>
      <c r="CP2" s="59">
        <v>45822</v>
      </c>
      <c r="CQ2" s="59">
        <v>45823</v>
      </c>
      <c r="CR2" s="59">
        <v>45824</v>
      </c>
      <c r="CS2" s="59">
        <v>45825</v>
      </c>
      <c r="CT2" s="59">
        <v>45826</v>
      </c>
      <c r="CU2" s="59">
        <v>45827</v>
      </c>
      <c r="CV2" s="59">
        <v>45828</v>
      </c>
      <c r="CW2" s="59">
        <v>45829</v>
      </c>
      <c r="CX2" s="59">
        <v>45830</v>
      </c>
      <c r="CY2" s="59">
        <v>45831</v>
      </c>
      <c r="CZ2" s="59">
        <v>45832</v>
      </c>
      <c r="DA2" s="59">
        <v>45833</v>
      </c>
      <c r="DB2" s="59">
        <v>45834</v>
      </c>
      <c r="DC2" s="59">
        <v>45835</v>
      </c>
      <c r="DD2" s="59">
        <v>45836</v>
      </c>
      <c r="DE2" s="59">
        <v>45837</v>
      </c>
      <c r="DF2" s="59">
        <v>45838</v>
      </c>
      <c r="DG2" s="59">
        <v>45839</v>
      </c>
      <c r="DH2" s="59">
        <v>45840</v>
      </c>
      <c r="DI2" s="59">
        <v>45841</v>
      </c>
      <c r="DJ2" s="59">
        <v>45842</v>
      </c>
      <c r="DK2" s="59">
        <v>45843</v>
      </c>
      <c r="DL2" s="59">
        <v>45844</v>
      </c>
      <c r="DM2" s="59">
        <v>45845</v>
      </c>
      <c r="DN2" s="59">
        <v>45846</v>
      </c>
      <c r="DO2" s="59">
        <v>45847</v>
      </c>
      <c r="DP2" s="59">
        <v>45848</v>
      </c>
      <c r="DQ2" s="59">
        <v>45849</v>
      </c>
      <c r="DR2" s="59">
        <v>45850</v>
      </c>
      <c r="DS2" s="59">
        <v>45851</v>
      </c>
      <c r="DT2" s="59">
        <v>45852</v>
      </c>
      <c r="DU2" s="59">
        <v>45853</v>
      </c>
      <c r="DV2" s="59">
        <v>45854</v>
      </c>
      <c r="DW2" s="59">
        <v>45855</v>
      </c>
      <c r="DX2" s="59">
        <v>45856</v>
      </c>
      <c r="DY2" s="59">
        <v>45857</v>
      </c>
      <c r="DZ2" s="59">
        <v>45858</v>
      </c>
      <c r="EA2" s="59">
        <v>45859</v>
      </c>
      <c r="EB2" s="59">
        <v>45860</v>
      </c>
      <c r="EC2" s="59">
        <v>45861</v>
      </c>
      <c r="ED2" s="59">
        <v>45862</v>
      </c>
      <c r="EE2" s="59">
        <v>45863</v>
      </c>
      <c r="EF2" s="59">
        <v>45864</v>
      </c>
      <c r="EG2" s="59">
        <v>45865</v>
      </c>
      <c r="EH2" s="59">
        <v>45866</v>
      </c>
      <c r="EI2" s="59">
        <v>45867</v>
      </c>
      <c r="EJ2" s="59">
        <v>45868</v>
      </c>
      <c r="EK2" s="59">
        <v>45869</v>
      </c>
      <c r="EL2" s="59">
        <v>45870</v>
      </c>
      <c r="EM2" s="59">
        <v>45871</v>
      </c>
      <c r="EN2" s="59">
        <v>45872</v>
      </c>
      <c r="EO2" s="59">
        <v>45873</v>
      </c>
      <c r="EP2" s="59">
        <v>45874</v>
      </c>
      <c r="EQ2" s="59">
        <v>45875</v>
      </c>
    </row>
    <row r="3" spans="2:147" s="22" customFormat="1" ht="24" customHeight="1" x14ac:dyDescent="0.35">
      <c r="B3" s="487"/>
      <c r="C3" s="488"/>
      <c r="D3" s="489"/>
      <c r="E3" s="484"/>
      <c r="F3" s="484"/>
      <c r="G3" s="495"/>
      <c r="H3" s="484"/>
      <c r="I3" s="484"/>
      <c r="J3" s="488"/>
      <c r="K3" s="482"/>
      <c r="L3" s="486"/>
      <c r="M3" s="493"/>
      <c r="N3" s="484"/>
      <c r="O3" s="484"/>
      <c r="P3" s="484"/>
      <c r="Q3" s="482"/>
      <c r="R3" s="482"/>
      <c r="S3" s="483"/>
      <c r="T3" s="498"/>
      <c r="U3" s="58" t="str">
        <f t="shared" ref="U3:CF3" si="0">TEXT(U2,"ddd")</f>
        <v>Sun</v>
      </c>
      <c r="V3" s="58" t="str">
        <f t="shared" ref="V3" si="1">TEXT(V2,"ddd")</f>
        <v>Thu</v>
      </c>
      <c r="W3" s="58" t="str">
        <f t="shared" si="0"/>
        <v>Fri</v>
      </c>
      <c r="X3" s="58" t="str">
        <f t="shared" si="0"/>
        <v>Sat</v>
      </c>
      <c r="Y3" s="58" t="str">
        <f t="shared" si="0"/>
        <v>Sun</v>
      </c>
      <c r="Z3" s="58" t="str">
        <f t="shared" si="0"/>
        <v>Mon</v>
      </c>
      <c r="AA3" s="58" t="str">
        <f t="shared" si="0"/>
        <v>Tue</v>
      </c>
      <c r="AB3" s="58" t="str">
        <f t="shared" si="0"/>
        <v>Wed</v>
      </c>
      <c r="AC3" s="58" t="str">
        <f t="shared" si="0"/>
        <v>Thu</v>
      </c>
      <c r="AD3" s="58" t="str">
        <f t="shared" si="0"/>
        <v>Fri</v>
      </c>
      <c r="AE3" s="58" t="str">
        <f t="shared" si="0"/>
        <v>Sat</v>
      </c>
      <c r="AF3" s="58" t="str">
        <f t="shared" si="0"/>
        <v>Sun</v>
      </c>
      <c r="AG3" s="58" t="str">
        <f t="shared" si="0"/>
        <v>Mon</v>
      </c>
      <c r="AH3" s="58" t="str">
        <f t="shared" si="0"/>
        <v>Tue</v>
      </c>
      <c r="AI3" s="58" t="str">
        <f t="shared" si="0"/>
        <v>Wed</v>
      </c>
      <c r="AJ3" s="58" t="str">
        <f t="shared" si="0"/>
        <v>Thu</v>
      </c>
      <c r="AK3" s="58" t="str">
        <f t="shared" si="0"/>
        <v>Fri</v>
      </c>
      <c r="AL3" s="58" t="str">
        <f t="shared" si="0"/>
        <v>Sat</v>
      </c>
      <c r="AM3" s="58" t="str">
        <f t="shared" si="0"/>
        <v>Sun</v>
      </c>
      <c r="AN3" s="58" t="str">
        <f t="shared" si="0"/>
        <v>Mon</v>
      </c>
      <c r="AO3" s="58" t="str">
        <f t="shared" si="0"/>
        <v>Tue</v>
      </c>
      <c r="AP3" s="58" t="str">
        <f t="shared" si="0"/>
        <v>Wed</v>
      </c>
      <c r="AQ3" s="58" t="str">
        <f t="shared" si="0"/>
        <v>Thu</v>
      </c>
      <c r="AR3" s="58" t="str">
        <f t="shared" si="0"/>
        <v>Fri</v>
      </c>
      <c r="AS3" s="58" t="str">
        <f t="shared" si="0"/>
        <v>Sat</v>
      </c>
      <c r="AT3" s="58" t="str">
        <f t="shared" si="0"/>
        <v>Sun</v>
      </c>
      <c r="AU3" s="58" t="str">
        <f t="shared" si="0"/>
        <v>Mon</v>
      </c>
      <c r="AV3" s="58" t="str">
        <f t="shared" si="0"/>
        <v>Tue</v>
      </c>
      <c r="AW3" s="58" t="str">
        <f t="shared" si="0"/>
        <v>Wed</v>
      </c>
      <c r="AX3" s="58" t="str">
        <f t="shared" si="0"/>
        <v>Thu</v>
      </c>
      <c r="AY3" s="58" t="str">
        <f t="shared" si="0"/>
        <v>Fri</v>
      </c>
      <c r="AZ3" s="58" t="str">
        <f t="shared" si="0"/>
        <v>Sat</v>
      </c>
      <c r="BA3" s="58" t="str">
        <f t="shared" si="0"/>
        <v>Sun</v>
      </c>
      <c r="BB3" s="58" t="str">
        <f t="shared" si="0"/>
        <v>Mon</v>
      </c>
      <c r="BC3" s="58" t="str">
        <f t="shared" si="0"/>
        <v>Tue</v>
      </c>
      <c r="BD3" s="58" t="str">
        <f t="shared" si="0"/>
        <v>Wed</v>
      </c>
      <c r="BE3" s="58" t="str">
        <f t="shared" si="0"/>
        <v>Thu</v>
      </c>
      <c r="BF3" s="58" t="str">
        <f t="shared" si="0"/>
        <v>Fri</v>
      </c>
      <c r="BG3" s="58" t="str">
        <f t="shared" si="0"/>
        <v>Sat</v>
      </c>
      <c r="BH3" s="58" t="str">
        <f t="shared" si="0"/>
        <v>Sun</v>
      </c>
      <c r="BI3" s="58" t="str">
        <f t="shared" si="0"/>
        <v>Mon</v>
      </c>
      <c r="BJ3" s="58" t="str">
        <f t="shared" si="0"/>
        <v>Tue</v>
      </c>
      <c r="BK3" s="58" t="str">
        <f t="shared" si="0"/>
        <v>Wed</v>
      </c>
      <c r="BL3" s="58" t="str">
        <f t="shared" si="0"/>
        <v>Thu</v>
      </c>
      <c r="BM3" s="58" t="str">
        <f t="shared" si="0"/>
        <v>Fri</v>
      </c>
      <c r="BN3" s="58" t="str">
        <f t="shared" si="0"/>
        <v>Sat</v>
      </c>
      <c r="BO3" s="58" t="str">
        <f t="shared" si="0"/>
        <v>Sun</v>
      </c>
      <c r="BP3" s="58" t="str">
        <f t="shared" si="0"/>
        <v>Mon</v>
      </c>
      <c r="BQ3" s="58" t="str">
        <f t="shared" si="0"/>
        <v>Tue</v>
      </c>
      <c r="BR3" s="58" t="str">
        <f t="shared" si="0"/>
        <v>Wed</v>
      </c>
      <c r="BS3" s="58" t="str">
        <f t="shared" si="0"/>
        <v>Thu</v>
      </c>
      <c r="BT3" s="58" t="str">
        <f t="shared" si="0"/>
        <v>Fri</v>
      </c>
      <c r="BU3" s="58" t="str">
        <f t="shared" si="0"/>
        <v>Sat</v>
      </c>
      <c r="BV3" s="58" t="str">
        <f t="shared" si="0"/>
        <v>Sun</v>
      </c>
      <c r="BW3" s="58" t="str">
        <f t="shared" si="0"/>
        <v>Mon</v>
      </c>
      <c r="BX3" s="58" t="str">
        <f t="shared" si="0"/>
        <v>Tue</v>
      </c>
      <c r="BY3" s="58" t="str">
        <f t="shared" si="0"/>
        <v>Wed</v>
      </c>
      <c r="BZ3" s="58" t="str">
        <f t="shared" si="0"/>
        <v>Thu</v>
      </c>
      <c r="CA3" s="58" t="str">
        <f t="shared" si="0"/>
        <v>Fri</v>
      </c>
      <c r="CB3" s="58" t="str">
        <f t="shared" si="0"/>
        <v>Sat</v>
      </c>
      <c r="CC3" s="58" t="str">
        <f t="shared" si="0"/>
        <v>Sun</v>
      </c>
      <c r="CD3" s="58" t="str">
        <f t="shared" si="0"/>
        <v>Mon</v>
      </c>
      <c r="CE3" s="58" t="str">
        <f t="shared" si="0"/>
        <v>Tue</v>
      </c>
      <c r="CF3" s="58" t="str">
        <f t="shared" si="0"/>
        <v>Wed</v>
      </c>
      <c r="CG3" s="58" t="str">
        <f t="shared" ref="CG3:EK3" si="2">TEXT(CG2,"ddd")</f>
        <v>Thu</v>
      </c>
      <c r="CH3" s="58" t="str">
        <f t="shared" si="2"/>
        <v>Fri</v>
      </c>
      <c r="CI3" s="58" t="str">
        <f t="shared" si="2"/>
        <v>Sat</v>
      </c>
      <c r="CJ3" s="58" t="str">
        <f t="shared" si="2"/>
        <v>Sun</v>
      </c>
      <c r="CK3" s="58" t="str">
        <f t="shared" si="2"/>
        <v>Mon</v>
      </c>
      <c r="CL3" s="58" t="str">
        <f t="shared" si="2"/>
        <v>Tue</v>
      </c>
      <c r="CM3" s="58" t="str">
        <f t="shared" si="2"/>
        <v>Wed</v>
      </c>
      <c r="CN3" s="58" t="str">
        <f t="shared" si="2"/>
        <v>Thu</v>
      </c>
      <c r="CO3" s="58" t="str">
        <f t="shared" si="2"/>
        <v>Fri</v>
      </c>
      <c r="CP3" s="58" t="str">
        <f t="shared" si="2"/>
        <v>Sat</v>
      </c>
      <c r="CQ3" s="58" t="str">
        <f t="shared" si="2"/>
        <v>Sun</v>
      </c>
      <c r="CR3" s="58" t="str">
        <f t="shared" si="2"/>
        <v>Mon</v>
      </c>
      <c r="CS3" s="58" t="str">
        <f t="shared" si="2"/>
        <v>Tue</v>
      </c>
      <c r="CT3" s="58" t="str">
        <f t="shared" si="2"/>
        <v>Wed</v>
      </c>
      <c r="CU3" s="58" t="str">
        <f t="shared" si="2"/>
        <v>Thu</v>
      </c>
      <c r="CV3" s="58" t="str">
        <f t="shared" si="2"/>
        <v>Fri</v>
      </c>
      <c r="CW3" s="58" t="str">
        <f t="shared" si="2"/>
        <v>Sat</v>
      </c>
      <c r="CX3" s="58" t="str">
        <f t="shared" si="2"/>
        <v>Sun</v>
      </c>
      <c r="CY3" s="58" t="str">
        <f t="shared" si="2"/>
        <v>Mon</v>
      </c>
      <c r="CZ3" s="58" t="str">
        <f t="shared" si="2"/>
        <v>Tue</v>
      </c>
      <c r="DA3" s="58" t="str">
        <f t="shared" si="2"/>
        <v>Wed</v>
      </c>
      <c r="DB3" s="58" t="str">
        <f t="shared" si="2"/>
        <v>Thu</v>
      </c>
      <c r="DC3" s="58" t="str">
        <f t="shared" si="2"/>
        <v>Fri</v>
      </c>
      <c r="DD3" s="58" t="str">
        <f t="shared" si="2"/>
        <v>Sat</v>
      </c>
      <c r="DE3" s="58" t="str">
        <f t="shared" si="2"/>
        <v>Sun</v>
      </c>
      <c r="DF3" s="58" t="str">
        <f t="shared" si="2"/>
        <v>Mon</v>
      </c>
      <c r="DG3" s="58" t="str">
        <f t="shared" si="2"/>
        <v>Tue</v>
      </c>
      <c r="DH3" s="58" t="str">
        <f t="shared" si="2"/>
        <v>Wed</v>
      </c>
      <c r="DI3" s="58" t="str">
        <f t="shared" si="2"/>
        <v>Thu</v>
      </c>
      <c r="DJ3" s="58" t="str">
        <f t="shared" si="2"/>
        <v>Fri</v>
      </c>
      <c r="DK3" s="58" t="str">
        <f t="shared" si="2"/>
        <v>Sat</v>
      </c>
      <c r="DL3" s="58" t="str">
        <f t="shared" si="2"/>
        <v>Sun</v>
      </c>
      <c r="DM3" s="58" t="str">
        <f t="shared" si="2"/>
        <v>Mon</v>
      </c>
      <c r="DN3" s="58" t="str">
        <f t="shared" si="2"/>
        <v>Tue</v>
      </c>
      <c r="DO3" s="58" t="str">
        <f t="shared" si="2"/>
        <v>Wed</v>
      </c>
      <c r="DP3" s="58" t="str">
        <f t="shared" si="2"/>
        <v>Thu</v>
      </c>
      <c r="DQ3" s="58" t="str">
        <f t="shared" si="2"/>
        <v>Fri</v>
      </c>
      <c r="DR3" s="58" t="str">
        <f t="shared" si="2"/>
        <v>Sat</v>
      </c>
      <c r="DS3" s="58" t="str">
        <f t="shared" si="2"/>
        <v>Sun</v>
      </c>
      <c r="DT3" s="58" t="str">
        <f t="shared" si="2"/>
        <v>Mon</v>
      </c>
      <c r="DU3" s="58" t="str">
        <f t="shared" si="2"/>
        <v>Tue</v>
      </c>
      <c r="DV3" s="58" t="str">
        <f t="shared" si="2"/>
        <v>Wed</v>
      </c>
      <c r="DW3" s="58" t="str">
        <f t="shared" si="2"/>
        <v>Thu</v>
      </c>
      <c r="DX3" s="58" t="str">
        <f t="shared" si="2"/>
        <v>Fri</v>
      </c>
      <c r="DY3" s="58" t="str">
        <f t="shared" si="2"/>
        <v>Sat</v>
      </c>
      <c r="DZ3" s="58" t="str">
        <f t="shared" si="2"/>
        <v>Sun</v>
      </c>
      <c r="EA3" s="58" t="str">
        <f t="shared" si="2"/>
        <v>Mon</v>
      </c>
      <c r="EB3" s="58" t="str">
        <f t="shared" si="2"/>
        <v>Tue</v>
      </c>
      <c r="EC3" s="58" t="str">
        <f t="shared" si="2"/>
        <v>Wed</v>
      </c>
      <c r="ED3" s="58" t="str">
        <f t="shared" si="2"/>
        <v>Thu</v>
      </c>
      <c r="EE3" s="58" t="str">
        <f t="shared" si="2"/>
        <v>Fri</v>
      </c>
      <c r="EF3" s="58" t="str">
        <f t="shared" si="2"/>
        <v>Sat</v>
      </c>
      <c r="EG3" s="58" t="str">
        <f t="shared" si="2"/>
        <v>Sun</v>
      </c>
      <c r="EH3" s="58" t="str">
        <f t="shared" si="2"/>
        <v>Mon</v>
      </c>
      <c r="EI3" s="58" t="str">
        <f t="shared" si="2"/>
        <v>Tue</v>
      </c>
      <c r="EJ3" s="58" t="str">
        <f t="shared" si="2"/>
        <v>Wed</v>
      </c>
      <c r="EK3" s="58" t="str">
        <f t="shared" si="2"/>
        <v>Thu</v>
      </c>
    </row>
    <row r="4" spans="2:147" s="23" customFormat="1" x14ac:dyDescent="0.35">
      <c r="B4" s="485" t="s">
        <v>106</v>
      </c>
      <c r="C4" s="60">
        <v>1</v>
      </c>
      <c r="D4" s="325" t="s">
        <v>406</v>
      </c>
      <c r="E4" s="198">
        <v>45750</v>
      </c>
      <c r="F4" s="198">
        <v>45870</v>
      </c>
      <c r="G4" s="199">
        <f>F4-E4</f>
        <v>120</v>
      </c>
      <c r="H4" s="198">
        <v>45754</v>
      </c>
      <c r="I4" s="198">
        <v>45870</v>
      </c>
      <c r="J4" s="200" t="s">
        <v>5</v>
      </c>
      <c r="K4" s="201">
        <v>1033</v>
      </c>
      <c r="L4" s="202">
        <v>45754</v>
      </c>
      <c r="M4" s="202">
        <v>45796</v>
      </c>
      <c r="N4" s="199">
        <f t="shared" ref="N4:N27" si="3">IF(OR(M4="",L4=""),"",INT(M4-L4+1))</f>
        <v>43</v>
      </c>
      <c r="O4" s="203">
        <f t="shared" ref="O4:O27" si="4">IFERROR(K4/N4,"-")</f>
        <v>24.023255813953487</v>
      </c>
      <c r="P4" s="204">
        <f>Q4/K4</f>
        <v>0.83543078412391092</v>
      </c>
      <c r="Q4" s="205">
        <f>S4</f>
        <v>863</v>
      </c>
      <c r="R4" s="205">
        <f t="shared" ref="R4:R27" si="5">K4-Q4</f>
        <v>170</v>
      </c>
      <c r="S4" s="158">
        <f t="shared" ref="S4:S27" si="6">SUM(U4:XFD4)</f>
        <v>863</v>
      </c>
      <c r="T4" s="158">
        <f t="shared" ref="T4:T9" si="7">SUM(U4:CB4)</f>
        <v>486</v>
      </c>
      <c r="U4" s="149">
        <v>0</v>
      </c>
      <c r="V4" s="149">
        <v>0</v>
      </c>
      <c r="W4" s="149"/>
      <c r="X4" s="149"/>
      <c r="Y4" s="149"/>
      <c r="Z4" s="153">
        <v>1.5</v>
      </c>
      <c r="AA4" s="153">
        <v>3.5</v>
      </c>
      <c r="AB4" s="153">
        <v>4</v>
      </c>
      <c r="AC4" s="153">
        <v>4</v>
      </c>
      <c r="AD4" s="153">
        <v>4</v>
      </c>
      <c r="AE4" s="153">
        <v>4</v>
      </c>
      <c r="AF4" s="153">
        <v>3</v>
      </c>
      <c r="AG4" s="153">
        <v>2</v>
      </c>
      <c r="AH4" s="153"/>
      <c r="AI4" s="153">
        <v>10</v>
      </c>
      <c r="AJ4" s="153">
        <v>20</v>
      </c>
      <c r="AK4" s="153">
        <v>20</v>
      </c>
      <c r="AL4" s="153">
        <v>20</v>
      </c>
      <c r="AM4" s="153">
        <v>21</v>
      </c>
      <c r="AN4" s="153">
        <v>40</v>
      </c>
      <c r="AO4" s="153">
        <v>40</v>
      </c>
      <c r="AP4" s="153">
        <v>40</v>
      </c>
      <c r="AQ4" s="153">
        <v>38</v>
      </c>
      <c r="AR4" s="153"/>
      <c r="AS4" s="153"/>
      <c r="AT4" s="153"/>
      <c r="AU4" s="150"/>
      <c r="AV4" s="150"/>
      <c r="AW4" s="150"/>
      <c r="AX4" s="150"/>
      <c r="AY4" s="150"/>
      <c r="AZ4" s="150"/>
      <c r="BA4" s="150"/>
      <c r="BB4" s="150"/>
      <c r="BC4" s="150">
        <v>5</v>
      </c>
      <c r="BD4" s="150">
        <v>10</v>
      </c>
      <c r="BE4" s="150">
        <v>10</v>
      </c>
      <c r="BF4" s="150">
        <v>10</v>
      </c>
      <c r="BG4" s="150">
        <v>5</v>
      </c>
      <c r="BH4" s="150">
        <v>7</v>
      </c>
      <c r="BI4" s="150">
        <v>5</v>
      </c>
      <c r="BJ4" s="150">
        <v>0</v>
      </c>
      <c r="BK4" s="150">
        <v>0</v>
      </c>
      <c r="BL4" s="150">
        <v>7</v>
      </c>
      <c r="BM4" s="150">
        <v>0</v>
      </c>
      <c r="BN4" s="150">
        <v>17</v>
      </c>
      <c r="BO4" s="168">
        <v>19</v>
      </c>
      <c r="BP4" s="168">
        <v>24</v>
      </c>
      <c r="BQ4" s="168">
        <v>9</v>
      </c>
      <c r="BR4" s="168">
        <v>12</v>
      </c>
      <c r="BS4" s="168">
        <v>0</v>
      </c>
      <c r="BT4" s="168">
        <v>16</v>
      </c>
      <c r="BU4" s="168">
        <v>0</v>
      </c>
      <c r="BV4" s="168">
        <v>0</v>
      </c>
      <c r="BW4" s="168">
        <v>0</v>
      </c>
      <c r="BX4" s="168">
        <v>0</v>
      </c>
      <c r="BY4" s="168">
        <v>6</v>
      </c>
      <c r="BZ4" s="168">
        <v>16</v>
      </c>
      <c r="CA4" s="168">
        <v>15</v>
      </c>
      <c r="CB4" s="168">
        <v>18</v>
      </c>
      <c r="CC4" s="168">
        <v>14</v>
      </c>
      <c r="CD4" s="168">
        <v>16</v>
      </c>
      <c r="CE4" s="168">
        <v>15</v>
      </c>
      <c r="CF4" s="168">
        <v>14</v>
      </c>
      <c r="CG4" s="168">
        <v>18</v>
      </c>
      <c r="CH4" s="168">
        <v>14</v>
      </c>
      <c r="CI4" s="168">
        <v>15</v>
      </c>
      <c r="CJ4" s="168">
        <v>10</v>
      </c>
      <c r="CK4" s="168">
        <v>11</v>
      </c>
      <c r="CL4" s="168">
        <v>16</v>
      </c>
      <c r="CM4" s="168">
        <v>13</v>
      </c>
      <c r="CN4" s="168">
        <v>15</v>
      </c>
      <c r="CO4" s="168">
        <v>17</v>
      </c>
      <c r="CP4" s="168">
        <v>5</v>
      </c>
      <c r="CQ4" s="168">
        <v>14</v>
      </c>
      <c r="CR4" s="168">
        <v>16</v>
      </c>
      <c r="CS4" s="168">
        <v>13</v>
      </c>
      <c r="CT4" s="168">
        <v>13</v>
      </c>
      <c r="CU4" s="168">
        <v>11</v>
      </c>
      <c r="CV4" s="168">
        <v>7</v>
      </c>
      <c r="CW4" s="168">
        <v>5</v>
      </c>
      <c r="CX4" s="168">
        <v>5</v>
      </c>
      <c r="CY4" s="168">
        <v>5</v>
      </c>
      <c r="CZ4" s="168">
        <v>5</v>
      </c>
      <c r="DA4" s="168">
        <v>5</v>
      </c>
      <c r="DB4" s="168">
        <v>7</v>
      </c>
      <c r="DC4" s="168">
        <v>10</v>
      </c>
      <c r="DD4" s="168">
        <v>7</v>
      </c>
      <c r="DE4" s="168">
        <v>6</v>
      </c>
      <c r="DF4" s="168">
        <v>5</v>
      </c>
      <c r="DG4" s="23">
        <v>7</v>
      </c>
      <c r="DH4" s="23">
        <v>12</v>
      </c>
      <c r="DI4" s="23">
        <v>9</v>
      </c>
      <c r="DJ4" s="23">
        <v>8</v>
      </c>
      <c r="DK4" s="23">
        <v>7</v>
      </c>
      <c r="DL4" s="23">
        <v>7</v>
      </c>
    </row>
    <row r="5" spans="2:147" s="23" customFormat="1" x14ac:dyDescent="0.35">
      <c r="B5" s="485"/>
      <c r="C5" s="60">
        <v>2</v>
      </c>
      <c r="D5" s="325" t="s">
        <v>407</v>
      </c>
      <c r="E5" s="198">
        <v>45750</v>
      </c>
      <c r="F5" s="198">
        <v>45870</v>
      </c>
      <c r="G5" s="199">
        <f>F5-E5</f>
        <v>120</v>
      </c>
      <c r="H5" s="198">
        <v>45754</v>
      </c>
      <c r="I5" s="198">
        <v>45870</v>
      </c>
      <c r="J5" s="200" t="s">
        <v>5</v>
      </c>
      <c r="K5" s="201">
        <v>1033</v>
      </c>
      <c r="L5" s="202">
        <v>45754</v>
      </c>
      <c r="M5" s="202">
        <v>45796</v>
      </c>
      <c r="N5" s="199">
        <f t="shared" si="3"/>
        <v>43</v>
      </c>
      <c r="O5" s="203">
        <f t="shared" si="4"/>
        <v>24.023255813953487</v>
      </c>
      <c r="P5" s="204">
        <f>Q5/K5</f>
        <v>0.83543078412391092</v>
      </c>
      <c r="Q5" s="205">
        <f>S5</f>
        <v>863</v>
      </c>
      <c r="R5" s="205">
        <f t="shared" si="5"/>
        <v>170</v>
      </c>
      <c r="S5" s="158">
        <f t="shared" si="6"/>
        <v>863</v>
      </c>
      <c r="T5" s="158">
        <f t="shared" si="7"/>
        <v>486</v>
      </c>
      <c r="U5" s="149"/>
      <c r="V5" s="149"/>
      <c r="W5" s="149"/>
      <c r="X5" s="149"/>
      <c r="Y5" s="149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>
        <v>10</v>
      </c>
      <c r="AS5" s="153">
        <v>10</v>
      </c>
      <c r="AT5" s="153">
        <v>10</v>
      </c>
      <c r="AU5" s="150">
        <v>10</v>
      </c>
      <c r="AV5" s="150">
        <v>12</v>
      </c>
      <c r="AW5" s="150">
        <v>13</v>
      </c>
      <c r="AX5" s="150">
        <v>10</v>
      </c>
      <c r="AY5" s="150">
        <v>12</v>
      </c>
      <c r="AZ5" s="150">
        <v>11</v>
      </c>
      <c r="BA5" s="150">
        <v>20</v>
      </c>
      <c r="BB5" s="150">
        <v>14</v>
      </c>
      <c r="BC5" s="150">
        <v>16</v>
      </c>
      <c r="BD5" s="150">
        <v>10</v>
      </c>
      <c r="BE5" s="150">
        <v>6</v>
      </c>
      <c r="BF5" s="150">
        <v>10</v>
      </c>
      <c r="BG5" s="150">
        <v>5</v>
      </c>
      <c r="BH5" s="150">
        <v>7</v>
      </c>
      <c r="BI5" s="150">
        <v>5</v>
      </c>
      <c r="BJ5" s="150">
        <v>7</v>
      </c>
      <c r="BK5" s="150">
        <v>7</v>
      </c>
      <c r="BL5" s="150">
        <v>7</v>
      </c>
      <c r="BM5" s="150">
        <v>12</v>
      </c>
      <c r="BN5" s="150">
        <v>17</v>
      </c>
      <c r="BO5" s="168">
        <v>19</v>
      </c>
      <c r="BP5" s="168">
        <v>24</v>
      </c>
      <c r="BQ5" s="168">
        <v>9</v>
      </c>
      <c r="BR5" s="168">
        <v>12</v>
      </c>
      <c r="BS5" s="168">
        <v>18</v>
      </c>
      <c r="BT5" s="168">
        <v>16</v>
      </c>
      <c r="BU5" s="168">
        <v>15</v>
      </c>
      <c r="BV5" s="168">
        <v>23</v>
      </c>
      <c r="BW5" s="168">
        <v>22</v>
      </c>
      <c r="BX5" s="168">
        <v>20</v>
      </c>
      <c r="BY5" s="168">
        <v>18</v>
      </c>
      <c r="BZ5" s="168">
        <v>16</v>
      </c>
      <c r="CA5" s="168">
        <v>15</v>
      </c>
      <c r="CB5" s="168">
        <v>18</v>
      </c>
      <c r="CC5" s="168">
        <v>14</v>
      </c>
      <c r="CD5" s="168">
        <v>16</v>
      </c>
      <c r="CE5" s="168">
        <v>15</v>
      </c>
      <c r="CF5" s="168">
        <v>14</v>
      </c>
      <c r="CG5" s="168">
        <v>18</v>
      </c>
      <c r="CH5" s="168">
        <v>14</v>
      </c>
      <c r="CI5" s="168">
        <v>15</v>
      </c>
      <c r="CJ5" s="168">
        <v>10</v>
      </c>
      <c r="CK5" s="168">
        <v>11</v>
      </c>
      <c r="CL5" s="168">
        <v>16</v>
      </c>
      <c r="CM5" s="168">
        <v>13</v>
      </c>
      <c r="CN5" s="168">
        <v>15</v>
      </c>
      <c r="CO5" s="168">
        <v>17</v>
      </c>
      <c r="CP5" s="168">
        <v>5</v>
      </c>
      <c r="CQ5" s="168">
        <v>14</v>
      </c>
      <c r="CR5" s="168">
        <v>16</v>
      </c>
      <c r="CS5" s="168">
        <v>13</v>
      </c>
      <c r="CT5" s="168">
        <v>13</v>
      </c>
      <c r="CU5" s="168">
        <v>11</v>
      </c>
      <c r="CV5" s="168">
        <v>7</v>
      </c>
      <c r="CW5" s="168">
        <v>5</v>
      </c>
      <c r="CX5" s="168">
        <v>5</v>
      </c>
      <c r="CY5" s="168">
        <v>5</v>
      </c>
      <c r="CZ5" s="168">
        <v>5</v>
      </c>
      <c r="DA5" s="168">
        <v>5</v>
      </c>
      <c r="DB5" s="168">
        <v>7</v>
      </c>
      <c r="DC5" s="168">
        <v>10</v>
      </c>
      <c r="DD5" s="168">
        <v>7</v>
      </c>
      <c r="DE5" s="168">
        <v>6</v>
      </c>
      <c r="DF5" s="168">
        <v>5</v>
      </c>
      <c r="DG5" s="23">
        <v>7</v>
      </c>
      <c r="DH5" s="23">
        <v>12</v>
      </c>
      <c r="DI5" s="23">
        <v>9</v>
      </c>
      <c r="DJ5" s="23">
        <v>8</v>
      </c>
      <c r="DK5" s="23">
        <v>7</v>
      </c>
      <c r="DL5" s="23">
        <v>7</v>
      </c>
    </row>
    <row r="6" spans="2:147" x14ac:dyDescent="0.4">
      <c r="B6" s="485" t="s">
        <v>19</v>
      </c>
      <c r="C6" s="60">
        <v>3</v>
      </c>
      <c r="D6" s="326" t="s">
        <v>310</v>
      </c>
      <c r="E6" s="198">
        <v>45700</v>
      </c>
      <c r="F6" s="198">
        <v>45709</v>
      </c>
      <c r="G6" s="199">
        <f t="shared" ref="G6:G27" si="8">F6-E6</f>
        <v>9</v>
      </c>
      <c r="H6" s="198">
        <v>45700</v>
      </c>
      <c r="I6" s="198">
        <v>45709</v>
      </c>
      <c r="J6" s="200" t="s">
        <v>256</v>
      </c>
      <c r="K6" s="201">
        <v>1</v>
      </c>
      <c r="L6" s="202">
        <v>45700</v>
      </c>
      <c r="M6" s="202">
        <v>45710</v>
      </c>
      <c r="N6" s="199">
        <f t="shared" si="3"/>
        <v>11</v>
      </c>
      <c r="O6" s="203">
        <f t="shared" si="4"/>
        <v>9.0909090909090912E-2</v>
      </c>
      <c r="P6" s="206">
        <f>IFERROR(SUMIF($U$2:$AT$2,"&lt;="&amp;$D$1,U6:BN6)/K6,"-")</f>
        <v>1</v>
      </c>
      <c r="Q6" s="205">
        <f>SUMIF($U$2:$CC$2,"&lt;="&amp;$D$1,U6:CC6)</f>
        <v>1</v>
      </c>
      <c r="R6" s="205">
        <f t="shared" si="5"/>
        <v>0</v>
      </c>
      <c r="S6" s="158">
        <f t="shared" si="6"/>
        <v>1</v>
      </c>
      <c r="T6" s="158">
        <f t="shared" si="7"/>
        <v>1</v>
      </c>
      <c r="U6" s="157">
        <v>1</v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169"/>
      <c r="BP6" s="169"/>
      <c r="BQ6" s="169"/>
      <c r="BR6" s="169"/>
      <c r="BS6" s="169"/>
      <c r="BT6" s="169"/>
      <c r="BU6" s="169"/>
      <c r="BV6" s="169"/>
      <c r="BW6" s="169"/>
      <c r="BX6" s="169"/>
      <c r="BY6" s="169"/>
      <c r="BZ6" s="169"/>
      <c r="CA6" s="169"/>
      <c r="CB6" s="169"/>
      <c r="CC6" s="169"/>
      <c r="CD6" s="169"/>
      <c r="CE6" s="169"/>
      <c r="CF6" s="169"/>
      <c r="CG6" s="169"/>
      <c r="CH6" s="169"/>
      <c r="CI6" s="169"/>
      <c r="CJ6" s="169"/>
      <c r="CK6" s="169"/>
      <c r="CL6" s="169"/>
      <c r="CM6" s="169"/>
      <c r="CN6" s="169"/>
      <c r="CO6" s="169"/>
      <c r="CP6" s="169"/>
      <c r="CQ6" s="169"/>
      <c r="CR6" s="169"/>
      <c r="CS6" s="169"/>
      <c r="CT6" s="169"/>
      <c r="CU6" s="169"/>
      <c r="CV6" s="169"/>
      <c r="CW6" s="169"/>
      <c r="CX6" s="169"/>
      <c r="CY6" s="169"/>
      <c r="CZ6" s="169"/>
      <c r="DA6" s="169"/>
      <c r="DB6" s="169"/>
      <c r="DC6" s="169"/>
      <c r="DD6" s="169"/>
      <c r="DE6" s="169"/>
      <c r="DF6" s="169"/>
    </row>
    <row r="7" spans="2:147" x14ac:dyDescent="0.4">
      <c r="B7" s="485"/>
      <c r="C7" s="60">
        <v>4</v>
      </c>
      <c r="D7" s="326" t="s">
        <v>108</v>
      </c>
      <c r="E7" s="198">
        <v>45711</v>
      </c>
      <c r="F7" s="198">
        <v>45730</v>
      </c>
      <c r="G7" s="199">
        <f t="shared" si="8"/>
        <v>19</v>
      </c>
      <c r="H7" s="198">
        <v>45711</v>
      </c>
      <c r="I7" s="198">
        <v>45730</v>
      </c>
      <c r="J7" s="200" t="s">
        <v>256</v>
      </c>
      <c r="K7" s="201">
        <v>1</v>
      </c>
      <c r="L7" s="202">
        <v>45703</v>
      </c>
      <c r="M7" s="202">
        <v>45730</v>
      </c>
      <c r="N7" s="199">
        <f t="shared" si="3"/>
        <v>28</v>
      </c>
      <c r="O7" s="203">
        <f t="shared" si="4"/>
        <v>3.5714285714285712E-2</v>
      </c>
      <c r="P7" s="206">
        <f>IFERROR(SUMIF($U$2:$AT$2,"&lt;="&amp;$D$1,U7:BN7)/K7,"-")</f>
        <v>1</v>
      </c>
      <c r="Q7" s="205">
        <f>SUMIF($U$2:$CC$2,"&lt;="&amp;$D$1,U7:CC7)</f>
        <v>1</v>
      </c>
      <c r="R7" s="205">
        <f t="shared" si="5"/>
        <v>0</v>
      </c>
      <c r="S7" s="158">
        <f t="shared" si="6"/>
        <v>1</v>
      </c>
      <c r="T7" s="158">
        <f t="shared" si="7"/>
        <v>1</v>
      </c>
      <c r="U7" s="157">
        <v>1</v>
      </c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169"/>
      <c r="BP7" s="169"/>
      <c r="BQ7" s="169"/>
      <c r="BR7" s="169"/>
      <c r="BS7" s="169"/>
      <c r="BT7" s="169"/>
      <c r="BU7" s="169"/>
      <c r="BV7" s="169"/>
      <c r="BW7" s="169"/>
      <c r="BX7" s="169"/>
      <c r="BY7" s="169"/>
      <c r="BZ7" s="169"/>
      <c r="CA7" s="169"/>
      <c r="CB7" s="169"/>
      <c r="CC7" s="169"/>
      <c r="CD7" s="169"/>
      <c r="CE7" s="169"/>
      <c r="CF7" s="169"/>
      <c r="CG7" s="169"/>
      <c r="CH7" s="169"/>
      <c r="CI7" s="169"/>
      <c r="CJ7" s="169"/>
      <c r="CK7" s="169"/>
      <c r="CL7" s="169"/>
      <c r="CM7" s="169"/>
      <c r="CN7" s="169"/>
      <c r="CO7" s="169"/>
      <c r="CP7" s="169"/>
      <c r="CQ7" s="169"/>
      <c r="CR7" s="169"/>
      <c r="CS7" s="169"/>
      <c r="CT7" s="169"/>
      <c r="CU7" s="169"/>
      <c r="CV7" s="169"/>
      <c r="CW7" s="169"/>
      <c r="CX7" s="169"/>
      <c r="CY7" s="169"/>
      <c r="CZ7" s="169"/>
      <c r="DA7" s="169"/>
      <c r="DB7" s="169"/>
      <c r="DC7" s="169"/>
      <c r="DD7" s="169"/>
      <c r="DE7" s="169"/>
      <c r="DF7" s="169"/>
    </row>
    <row r="8" spans="2:147" x14ac:dyDescent="0.4">
      <c r="B8" s="485"/>
      <c r="C8" s="60">
        <v>5</v>
      </c>
      <c r="D8" s="326" t="s">
        <v>311</v>
      </c>
      <c r="E8" s="198">
        <v>45703</v>
      </c>
      <c r="F8" s="198">
        <v>45762</v>
      </c>
      <c r="G8" s="199">
        <f t="shared" si="8"/>
        <v>59</v>
      </c>
      <c r="H8" s="198">
        <v>45703</v>
      </c>
      <c r="I8" s="198">
        <v>45776</v>
      </c>
      <c r="J8" s="200" t="s">
        <v>315</v>
      </c>
      <c r="K8" s="201">
        <v>79</v>
      </c>
      <c r="L8" s="202">
        <v>45711</v>
      </c>
      <c r="M8" s="202">
        <v>45778</v>
      </c>
      <c r="N8" s="199">
        <f t="shared" si="3"/>
        <v>68</v>
      </c>
      <c r="O8" s="203">
        <f t="shared" si="4"/>
        <v>1.161764705882353</v>
      </c>
      <c r="P8" s="206">
        <f>Q8/K8</f>
        <v>1</v>
      </c>
      <c r="Q8" s="205">
        <f>SUMIF($U$2:$CC$2,"&lt;="&amp;$D$1,U8:CC8)</f>
        <v>79</v>
      </c>
      <c r="R8" s="205">
        <f t="shared" si="5"/>
        <v>0</v>
      </c>
      <c r="S8" s="158">
        <f t="shared" si="6"/>
        <v>79</v>
      </c>
      <c r="T8" s="158">
        <f t="shared" si="7"/>
        <v>79</v>
      </c>
      <c r="U8" s="157">
        <v>52</v>
      </c>
      <c r="V8" s="157">
        <v>2</v>
      </c>
      <c r="W8" s="157">
        <v>2</v>
      </c>
      <c r="X8" s="157">
        <v>2</v>
      </c>
      <c r="Y8" s="157">
        <v>2</v>
      </c>
      <c r="Z8" s="157">
        <v>2</v>
      </c>
      <c r="AA8" s="157">
        <v>1</v>
      </c>
      <c r="AB8" s="157">
        <v>1</v>
      </c>
      <c r="AC8" s="157">
        <v>1</v>
      </c>
      <c r="AD8" s="157">
        <v>1</v>
      </c>
      <c r="AE8" s="157">
        <v>1</v>
      </c>
      <c r="AF8" s="157">
        <v>1</v>
      </c>
      <c r="AG8" s="157"/>
      <c r="AH8" s="157">
        <v>1</v>
      </c>
      <c r="AI8" s="157">
        <v>1</v>
      </c>
      <c r="AJ8" s="157"/>
      <c r="AK8" s="157"/>
      <c r="AL8" s="157">
        <v>1</v>
      </c>
      <c r="AM8" s="157">
        <v>1</v>
      </c>
      <c r="AN8" s="157">
        <v>1</v>
      </c>
      <c r="AO8" s="157">
        <v>1</v>
      </c>
      <c r="AP8" s="157">
        <v>1</v>
      </c>
      <c r="AQ8" s="157"/>
      <c r="AR8" s="155"/>
      <c r="AS8" s="157">
        <v>1</v>
      </c>
      <c r="AT8" s="157">
        <v>1</v>
      </c>
      <c r="AU8" s="67">
        <v>1</v>
      </c>
      <c r="AV8" s="67">
        <v>1</v>
      </c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169"/>
      <c r="BP8" s="169"/>
      <c r="BQ8" s="169"/>
      <c r="BR8" s="169"/>
      <c r="BS8" s="169"/>
      <c r="BT8" s="169"/>
      <c r="BU8" s="169"/>
      <c r="BV8" s="169"/>
      <c r="BW8" s="169"/>
      <c r="BX8" s="169"/>
      <c r="BY8" s="169"/>
      <c r="BZ8" s="169"/>
      <c r="CA8" s="169"/>
      <c r="CB8" s="169"/>
      <c r="CC8" s="169"/>
      <c r="CD8" s="169"/>
      <c r="CE8" s="169"/>
      <c r="CF8" s="169"/>
      <c r="CG8" s="169"/>
      <c r="CH8" s="169"/>
      <c r="CI8" s="169"/>
      <c r="CJ8" s="169"/>
      <c r="CK8" s="169"/>
      <c r="CL8" s="169"/>
      <c r="CM8" s="169"/>
      <c r="CN8" s="169"/>
      <c r="CO8" s="169"/>
      <c r="CP8" s="169"/>
      <c r="CQ8" s="169"/>
      <c r="CR8" s="169"/>
      <c r="CS8" s="169"/>
      <c r="CT8" s="169"/>
      <c r="CU8" s="169"/>
      <c r="CV8" s="169"/>
      <c r="CW8" s="169"/>
      <c r="CX8" s="169"/>
      <c r="CY8" s="169"/>
      <c r="CZ8" s="169"/>
      <c r="DA8" s="169"/>
      <c r="DB8" s="169"/>
      <c r="DC8" s="169"/>
      <c r="DD8" s="169"/>
      <c r="DE8" s="169"/>
      <c r="DF8" s="169"/>
    </row>
    <row r="9" spans="2:147" x14ac:dyDescent="0.4">
      <c r="B9" s="485"/>
      <c r="C9" s="60">
        <v>6</v>
      </c>
      <c r="D9" s="326" t="s">
        <v>312</v>
      </c>
      <c r="E9" s="198">
        <v>45749</v>
      </c>
      <c r="F9" s="198">
        <v>45760</v>
      </c>
      <c r="G9" s="199">
        <f t="shared" si="8"/>
        <v>11</v>
      </c>
      <c r="H9" s="198">
        <v>45753</v>
      </c>
      <c r="I9" s="198">
        <v>45757</v>
      </c>
      <c r="J9" s="200" t="s">
        <v>256</v>
      </c>
      <c r="K9" s="201">
        <v>36</v>
      </c>
      <c r="L9" s="202">
        <v>45753</v>
      </c>
      <c r="M9" s="202">
        <v>45757</v>
      </c>
      <c r="N9" s="199">
        <f t="shared" si="3"/>
        <v>5</v>
      </c>
      <c r="O9" s="203">
        <f t="shared" si="4"/>
        <v>7.2</v>
      </c>
      <c r="P9" s="206">
        <f>IFERROR(SUMIF($U$2:$AT$2,"&lt;="&amp;$D$1,U9:BN9)/K9,"-")</f>
        <v>1</v>
      </c>
      <c r="Q9" s="205">
        <f>SUMIF($U$2:$CC$2,"&lt;="&amp;$D$1,U9:CC9)</f>
        <v>36</v>
      </c>
      <c r="R9" s="205">
        <f t="shared" si="5"/>
        <v>0</v>
      </c>
      <c r="S9" s="158">
        <f t="shared" si="6"/>
        <v>36</v>
      </c>
      <c r="T9" s="158">
        <f t="shared" si="7"/>
        <v>36</v>
      </c>
      <c r="U9" s="66">
        <v>0</v>
      </c>
      <c r="V9" s="66">
        <v>0</v>
      </c>
      <c r="W9" s="66"/>
      <c r="X9" s="66"/>
      <c r="Y9" s="156">
        <v>4</v>
      </c>
      <c r="Z9" s="156">
        <v>8</v>
      </c>
      <c r="AA9" s="156">
        <v>8</v>
      </c>
      <c r="AB9" s="156">
        <v>10</v>
      </c>
      <c r="AC9" s="156">
        <v>6</v>
      </c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169"/>
      <c r="BP9" s="169"/>
      <c r="BQ9" s="169"/>
      <c r="BR9" s="169"/>
      <c r="BS9" s="169"/>
      <c r="BT9" s="169"/>
      <c r="BU9" s="169"/>
      <c r="BV9" s="169"/>
      <c r="BW9" s="169"/>
      <c r="BX9" s="169"/>
      <c r="BY9" s="169"/>
      <c r="BZ9" s="169"/>
      <c r="CA9" s="169"/>
      <c r="CB9" s="169"/>
      <c r="CC9" s="169"/>
      <c r="CD9" s="169"/>
      <c r="CE9" s="169"/>
      <c r="CF9" s="169"/>
      <c r="CG9" s="169"/>
      <c r="CH9" s="169"/>
      <c r="CI9" s="169"/>
      <c r="CJ9" s="169"/>
      <c r="CK9" s="169"/>
      <c r="CL9" s="169"/>
      <c r="CM9" s="169"/>
      <c r="CN9" s="169"/>
      <c r="CO9" s="169"/>
      <c r="CP9" s="169"/>
      <c r="CQ9" s="169"/>
      <c r="CR9" s="169"/>
      <c r="CS9" s="169"/>
      <c r="CT9" s="169"/>
      <c r="CU9" s="169"/>
      <c r="CV9" s="169"/>
      <c r="CW9" s="169"/>
      <c r="CX9" s="169"/>
      <c r="CY9" s="169"/>
      <c r="CZ9" s="169"/>
      <c r="DA9" s="169"/>
      <c r="DB9" s="169"/>
      <c r="DC9" s="169"/>
      <c r="DD9" s="169"/>
      <c r="DE9" s="169"/>
      <c r="DF9" s="169"/>
    </row>
    <row r="10" spans="2:147" x14ac:dyDescent="0.4">
      <c r="B10" s="485"/>
      <c r="C10" s="60">
        <v>7</v>
      </c>
      <c r="D10" s="326" t="s">
        <v>313</v>
      </c>
      <c r="E10" s="198">
        <v>45759</v>
      </c>
      <c r="F10" s="198">
        <v>45773</v>
      </c>
      <c r="G10" s="199">
        <f t="shared" si="8"/>
        <v>14</v>
      </c>
      <c r="H10" s="198">
        <v>45806</v>
      </c>
      <c r="I10" s="198">
        <v>45811</v>
      </c>
      <c r="J10" s="200" t="s">
        <v>256</v>
      </c>
      <c r="K10" s="201">
        <v>240</v>
      </c>
      <c r="L10" s="202"/>
      <c r="M10" s="202"/>
      <c r="N10" s="199" t="str">
        <f t="shared" si="3"/>
        <v/>
      </c>
      <c r="O10" s="203" t="str">
        <f t="shared" si="4"/>
        <v>-</v>
      </c>
      <c r="P10" s="206">
        <f>Q10/K10</f>
        <v>1</v>
      </c>
      <c r="Q10" s="205">
        <f>S10</f>
        <v>240</v>
      </c>
      <c r="R10" s="205">
        <f t="shared" si="5"/>
        <v>0</v>
      </c>
      <c r="S10" s="158">
        <f t="shared" si="6"/>
        <v>240</v>
      </c>
      <c r="T10" s="158">
        <f t="shared" ref="T10:T54" si="9">SUM(U10:CB10)</f>
        <v>108</v>
      </c>
      <c r="U10" s="66">
        <v>0</v>
      </c>
      <c r="V10" s="66">
        <v>0</v>
      </c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169"/>
      <c r="BP10" s="169"/>
      <c r="BQ10" s="169"/>
      <c r="BR10" s="169"/>
      <c r="BS10" s="169"/>
      <c r="BT10" s="169"/>
      <c r="BU10" s="169"/>
      <c r="BV10" s="169"/>
      <c r="BW10" s="169"/>
      <c r="BX10" s="169"/>
      <c r="BY10" s="169"/>
      <c r="BZ10" s="169">
        <v>34</v>
      </c>
      <c r="CA10" s="169">
        <v>38</v>
      </c>
      <c r="CB10" s="169">
        <v>36</v>
      </c>
      <c r="CC10" s="169">
        <v>40</v>
      </c>
      <c r="CD10" s="169"/>
      <c r="CE10" s="169"/>
      <c r="CF10" s="169"/>
      <c r="CG10" s="169">
        <v>40</v>
      </c>
      <c r="CH10" s="169">
        <v>32</v>
      </c>
      <c r="CI10" s="169">
        <v>20</v>
      </c>
      <c r="CJ10" s="169"/>
      <c r="CK10" s="169"/>
      <c r="CL10" s="169"/>
      <c r="CM10" s="169"/>
      <c r="CN10" s="169"/>
      <c r="CO10" s="169"/>
      <c r="CP10" s="169"/>
      <c r="CQ10" s="169"/>
      <c r="CR10" s="169"/>
      <c r="CS10" s="169"/>
      <c r="CT10" s="169"/>
      <c r="CU10" s="169"/>
      <c r="CV10" s="169"/>
      <c r="CW10" s="169"/>
      <c r="CX10" s="169"/>
      <c r="CY10" s="169"/>
      <c r="CZ10" s="169"/>
      <c r="DA10" s="169"/>
      <c r="DB10" s="169"/>
      <c r="DC10" s="169"/>
      <c r="DD10" s="169"/>
      <c r="DE10" s="169"/>
      <c r="DF10" s="169"/>
    </row>
    <row r="11" spans="2:147" x14ac:dyDescent="0.4">
      <c r="B11" s="485"/>
      <c r="C11" s="60">
        <v>8</v>
      </c>
      <c r="D11" s="326" t="s">
        <v>844</v>
      </c>
      <c r="E11" s="198">
        <f>F10+28</f>
        <v>45801</v>
      </c>
      <c r="F11" s="198">
        <f>E11+G11-1</f>
        <v>45807</v>
      </c>
      <c r="G11" s="199">
        <v>7</v>
      </c>
      <c r="H11" s="198">
        <v>45824</v>
      </c>
      <c r="I11" s="198">
        <f>H11+13</f>
        <v>45837</v>
      </c>
      <c r="J11" s="200" t="s">
        <v>256</v>
      </c>
      <c r="K11" s="201">
        <v>240</v>
      </c>
      <c r="L11" s="202"/>
      <c r="M11" s="202"/>
      <c r="N11" s="199" t="str">
        <f t="shared" si="3"/>
        <v/>
      </c>
      <c r="O11" s="203" t="str">
        <f t="shared" si="4"/>
        <v>-</v>
      </c>
      <c r="P11" s="206">
        <f>Q11/K11</f>
        <v>0.21666666666666667</v>
      </c>
      <c r="Q11" s="205">
        <f>S11</f>
        <v>52</v>
      </c>
      <c r="R11" s="205">
        <f t="shared" si="5"/>
        <v>188</v>
      </c>
      <c r="S11" s="158">
        <f t="shared" si="6"/>
        <v>52</v>
      </c>
      <c r="T11" s="158">
        <f t="shared" si="9"/>
        <v>0</v>
      </c>
      <c r="U11" s="66">
        <v>0</v>
      </c>
      <c r="V11" s="66">
        <v>0</v>
      </c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>
        <v>3</v>
      </c>
      <c r="CW11" s="169">
        <v>4</v>
      </c>
      <c r="CX11" s="169">
        <v>4</v>
      </c>
      <c r="CY11" s="169">
        <v>4</v>
      </c>
      <c r="CZ11" s="169">
        <v>0</v>
      </c>
      <c r="DA11" s="169">
        <v>6</v>
      </c>
      <c r="DB11" s="169">
        <v>2</v>
      </c>
      <c r="DC11" s="169">
        <v>2</v>
      </c>
      <c r="DD11" s="169">
        <v>0</v>
      </c>
      <c r="DE11" s="169">
        <v>7</v>
      </c>
      <c r="DF11" s="169">
        <v>4</v>
      </c>
      <c r="DG11" s="56">
        <v>4</v>
      </c>
      <c r="DH11" s="56">
        <v>3</v>
      </c>
      <c r="DI11" s="56">
        <v>6</v>
      </c>
      <c r="DJ11" s="56">
        <v>0</v>
      </c>
      <c r="DK11" s="56">
        <v>3</v>
      </c>
      <c r="DL11" s="56">
        <v>0</v>
      </c>
    </row>
    <row r="12" spans="2:147" x14ac:dyDescent="0.4">
      <c r="B12" s="485" t="s">
        <v>109</v>
      </c>
      <c r="C12" s="60">
        <v>9</v>
      </c>
      <c r="D12" s="326" t="s">
        <v>110</v>
      </c>
      <c r="E12" s="207">
        <v>45824</v>
      </c>
      <c r="F12" s="207">
        <v>45971</v>
      </c>
      <c r="G12" s="199">
        <f t="shared" si="8"/>
        <v>147</v>
      </c>
      <c r="H12" s="207">
        <v>45838</v>
      </c>
      <c r="I12" s="207">
        <v>45971</v>
      </c>
      <c r="J12" s="200" t="s">
        <v>433</v>
      </c>
      <c r="K12" s="201">
        <v>13322</v>
      </c>
      <c r="L12" s="202"/>
      <c r="M12" s="202"/>
      <c r="N12" s="199" t="str">
        <f t="shared" si="3"/>
        <v/>
      </c>
      <c r="O12" s="203" t="str">
        <f t="shared" si="4"/>
        <v>-</v>
      </c>
      <c r="P12" s="206">
        <f t="shared" ref="P12:P27" si="10">IFERROR(SUMIF($U$2:$AT$2,"&lt;="&amp;$D$1,U12:BN12)/K12,"-")</f>
        <v>0</v>
      </c>
      <c r="Q12" s="205">
        <f>SUMIF($U$2:$AT$2,"&lt;="&amp;$D$1,U12:AT12)</f>
        <v>0</v>
      </c>
      <c r="R12" s="205">
        <f t="shared" si="5"/>
        <v>13322</v>
      </c>
      <c r="S12" s="65">
        <f t="shared" si="6"/>
        <v>0</v>
      </c>
      <c r="T12" s="158">
        <f t="shared" si="9"/>
        <v>0</v>
      </c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</row>
    <row r="13" spans="2:147" x14ac:dyDescent="0.4">
      <c r="B13" s="485"/>
      <c r="C13" s="60">
        <v>10</v>
      </c>
      <c r="D13" s="326" t="s">
        <v>111</v>
      </c>
      <c r="E13" s="207">
        <v>45848</v>
      </c>
      <c r="F13" s="207">
        <v>45976</v>
      </c>
      <c r="G13" s="199">
        <f t="shared" si="8"/>
        <v>128</v>
      </c>
      <c r="H13" s="207">
        <f>E13</f>
        <v>45848</v>
      </c>
      <c r="I13" s="207">
        <f>F13</f>
        <v>45976</v>
      </c>
      <c r="J13" s="200" t="s">
        <v>433</v>
      </c>
      <c r="K13" s="201">
        <v>13322</v>
      </c>
      <c r="L13" s="202"/>
      <c r="M13" s="202"/>
      <c r="N13" s="199" t="str">
        <f t="shared" si="3"/>
        <v/>
      </c>
      <c r="O13" s="203" t="str">
        <f t="shared" si="4"/>
        <v>-</v>
      </c>
      <c r="P13" s="206">
        <f t="shared" si="10"/>
        <v>0</v>
      </c>
      <c r="Q13" s="205">
        <f>SUMIF($U$2:$AT$2,"&lt;="&amp;$D$1,U13:BN13)</f>
        <v>0</v>
      </c>
      <c r="R13" s="205">
        <f t="shared" si="5"/>
        <v>13322</v>
      </c>
      <c r="S13" s="65">
        <f t="shared" si="6"/>
        <v>0</v>
      </c>
      <c r="T13" s="158">
        <f t="shared" si="9"/>
        <v>0</v>
      </c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169"/>
      <c r="BP13" s="169"/>
      <c r="BQ13" s="169"/>
      <c r="BR13" s="169"/>
      <c r="BS13" s="169"/>
      <c r="BT13" s="169"/>
      <c r="BU13" s="169"/>
      <c r="BV13" s="169"/>
      <c r="BW13" s="169"/>
      <c r="BX13" s="169"/>
      <c r="BY13" s="169"/>
      <c r="BZ13" s="169"/>
      <c r="CA13" s="169"/>
      <c r="CB13" s="169"/>
      <c r="CC13" s="169"/>
      <c r="CD13" s="169"/>
      <c r="CE13" s="169"/>
      <c r="CF13" s="169"/>
      <c r="CG13" s="169"/>
      <c r="CH13" s="169"/>
      <c r="CI13" s="169"/>
      <c r="CJ13" s="169"/>
      <c r="CK13" s="169"/>
      <c r="CL13" s="169"/>
      <c r="CM13" s="169"/>
      <c r="CN13" s="169"/>
      <c r="CO13" s="169"/>
      <c r="CP13" s="169"/>
      <c r="CQ13" s="169"/>
      <c r="CR13" s="169"/>
      <c r="CS13" s="169"/>
      <c r="CT13" s="169"/>
      <c r="CU13" s="169"/>
      <c r="CV13" s="169"/>
      <c r="CW13" s="169"/>
      <c r="CX13" s="169"/>
      <c r="CY13" s="169"/>
      <c r="CZ13" s="169"/>
      <c r="DA13" s="169"/>
      <c r="DB13" s="169"/>
      <c r="DC13" s="169"/>
      <c r="DD13" s="169"/>
      <c r="DE13" s="169"/>
      <c r="DF13" s="169"/>
    </row>
    <row r="14" spans="2:147" x14ac:dyDescent="0.4">
      <c r="B14" s="485"/>
      <c r="C14" s="60">
        <v>11</v>
      </c>
      <c r="D14" s="326" t="s">
        <v>112</v>
      </c>
      <c r="E14" s="207">
        <v>45858</v>
      </c>
      <c r="F14" s="207">
        <v>45986</v>
      </c>
      <c r="G14" s="199">
        <f t="shared" si="8"/>
        <v>128</v>
      </c>
      <c r="H14" s="207">
        <f t="shared" ref="H14:I20" si="11">E14</f>
        <v>45858</v>
      </c>
      <c r="I14" s="207">
        <f t="shared" ref="I14:I15" si="12">F14</f>
        <v>45986</v>
      </c>
      <c r="J14" s="200" t="s">
        <v>433</v>
      </c>
      <c r="K14" s="201">
        <v>13322</v>
      </c>
      <c r="L14" s="202"/>
      <c r="M14" s="202"/>
      <c r="N14" s="199" t="str">
        <f t="shared" si="3"/>
        <v/>
      </c>
      <c r="O14" s="203" t="str">
        <f t="shared" si="4"/>
        <v>-</v>
      </c>
      <c r="P14" s="206">
        <f t="shared" si="10"/>
        <v>0</v>
      </c>
      <c r="Q14" s="205">
        <f>SUMIF($U$2:$AT$2,"&lt;="&amp;$D$1,U14:BN14)</f>
        <v>0</v>
      </c>
      <c r="R14" s="205">
        <f t="shared" si="5"/>
        <v>13322</v>
      </c>
      <c r="S14" s="65">
        <f t="shared" si="6"/>
        <v>0</v>
      </c>
      <c r="T14" s="158">
        <f t="shared" si="9"/>
        <v>0</v>
      </c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169"/>
      <c r="BP14" s="169"/>
      <c r="BQ14" s="169"/>
      <c r="BR14" s="169"/>
      <c r="BS14" s="169"/>
      <c r="BT14" s="169"/>
      <c r="BU14" s="169"/>
      <c r="BV14" s="169"/>
      <c r="BW14" s="169"/>
      <c r="BX14" s="169"/>
      <c r="BY14" s="169"/>
      <c r="BZ14" s="169"/>
      <c r="CA14" s="169"/>
      <c r="CB14" s="169"/>
      <c r="CC14" s="169"/>
      <c r="CD14" s="169"/>
      <c r="CE14" s="169"/>
      <c r="CF14" s="169"/>
      <c r="CG14" s="169"/>
      <c r="CH14" s="169"/>
      <c r="CI14" s="169"/>
      <c r="CJ14" s="169"/>
      <c r="CK14" s="169"/>
      <c r="CL14" s="169"/>
      <c r="CM14" s="169"/>
      <c r="CN14" s="169"/>
      <c r="CO14" s="169"/>
      <c r="CP14" s="169"/>
      <c r="CQ14" s="169"/>
      <c r="CR14" s="169"/>
      <c r="CS14" s="169"/>
      <c r="CT14" s="169"/>
      <c r="CU14" s="169"/>
      <c r="CV14" s="169"/>
      <c r="CW14" s="169"/>
      <c r="CX14" s="169"/>
      <c r="CY14" s="169"/>
      <c r="CZ14" s="169"/>
      <c r="DA14" s="169"/>
      <c r="DB14" s="169"/>
      <c r="DC14" s="169"/>
      <c r="DD14" s="169"/>
      <c r="DE14" s="169"/>
      <c r="DF14" s="169"/>
    </row>
    <row r="15" spans="2:147" x14ac:dyDescent="0.4">
      <c r="B15" s="485"/>
      <c r="C15" s="60">
        <v>12</v>
      </c>
      <c r="D15" s="326" t="s">
        <v>113</v>
      </c>
      <c r="E15" s="207">
        <v>45863</v>
      </c>
      <c r="F15" s="207">
        <v>45995</v>
      </c>
      <c r="G15" s="199">
        <f t="shared" si="8"/>
        <v>132</v>
      </c>
      <c r="H15" s="207">
        <f t="shared" si="11"/>
        <v>45863</v>
      </c>
      <c r="I15" s="207">
        <f t="shared" si="12"/>
        <v>45995</v>
      </c>
      <c r="J15" s="200" t="s">
        <v>433</v>
      </c>
      <c r="K15" s="201">
        <v>13322</v>
      </c>
      <c r="L15" s="202"/>
      <c r="M15" s="202"/>
      <c r="N15" s="199" t="str">
        <f t="shared" si="3"/>
        <v/>
      </c>
      <c r="O15" s="203" t="str">
        <f t="shared" si="4"/>
        <v>-</v>
      </c>
      <c r="P15" s="206">
        <f t="shared" si="10"/>
        <v>0</v>
      </c>
      <c r="Q15" s="205">
        <f t="shared" ref="Q15:Q27" si="13">SUMIF($U$2:$AT$2,"&lt;="&amp;$D$1,U15:AT15)</f>
        <v>0</v>
      </c>
      <c r="R15" s="205">
        <f t="shared" si="5"/>
        <v>13322</v>
      </c>
      <c r="S15" s="65">
        <f t="shared" si="6"/>
        <v>0</v>
      </c>
      <c r="T15" s="158">
        <f t="shared" si="9"/>
        <v>0</v>
      </c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169"/>
      <c r="BP15" s="169"/>
      <c r="BQ15" s="169"/>
      <c r="BR15" s="169"/>
      <c r="BS15" s="169"/>
      <c r="BT15" s="169"/>
      <c r="BU15" s="169"/>
      <c r="BV15" s="169"/>
      <c r="BW15" s="169"/>
      <c r="BX15" s="169"/>
      <c r="BY15" s="169"/>
      <c r="BZ15" s="169"/>
      <c r="CA15" s="169"/>
      <c r="CB15" s="169"/>
      <c r="CC15" s="169"/>
      <c r="CD15" s="169"/>
      <c r="CE15" s="169"/>
      <c r="CF15" s="169"/>
      <c r="CG15" s="169"/>
      <c r="CH15" s="169"/>
      <c r="CI15" s="169"/>
      <c r="CJ15" s="169"/>
      <c r="CK15" s="169"/>
      <c r="CL15" s="169"/>
      <c r="CM15" s="169"/>
      <c r="CN15" s="169"/>
      <c r="CO15" s="169"/>
      <c r="CP15" s="169"/>
      <c r="CQ15" s="169"/>
      <c r="CR15" s="169"/>
      <c r="CS15" s="169"/>
      <c r="CT15" s="169"/>
      <c r="CU15" s="169"/>
      <c r="CV15" s="169"/>
      <c r="CW15" s="169"/>
      <c r="CX15" s="169"/>
      <c r="CY15" s="169"/>
      <c r="CZ15" s="169"/>
      <c r="DA15" s="169"/>
      <c r="DB15" s="169"/>
      <c r="DC15" s="169"/>
      <c r="DD15" s="169"/>
      <c r="DE15" s="169"/>
      <c r="DF15" s="169"/>
    </row>
    <row r="16" spans="2:147" x14ac:dyDescent="0.4">
      <c r="B16" s="485" t="s">
        <v>114</v>
      </c>
      <c r="C16" s="60">
        <v>13</v>
      </c>
      <c r="D16" s="326" t="s">
        <v>120</v>
      </c>
      <c r="E16" s="207">
        <v>45821</v>
      </c>
      <c r="F16" s="207">
        <v>45923</v>
      </c>
      <c r="G16" s="199">
        <f t="shared" si="8"/>
        <v>102</v>
      </c>
      <c r="H16" s="207">
        <f t="shared" si="11"/>
        <v>45821</v>
      </c>
      <c r="I16" s="207">
        <f t="shared" si="11"/>
        <v>45923</v>
      </c>
      <c r="J16" s="200" t="s">
        <v>2</v>
      </c>
      <c r="K16" s="201">
        <v>26</v>
      </c>
      <c r="L16" s="202"/>
      <c r="M16" s="202"/>
      <c r="N16" s="199" t="str">
        <f t="shared" si="3"/>
        <v/>
      </c>
      <c r="O16" s="203" t="str">
        <f t="shared" si="4"/>
        <v>-</v>
      </c>
      <c r="P16" s="206">
        <f t="shared" si="10"/>
        <v>0</v>
      </c>
      <c r="Q16" s="205">
        <f t="shared" si="13"/>
        <v>0</v>
      </c>
      <c r="R16" s="205">
        <f t="shared" si="5"/>
        <v>26</v>
      </c>
      <c r="S16" s="65">
        <f t="shared" si="6"/>
        <v>0</v>
      </c>
      <c r="T16" s="158">
        <f t="shared" si="9"/>
        <v>0</v>
      </c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</row>
    <row r="17" spans="2:110" x14ac:dyDescent="0.4">
      <c r="B17" s="485"/>
      <c r="C17" s="60">
        <v>14</v>
      </c>
      <c r="D17" s="326" t="s">
        <v>121</v>
      </c>
      <c r="E17" s="207">
        <v>45840</v>
      </c>
      <c r="F17" s="207">
        <f>F16+6</f>
        <v>45929</v>
      </c>
      <c r="G17" s="199">
        <f t="shared" si="8"/>
        <v>89</v>
      </c>
      <c r="H17" s="207">
        <f t="shared" si="11"/>
        <v>45840</v>
      </c>
      <c r="I17" s="207">
        <f t="shared" si="11"/>
        <v>45929</v>
      </c>
      <c r="J17" s="200" t="s">
        <v>2</v>
      </c>
      <c r="K17" s="201">
        <v>26</v>
      </c>
      <c r="L17" s="202"/>
      <c r="M17" s="202"/>
      <c r="N17" s="199" t="str">
        <f t="shared" si="3"/>
        <v/>
      </c>
      <c r="O17" s="203" t="str">
        <f t="shared" si="4"/>
        <v>-</v>
      </c>
      <c r="P17" s="206">
        <f t="shared" si="10"/>
        <v>0</v>
      </c>
      <c r="Q17" s="208">
        <f t="shared" si="13"/>
        <v>0</v>
      </c>
      <c r="R17" s="205">
        <f t="shared" si="5"/>
        <v>26</v>
      </c>
      <c r="S17" s="65">
        <f t="shared" si="6"/>
        <v>0</v>
      </c>
      <c r="T17" s="158">
        <f t="shared" si="9"/>
        <v>0</v>
      </c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169"/>
      <c r="BP17" s="169"/>
      <c r="BQ17" s="169"/>
      <c r="BR17" s="169"/>
      <c r="BS17" s="169"/>
      <c r="BT17" s="169"/>
      <c r="BU17" s="169"/>
      <c r="BV17" s="169"/>
      <c r="BW17" s="169"/>
      <c r="BX17" s="169"/>
      <c r="BY17" s="169"/>
      <c r="BZ17" s="169"/>
      <c r="CA17" s="169"/>
      <c r="CB17" s="169"/>
      <c r="CC17" s="169"/>
      <c r="CD17" s="169"/>
      <c r="CE17" s="169"/>
      <c r="CF17" s="169"/>
      <c r="CG17" s="169"/>
      <c r="CH17" s="169"/>
      <c r="CI17" s="169"/>
      <c r="CJ17" s="169"/>
      <c r="CK17" s="169"/>
      <c r="CL17" s="169"/>
      <c r="CM17" s="169"/>
      <c r="CN17" s="169"/>
      <c r="CO17" s="169"/>
      <c r="CP17" s="169"/>
      <c r="CQ17" s="169"/>
      <c r="CR17" s="169"/>
      <c r="CS17" s="169"/>
      <c r="CT17" s="169"/>
      <c r="CU17" s="169"/>
      <c r="CV17" s="169"/>
      <c r="CW17" s="169"/>
      <c r="CX17" s="169"/>
      <c r="CY17" s="169"/>
      <c r="CZ17" s="169"/>
      <c r="DA17" s="169"/>
      <c r="DB17" s="169"/>
      <c r="DC17" s="169"/>
      <c r="DD17" s="169"/>
      <c r="DE17" s="169"/>
      <c r="DF17" s="169"/>
    </row>
    <row r="18" spans="2:110" x14ac:dyDescent="0.4">
      <c r="B18" s="485"/>
      <c r="C18" s="60">
        <v>15</v>
      </c>
      <c r="D18" s="326" t="s">
        <v>122</v>
      </c>
      <c r="E18" s="207">
        <f>E17+7</f>
        <v>45847</v>
      </c>
      <c r="F18" s="207">
        <f>F17+7</f>
        <v>45936</v>
      </c>
      <c r="G18" s="199">
        <f t="shared" si="8"/>
        <v>89</v>
      </c>
      <c r="H18" s="207">
        <f t="shared" si="11"/>
        <v>45847</v>
      </c>
      <c r="I18" s="207">
        <f t="shared" si="11"/>
        <v>45936</v>
      </c>
      <c r="J18" s="200" t="s">
        <v>2</v>
      </c>
      <c r="K18" s="201">
        <v>26</v>
      </c>
      <c r="L18" s="202"/>
      <c r="M18" s="202"/>
      <c r="N18" s="199" t="str">
        <f t="shared" si="3"/>
        <v/>
      </c>
      <c r="O18" s="203" t="str">
        <f t="shared" si="4"/>
        <v>-</v>
      </c>
      <c r="P18" s="206">
        <f t="shared" si="10"/>
        <v>0</v>
      </c>
      <c r="Q18" s="208">
        <f t="shared" si="13"/>
        <v>0</v>
      </c>
      <c r="R18" s="205">
        <f t="shared" si="5"/>
        <v>26</v>
      </c>
      <c r="S18" s="65">
        <f t="shared" si="6"/>
        <v>0</v>
      </c>
      <c r="T18" s="158">
        <f t="shared" si="9"/>
        <v>0</v>
      </c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169"/>
      <c r="BP18" s="169"/>
      <c r="BQ18" s="169"/>
      <c r="BR18" s="169"/>
      <c r="BS18" s="169"/>
      <c r="BT18" s="169"/>
      <c r="BU18" s="169"/>
      <c r="BV18" s="169"/>
      <c r="BW18" s="169"/>
      <c r="BX18" s="169"/>
      <c r="BY18" s="169"/>
      <c r="BZ18" s="169"/>
      <c r="CA18" s="169"/>
      <c r="CB18" s="169"/>
      <c r="CC18" s="169"/>
      <c r="CD18" s="169"/>
      <c r="CE18" s="169"/>
      <c r="CF18" s="169"/>
      <c r="CG18" s="169"/>
      <c r="CH18" s="169"/>
      <c r="CI18" s="169"/>
      <c r="CJ18" s="169"/>
      <c r="CK18" s="169"/>
      <c r="CL18" s="169"/>
      <c r="CM18" s="169"/>
      <c r="CN18" s="169"/>
      <c r="CO18" s="169"/>
      <c r="CP18" s="169"/>
      <c r="CQ18" s="169"/>
      <c r="CR18" s="169"/>
      <c r="CS18" s="169"/>
      <c r="CT18" s="169"/>
      <c r="CU18" s="169"/>
      <c r="CV18" s="169"/>
      <c r="CW18" s="169"/>
      <c r="CX18" s="169"/>
      <c r="CY18" s="169"/>
      <c r="CZ18" s="169"/>
      <c r="DA18" s="169"/>
      <c r="DB18" s="169"/>
      <c r="DC18" s="169"/>
      <c r="DD18" s="169"/>
      <c r="DE18" s="169"/>
      <c r="DF18" s="169"/>
    </row>
    <row r="19" spans="2:110" x14ac:dyDescent="0.4">
      <c r="B19" s="485"/>
      <c r="C19" s="60">
        <v>16</v>
      </c>
      <c r="D19" s="326" t="s">
        <v>123</v>
      </c>
      <c r="E19" s="207">
        <f>E18+15</f>
        <v>45862</v>
      </c>
      <c r="F19" s="207">
        <f>F18+15</f>
        <v>45951</v>
      </c>
      <c r="G19" s="199">
        <f t="shared" si="8"/>
        <v>89</v>
      </c>
      <c r="H19" s="207">
        <f t="shared" si="11"/>
        <v>45862</v>
      </c>
      <c r="I19" s="207">
        <f t="shared" si="11"/>
        <v>45951</v>
      </c>
      <c r="J19" s="200" t="s">
        <v>2</v>
      </c>
      <c r="K19" s="201">
        <v>26</v>
      </c>
      <c r="L19" s="202"/>
      <c r="M19" s="202"/>
      <c r="N19" s="199" t="str">
        <f t="shared" si="3"/>
        <v/>
      </c>
      <c r="O19" s="203" t="str">
        <f t="shared" si="4"/>
        <v>-</v>
      </c>
      <c r="P19" s="206">
        <f t="shared" si="10"/>
        <v>0</v>
      </c>
      <c r="Q19" s="208">
        <f t="shared" si="13"/>
        <v>0</v>
      </c>
      <c r="R19" s="205">
        <f t="shared" si="5"/>
        <v>26</v>
      </c>
      <c r="S19" s="65">
        <f t="shared" si="6"/>
        <v>0</v>
      </c>
      <c r="T19" s="158">
        <f t="shared" si="9"/>
        <v>0</v>
      </c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169"/>
      <c r="BP19" s="169"/>
      <c r="BQ19" s="169"/>
      <c r="BR19" s="169"/>
      <c r="BS19" s="169"/>
      <c r="BT19" s="169"/>
      <c r="BU19" s="169"/>
      <c r="BV19" s="169"/>
      <c r="BW19" s="169"/>
      <c r="BX19" s="169"/>
      <c r="BY19" s="169"/>
      <c r="BZ19" s="169"/>
      <c r="CA19" s="169"/>
      <c r="CB19" s="169"/>
      <c r="CC19" s="169"/>
      <c r="CD19" s="169"/>
      <c r="CE19" s="169"/>
      <c r="CF19" s="169"/>
      <c r="CG19" s="169"/>
      <c r="CH19" s="169"/>
      <c r="CI19" s="169"/>
      <c r="CJ19" s="169"/>
      <c r="CK19" s="169"/>
      <c r="CL19" s="169"/>
      <c r="CM19" s="169"/>
      <c r="CN19" s="169"/>
      <c r="CO19" s="169"/>
      <c r="CP19" s="169"/>
      <c r="CQ19" s="169"/>
      <c r="CR19" s="169"/>
      <c r="CS19" s="169"/>
      <c r="CT19" s="169"/>
      <c r="CU19" s="169"/>
      <c r="CV19" s="169"/>
      <c r="CW19" s="169"/>
      <c r="CX19" s="169"/>
      <c r="CY19" s="169"/>
      <c r="CZ19" s="169"/>
      <c r="DA19" s="169"/>
      <c r="DB19" s="169"/>
      <c r="DC19" s="169"/>
      <c r="DD19" s="169"/>
      <c r="DE19" s="169"/>
      <c r="DF19" s="169"/>
    </row>
    <row r="20" spans="2:110" x14ac:dyDescent="0.4">
      <c r="B20" s="485"/>
      <c r="C20" s="60">
        <v>17</v>
      </c>
      <c r="D20" s="326" t="s">
        <v>124</v>
      </c>
      <c r="E20" s="207">
        <f>E19+21</f>
        <v>45883</v>
      </c>
      <c r="F20" s="207">
        <f>F19+21</f>
        <v>45972</v>
      </c>
      <c r="G20" s="199">
        <f t="shared" si="8"/>
        <v>89</v>
      </c>
      <c r="H20" s="207">
        <f t="shared" si="11"/>
        <v>45883</v>
      </c>
      <c r="I20" s="207">
        <f t="shared" si="11"/>
        <v>45972</v>
      </c>
      <c r="J20" s="200" t="s">
        <v>2</v>
      </c>
      <c r="K20" s="201">
        <v>26</v>
      </c>
      <c r="L20" s="202"/>
      <c r="M20" s="202"/>
      <c r="N20" s="199" t="str">
        <f t="shared" si="3"/>
        <v/>
      </c>
      <c r="O20" s="203" t="str">
        <f t="shared" si="4"/>
        <v>-</v>
      </c>
      <c r="P20" s="206">
        <f t="shared" si="10"/>
        <v>0</v>
      </c>
      <c r="Q20" s="208">
        <f t="shared" si="13"/>
        <v>0</v>
      </c>
      <c r="R20" s="205">
        <f t="shared" si="5"/>
        <v>26</v>
      </c>
      <c r="S20" s="65">
        <f t="shared" si="6"/>
        <v>0</v>
      </c>
      <c r="T20" s="158">
        <f t="shared" si="9"/>
        <v>0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169"/>
      <c r="BP20" s="169"/>
      <c r="BQ20" s="169"/>
      <c r="BR20" s="169"/>
      <c r="BS20" s="169"/>
      <c r="BT20" s="169"/>
      <c r="BU20" s="169"/>
      <c r="BV20" s="169"/>
      <c r="BW20" s="169"/>
      <c r="BX20" s="169"/>
      <c r="BY20" s="169"/>
      <c r="BZ20" s="169"/>
      <c r="CA20" s="169"/>
      <c r="CB20" s="169"/>
      <c r="CC20" s="169"/>
      <c r="CD20" s="169"/>
      <c r="CE20" s="169"/>
      <c r="CF20" s="169"/>
      <c r="CG20" s="169"/>
      <c r="CH20" s="169"/>
      <c r="CI20" s="169"/>
      <c r="CJ20" s="169"/>
      <c r="CK20" s="169"/>
      <c r="CL20" s="169"/>
      <c r="CM20" s="169"/>
      <c r="CN20" s="169"/>
      <c r="CO20" s="169"/>
      <c r="CP20" s="169"/>
      <c r="CQ20" s="169"/>
      <c r="CR20" s="169"/>
      <c r="CS20" s="169"/>
      <c r="CT20" s="169"/>
      <c r="CU20" s="169"/>
      <c r="CV20" s="169"/>
      <c r="CW20" s="169"/>
      <c r="CX20" s="169"/>
      <c r="CY20" s="169"/>
      <c r="CZ20" s="169"/>
      <c r="DA20" s="169"/>
      <c r="DB20" s="169"/>
      <c r="DC20" s="169"/>
      <c r="DD20" s="169"/>
      <c r="DE20" s="169"/>
      <c r="DF20" s="169"/>
    </row>
    <row r="21" spans="2:110" x14ac:dyDescent="0.4">
      <c r="B21" s="485"/>
      <c r="C21" s="60">
        <v>18</v>
      </c>
      <c r="D21" s="326" t="s">
        <v>126</v>
      </c>
      <c r="E21" s="207">
        <v>45838</v>
      </c>
      <c r="F21" s="207">
        <v>45925</v>
      </c>
      <c r="G21" s="199">
        <f t="shared" si="8"/>
        <v>87</v>
      </c>
      <c r="H21" s="207">
        <f t="shared" ref="H21:H27" si="14">E21</f>
        <v>45838</v>
      </c>
      <c r="I21" s="207">
        <f t="shared" ref="I21:I27" si="15">F21</f>
        <v>45925</v>
      </c>
      <c r="J21" s="200" t="s">
        <v>2</v>
      </c>
      <c r="K21" s="201">
        <v>26</v>
      </c>
      <c r="L21" s="202"/>
      <c r="M21" s="202"/>
      <c r="N21" s="199" t="str">
        <f t="shared" si="3"/>
        <v/>
      </c>
      <c r="O21" s="203" t="str">
        <f t="shared" si="4"/>
        <v>-</v>
      </c>
      <c r="P21" s="206">
        <f t="shared" si="10"/>
        <v>0</v>
      </c>
      <c r="Q21" s="208">
        <f t="shared" si="13"/>
        <v>0</v>
      </c>
      <c r="R21" s="205">
        <f t="shared" si="5"/>
        <v>26</v>
      </c>
      <c r="S21" s="65">
        <f t="shared" si="6"/>
        <v>0</v>
      </c>
      <c r="T21" s="158">
        <f t="shared" si="9"/>
        <v>0</v>
      </c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169"/>
      <c r="BP21" s="169"/>
      <c r="BQ21" s="169"/>
      <c r="BR21" s="169"/>
      <c r="BS21" s="169"/>
      <c r="BT21" s="169"/>
      <c r="BU21" s="169"/>
      <c r="BV21" s="169"/>
      <c r="BW21" s="169"/>
      <c r="BX21" s="169"/>
      <c r="BY21" s="169"/>
      <c r="BZ21" s="169"/>
      <c r="CA21" s="169"/>
      <c r="CB21" s="169"/>
      <c r="CC21" s="169"/>
      <c r="CD21" s="169"/>
      <c r="CE21" s="169"/>
      <c r="CF21" s="169"/>
      <c r="CG21" s="169"/>
      <c r="CH21" s="169"/>
      <c r="CI21" s="169"/>
      <c r="CJ21" s="169"/>
      <c r="CK21" s="169"/>
      <c r="CL21" s="169"/>
      <c r="CM21" s="169"/>
      <c r="CN21" s="169"/>
      <c r="CO21" s="169"/>
      <c r="CP21" s="169"/>
      <c r="CQ21" s="169"/>
      <c r="CR21" s="169"/>
      <c r="CS21" s="169"/>
      <c r="CT21" s="169"/>
      <c r="CU21" s="169"/>
      <c r="CV21" s="169"/>
      <c r="CW21" s="169"/>
      <c r="CX21" s="169"/>
      <c r="CY21" s="169"/>
      <c r="CZ21" s="169"/>
      <c r="DA21" s="169"/>
      <c r="DB21" s="169"/>
      <c r="DC21" s="169"/>
      <c r="DD21" s="169"/>
      <c r="DE21" s="169"/>
      <c r="DF21" s="169"/>
    </row>
    <row r="22" spans="2:110" x14ac:dyDescent="0.4">
      <c r="B22" s="485"/>
      <c r="C22" s="60">
        <v>19</v>
      </c>
      <c r="D22" s="326" t="s">
        <v>127</v>
      </c>
      <c r="E22" s="207">
        <f>E21+2</f>
        <v>45840</v>
      </c>
      <c r="F22" s="207">
        <f>F21+2</f>
        <v>45927</v>
      </c>
      <c r="G22" s="199">
        <f t="shared" si="8"/>
        <v>87</v>
      </c>
      <c r="H22" s="207">
        <f t="shared" si="14"/>
        <v>45840</v>
      </c>
      <c r="I22" s="207">
        <f t="shared" si="15"/>
        <v>45927</v>
      </c>
      <c r="J22" s="200" t="s">
        <v>2</v>
      </c>
      <c r="K22" s="201">
        <v>26</v>
      </c>
      <c r="L22" s="202"/>
      <c r="M22" s="202"/>
      <c r="N22" s="199" t="str">
        <f t="shared" si="3"/>
        <v/>
      </c>
      <c r="O22" s="203" t="str">
        <f t="shared" si="4"/>
        <v>-</v>
      </c>
      <c r="P22" s="206">
        <f t="shared" si="10"/>
        <v>0</v>
      </c>
      <c r="Q22" s="208">
        <f t="shared" si="13"/>
        <v>0</v>
      </c>
      <c r="R22" s="205">
        <f t="shared" si="5"/>
        <v>26</v>
      </c>
      <c r="S22" s="65">
        <f t="shared" si="6"/>
        <v>0</v>
      </c>
      <c r="T22" s="158">
        <f t="shared" si="9"/>
        <v>0</v>
      </c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</row>
    <row r="23" spans="2:110" x14ac:dyDescent="0.4">
      <c r="B23" s="485"/>
      <c r="C23" s="60">
        <v>20</v>
      </c>
      <c r="D23" s="326" t="s">
        <v>128</v>
      </c>
      <c r="E23" s="207">
        <f t="shared" ref="E23:F25" si="16">E22+7</f>
        <v>45847</v>
      </c>
      <c r="F23" s="207">
        <f t="shared" si="16"/>
        <v>45934</v>
      </c>
      <c r="G23" s="199">
        <f t="shared" si="8"/>
        <v>87</v>
      </c>
      <c r="H23" s="207">
        <f t="shared" si="14"/>
        <v>45847</v>
      </c>
      <c r="I23" s="207">
        <f t="shared" si="15"/>
        <v>45934</v>
      </c>
      <c r="J23" s="200" t="s">
        <v>2</v>
      </c>
      <c r="K23" s="201">
        <v>26</v>
      </c>
      <c r="L23" s="202"/>
      <c r="M23" s="202"/>
      <c r="N23" s="199" t="str">
        <f t="shared" si="3"/>
        <v/>
      </c>
      <c r="O23" s="203" t="str">
        <f t="shared" si="4"/>
        <v>-</v>
      </c>
      <c r="P23" s="206">
        <f t="shared" si="10"/>
        <v>0</v>
      </c>
      <c r="Q23" s="208">
        <f t="shared" si="13"/>
        <v>0</v>
      </c>
      <c r="R23" s="205">
        <f t="shared" si="5"/>
        <v>26</v>
      </c>
      <c r="S23" s="65">
        <f t="shared" si="6"/>
        <v>0</v>
      </c>
      <c r="T23" s="158">
        <f t="shared" si="9"/>
        <v>0</v>
      </c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169"/>
      <c r="BP23" s="169"/>
      <c r="BQ23" s="169"/>
      <c r="BR23" s="169"/>
      <c r="BS23" s="169"/>
      <c r="BT23" s="169"/>
      <c r="BU23" s="169"/>
      <c r="BV23" s="169"/>
      <c r="BW23" s="169"/>
      <c r="BX23" s="169"/>
      <c r="BY23" s="169"/>
      <c r="BZ23" s="169"/>
      <c r="CA23" s="169"/>
      <c r="CB23" s="169"/>
      <c r="CC23" s="169"/>
      <c r="CD23" s="169"/>
      <c r="CE23" s="169"/>
      <c r="CF23" s="169"/>
      <c r="CG23" s="169"/>
      <c r="CH23" s="169"/>
      <c r="CI23" s="169"/>
      <c r="CJ23" s="169"/>
      <c r="CK23" s="169"/>
      <c r="CL23" s="169"/>
      <c r="CM23" s="169"/>
      <c r="CN23" s="169"/>
      <c r="CO23" s="169"/>
      <c r="CP23" s="169"/>
      <c r="CQ23" s="169"/>
      <c r="CR23" s="169"/>
      <c r="CS23" s="169"/>
      <c r="CT23" s="169"/>
      <c r="CU23" s="169"/>
      <c r="CV23" s="169"/>
      <c r="CW23" s="169"/>
      <c r="CX23" s="169"/>
      <c r="CY23" s="169"/>
      <c r="CZ23" s="169"/>
      <c r="DA23" s="169"/>
      <c r="DB23" s="169"/>
      <c r="DC23" s="169"/>
      <c r="DD23" s="169"/>
      <c r="DE23" s="169"/>
      <c r="DF23" s="169"/>
    </row>
    <row r="24" spans="2:110" x14ac:dyDescent="0.4">
      <c r="B24" s="485"/>
      <c r="C24" s="60">
        <v>21</v>
      </c>
      <c r="D24" s="326" t="s">
        <v>129</v>
      </c>
      <c r="E24" s="207">
        <f t="shared" si="16"/>
        <v>45854</v>
      </c>
      <c r="F24" s="207">
        <f t="shared" si="16"/>
        <v>45941</v>
      </c>
      <c r="G24" s="199">
        <f t="shared" si="8"/>
        <v>87</v>
      </c>
      <c r="H24" s="207">
        <f t="shared" si="14"/>
        <v>45854</v>
      </c>
      <c r="I24" s="207">
        <f t="shared" si="15"/>
        <v>45941</v>
      </c>
      <c r="J24" s="200" t="s">
        <v>2</v>
      </c>
      <c r="K24" s="201">
        <v>26</v>
      </c>
      <c r="L24" s="202"/>
      <c r="M24" s="202"/>
      <c r="N24" s="199" t="str">
        <f t="shared" si="3"/>
        <v/>
      </c>
      <c r="O24" s="203" t="str">
        <f t="shared" si="4"/>
        <v>-</v>
      </c>
      <c r="P24" s="206">
        <f t="shared" si="10"/>
        <v>0</v>
      </c>
      <c r="Q24" s="208">
        <f t="shared" si="13"/>
        <v>0</v>
      </c>
      <c r="R24" s="205">
        <f t="shared" si="5"/>
        <v>26</v>
      </c>
      <c r="S24" s="65">
        <f t="shared" si="6"/>
        <v>0</v>
      </c>
      <c r="T24" s="158">
        <f t="shared" si="9"/>
        <v>0</v>
      </c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169"/>
      <c r="BP24" s="169"/>
      <c r="BQ24" s="169"/>
      <c r="BR24" s="169"/>
      <c r="BS24" s="169"/>
      <c r="BT24" s="169"/>
      <c r="BU24" s="169"/>
      <c r="BV24" s="169"/>
      <c r="BW24" s="169"/>
      <c r="BX24" s="169"/>
      <c r="BY24" s="169"/>
      <c r="BZ24" s="169"/>
      <c r="CA24" s="169"/>
      <c r="CB24" s="169"/>
      <c r="CC24" s="169"/>
      <c r="CD24" s="169"/>
      <c r="CE24" s="169"/>
      <c r="CF24" s="169"/>
      <c r="CG24" s="169"/>
      <c r="CH24" s="169"/>
      <c r="CI24" s="169"/>
      <c r="CJ24" s="169"/>
      <c r="CK24" s="169"/>
      <c r="CL24" s="169"/>
      <c r="CM24" s="169"/>
      <c r="CN24" s="169"/>
      <c r="CO24" s="169"/>
      <c r="CP24" s="169"/>
      <c r="CQ24" s="169"/>
      <c r="CR24" s="169"/>
      <c r="CS24" s="169"/>
      <c r="CT24" s="169"/>
      <c r="CU24" s="169"/>
      <c r="CV24" s="169"/>
      <c r="CW24" s="169"/>
      <c r="CX24" s="169"/>
      <c r="CY24" s="169"/>
      <c r="CZ24" s="169"/>
      <c r="DA24" s="169"/>
      <c r="DB24" s="169"/>
      <c r="DC24" s="169"/>
      <c r="DD24" s="169"/>
      <c r="DE24" s="169"/>
      <c r="DF24" s="169"/>
    </row>
    <row r="25" spans="2:110" x14ac:dyDescent="0.4">
      <c r="B25" s="485"/>
      <c r="C25" s="60">
        <v>22</v>
      </c>
      <c r="D25" s="326" t="s">
        <v>130</v>
      </c>
      <c r="E25" s="207">
        <f t="shared" si="16"/>
        <v>45861</v>
      </c>
      <c r="F25" s="207">
        <f t="shared" si="16"/>
        <v>45948</v>
      </c>
      <c r="G25" s="199">
        <f t="shared" si="8"/>
        <v>87</v>
      </c>
      <c r="H25" s="207">
        <f t="shared" si="14"/>
        <v>45861</v>
      </c>
      <c r="I25" s="207">
        <f t="shared" si="15"/>
        <v>45948</v>
      </c>
      <c r="J25" s="200" t="s">
        <v>2</v>
      </c>
      <c r="K25" s="201">
        <v>26</v>
      </c>
      <c r="L25" s="202"/>
      <c r="M25" s="202"/>
      <c r="N25" s="199" t="str">
        <f t="shared" si="3"/>
        <v/>
      </c>
      <c r="O25" s="203" t="str">
        <f t="shared" si="4"/>
        <v>-</v>
      </c>
      <c r="P25" s="206">
        <f t="shared" si="10"/>
        <v>0</v>
      </c>
      <c r="Q25" s="208">
        <f t="shared" si="13"/>
        <v>0</v>
      </c>
      <c r="R25" s="205">
        <f t="shared" si="5"/>
        <v>26</v>
      </c>
      <c r="S25" s="65">
        <f t="shared" si="6"/>
        <v>0</v>
      </c>
      <c r="T25" s="158">
        <f t="shared" si="9"/>
        <v>0</v>
      </c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</row>
    <row r="26" spans="2:110" x14ac:dyDescent="0.4">
      <c r="B26" s="485"/>
      <c r="C26" s="60">
        <v>23</v>
      </c>
      <c r="D26" s="334" t="s">
        <v>131</v>
      </c>
      <c r="E26" s="207">
        <f>E25+15</f>
        <v>45876</v>
      </c>
      <c r="F26" s="207">
        <f>F25+15</f>
        <v>45963</v>
      </c>
      <c r="G26" s="199">
        <f t="shared" si="8"/>
        <v>87</v>
      </c>
      <c r="H26" s="207">
        <f t="shared" si="14"/>
        <v>45876</v>
      </c>
      <c r="I26" s="207">
        <f>F26</f>
        <v>45963</v>
      </c>
      <c r="J26" s="200" t="s">
        <v>2</v>
      </c>
      <c r="K26" s="201">
        <v>26</v>
      </c>
      <c r="L26" s="202"/>
      <c r="M26" s="202"/>
      <c r="N26" s="199" t="str">
        <f t="shared" si="3"/>
        <v/>
      </c>
      <c r="O26" s="203" t="str">
        <f t="shared" si="4"/>
        <v>-</v>
      </c>
      <c r="P26" s="206">
        <f t="shared" si="10"/>
        <v>0</v>
      </c>
      <c r="Q26" s="208">
        <f t="shared" si="13"/>
        <v>0</v>
      </c>
      <c r="R26" s="205">
        <f t="shared" si="5"/>
        <v>26</v>
      </c>
      <c r="S26" s="65">
        <f t="shared" si="6"/>
        <v>0</v>
      </c>
      <c r="T26" s="158">
        <f t="shared" si="9"/>
        <v>0</v>
      </c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169"/>
      <c r="BP26" s="169"/>
      <c r="BQ26" s="169"/>
      <c r="BR26" s="169"/>
      <c r="BS26" s="169"/>
      <c r="BT26" s="169"/>
      <c r="BU26" s="169"/>
      <c r="BV26" s="169"/>
      <c r="BW26" s="169"/>
      <c r="BX26" s="169"/>
      <c r="BY26" s="169"/>
      <c r="BZ26" s="169"/>
      <c r="CA26" s="169"/>
      <c r="CB26" s="169"/>
      <c r="CC26" s="169"/>
      <c r="CD26" s="169"/>
      <c r="CE26" s="169"/>
      <c r="CF26" s="169"/>
      <c r="CG26" s="169"/>
      <c r="CH26" s="169"/>
      <c r="CI26" s="169"/>
      <c r="CJ26" s="169"/>
      <c r="CK26" s="169"/>
      <c r="CL26" s="169"/>
      <c r="CM26" s="169"/>
      <c r="CN26" s="169"/>
      <c r="CO26" s="169"/>
      <c r="CP26" s="169"/>
      <c r="CQ26" s="169"/>
      <c r="CR26" s="169"/>
      <c r="CS26" s="169"/>
      <c r="CT26" s="169"/>
      <c r="CU26" s="169"/>
      <c r="CV26" s="169"/>
      <c r="CW26" s="169"/>
      <c r="CX26" s="169"/>
      <c r="CY26" s="169"/>
      <c r="CZ26" s="169"/>
      <c r="DA26" s="169"/>
      <c r="DB26" s="169"/>
      <c r="DC26" s="169"/>
      <c r="DD26" s="169"/>
      <c r="DE26" s="169"/>
      <c r="DF26" s="169"/>
    </row>
    <row r="27" spans="2:110" x14ac:dyDescent="0.4">
      <c r="B27" s="485"/>
      <c r="C27" s="332">
        <v>24</v>
      </c>
      <c r="D27" s="336" t="s">
        <v>132</v>
      </c>
      <c r="E27" s="333">
        <f>F27-30</f>
        <v>45942</v>
      </c>
      <c r="F27" s="207">
        <v>45972</v>
      </c>
      <c r="G27" s="199">
        <f t="shared" si="8"/>
        <v>30</v>
      </c>
      <c r="H27" s="207">
        <f t="shared" si="14"/>
        <v>45942</v>
      </c>
      <c r="I27" s="207">
        <f t="shared" si="15"/>
        <v>45972</v>
      </c>
      <c r="J27" s="200" t="s">
        <v>2</v>
      </c>
      <c r="K27" s="201">
        <v>26</v>
      </c>
      <c r="L27" s="202"/>
      <c r="M27" s="202"/>
      <c r="N27" s="199" t="str">
        <f t="shared" si="3"/>
        <v/>
      </c>
      <c r="O27" s="203" t="str">
        <f t="shared" si="4"/>
        <v>-</v>
      </c>
      <c r="P27" s="206">
        <f t="shared" si="10"/>
        <v>0</v>
      </c>
      <c r="Q27" s="208">
        <f t="shared" si="13"/>
        <v>0</v>
      </c>
      <c r="R27" s="205">
        <f t="shared" si="5"/>
        <v>26</v>
      </c>
      <c r="S27" s="65">
        <f t="shared" si="6"/>
        <v>0</v>
      </c>
      <c r="T27" s="158">
        <f t="shared" si="9"/>
        <v>0</v>
      </c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169"/>
      <c r="BP27" s="169"/>
      <c r="BQ27" s="169"/>
      <c r="BR27" s="169"/>
      <c r="BS27" s="169"/>
      <c r="BT27" s="169"/>
      <c r="BU27" s="169"/>
      <c r="BV27" s="169"/>
      <c r="BW27" s="169"/>
      <c r="BX27" s="169"/>
      <c r="BY27" s="169"/>
      <c r="BZ27" s="169"/>
      <c r="CA27" s="169"/>
      <c r="CB27" s="169"/>
      <c r="CC27" s="169"/>
      <c r="CD27" s="169"/>
      <c r="CE27" s="169"/>
      <c r="CF27" s="169"/>
      <c r="CG27" s="169"/>
      <c r="CH27" s="169"/>
      <c r="CI27" s="169"/>
      <c r="CJ27" s="169"/>
      <c r="CK27" s="169"/>
      <c r="CL27" s="169"/>
      <c r="CM27" s="169"/>
      <c r="CN27" s="169"/>
      <c r="CO27" s="169"/>
      <c r="CP27" s="169"/>
      <c r="CQ27" s="169"/>
      <c r="CR27" s="169"/>
      <c r="CS27" s="169"/>
      <c r="CT27" s="169"/>
      <c r="CU27" s="169"/>
      <c r="CV27" s="169"/>
      <c r="CW27" s="169"/>
      <c r="CX27" s="169"/>
      <c r="CY27" s="169"/>
      <c r="CZ27" s="169"/>
      <c r="DA27" s="169"/>
      <c r="DB27" s="169"/>
      <c r="DC27" s="169"/>
      <c r="DD27" s="169"/>
      <c r="DE27" s="169"/>
      <c r="DF27" s="169"/>
    </row>
    <row r="28" spans="2:110" x14ac:dyDescent="0.4">
      <c r="B28" s="496" t="s">
        <v>152</v>
      </c>
      <c r="C28" s="332">
        <v>49</v>
      </c>
      <c r="D28" s="336" t="s">
        <v>159</v>
      </c>
      <c r="E28" s="333">
        <v>45858</v>
      </c>
      <c r="F28" s="207">
        <v>45945</v>
      </c>
      <c r="G28" s="199">
        <f t="shared" ref="G28:G91" si="17">F28-E28</f>
        <v>87</v>
      </c>
      <c r="H28" s="207">
        <f>E28</f>
        <v>45858</v>
      </c>
      <c r="I28" s="207">
        <f>F28</f>
        <v>45945</v>
      </c>
      <c r="J28" s="200" t="s">
        <v>154</v>
      </c>
      <c r="K28" s="201"/>
      <c r="L28" s="202"/>
      <c r="M28" s="202"/>
      <c r="N28" s="199" t="str">
        <f t="shared" ref="N28:N42" si="18">IF(OR(M28="",L28=""),"",INT(M28-L28+1))</f>
        <v/>
      </c>
      <c r="O28" s="203" t="str">
        <f t="shared" ref="O28:O42" si="19">IFERROR(K28/N28,"-")</f>
        <v>-</v>
      </c>
      <c r="P28" s="206" t="str">
        <f t="shared" ref="P28:P42" si="20">IFERROR(SUMIF($U$2:$AT$2,"&lt;="&amp;$D$1,U28:BN28)/K28,"-")</f>
        <v>-</v>
      </c>
      <c r="Q28" s="208">
        <f t="shared" ref="Q28:Q42" si="21">SUMIF($U$2:$AT$2,"&lt;="&amp;$D$1,U28:AT28)</f>
        <v>0</v>
      </c>
      <c r="R28" s="205">
        <f t="shared" ref="R28:R42" si="22">K28-Q28</f>
        <v>0</v>
      </c>
      <c r="S28" s="65">
        <f t="shared" ref="S28:S42" si="23">SUM(U28:XFD28)</f>
        <v>0</v>
      </c>
      <c r="T28" s="158">
        <f t="shared" si="9"/>
        <v>0</v>
      </c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169"/>
      <c r="BP28" s="169"/>
      <c r="BQ28" s="169"/>
      <c r="BR28" s="169"/>
      <c r="BS28" s="169"/>
      <c r="BT28" s="169"/>
      <c r="BU28" s="169"/>
      <c r="BV28" s="169"/>
      <c r="BW28" s="169"/>
      <c r="BX28" s="169"/>
      <c r="BY28" s="169"/>
      <c r="BZ28" s="169"/>
      <c r="CA28" s="169"/>
      <c r="CB28" s="169"/>
      <c r="CC28" s="169"/>
      <c r="CD28" s="169"/>
      <c r="CE28" s="169"/>
      <c r="CF28" s="169"/>
      <c r="CG28" s="169"/>
      <c r="CH28" s="169"/>
      <c r="CI28" s="169"/>
      <c r="CJ28" s="169"/>
      <c r="CK28" s="169"/>
      <c r="CL28" s="169"/>
      <c r="CM28" s="169"/>
      <c r="CN28" s="169"/>
      <c r="CO28" s="169"/>
      <c r="CP28" s="169"/>
      <c r="CQ28" s="169"/>
      <c r="CR28" s="169"/>
      <c r="CS28" s="169"/>
      <c r="CT28" s="169"/>
      <c r="CU28" s="169"/>
      <c r="CV28" s="169"/>
      <c r="CW28" s="169"/>
      <c r="CX28" s="169"/>
      <c r="CY28" s="169"/>
      <c r="CZ28" s="169"/>
      <c r="DA28" s="169"/>
      <c r="DB28" s="169"/>
      <c r="DC28" s="169"/>
      <c r="DD28" s="169"/>
      <c r="DE28" s="169"/>
      <c r="DF28" s="169"/>
    </row>
    <row r="29" spans="2:110" x14ac:dyDescent="0.4">
      <c r="B29" s="497"/>
      <c r="C29" s="332">
        <v>50</v>
      </c>
      <c r="D29" s="336" t="s">
        <v>160</v>
      </c>
      <c r="E29" s="333">
        <v>45863</v>
      </c>
      <c r="F29" s="207">
        <v>45950</v>
      </c>
      <c r="G29" s="199">
        <f t="shared" si="17"/>
        <v>87</v>
      </c>
      <c r="H29" s="207">
        <f t="shared" ref="H29:H33" si="24">E29</f>
        <v>45863</v>
      </c>
      <c r="I29" s="207">
        <f t="shared" ref="I29:I33" si="25">F29</f>
        <v>45950</v>
      </c>
      <c r="J29" s="200" t="s">
        <v>154</v>
      </c>
      <c r="K29" s="201"/>
      <c r="L29" s="202"/>
      <c r="M29" s="202"/>
      <c r="N29" s="199" t="str">
        <f t="shared" si="18"/>
        <v/>
      </c>
      <c r="O29" s="203" t="str">
        <f t="shared" si="19"/>
        <v>-</v>
      </c>
      <c r="P29" s="206" t="str">
        <f t="shared" si="20"/>
        <v>-</v>
      </c>
      <c r="Q29" s="208">
        <f t="shared" si="21"/>
        <v>0</v>
      </c>
      <c r="R29" s="205">
        <f t="shared" si="22"/>
        <v>0</v>
      </c>
      <c r="S29" s="65">
        <f t="shared" si="23"/>
        <v>0</v>
      </c>
      <c r="T29" s="158">
        <f t="shared" si="9"/>
        <v>0</v>
      </c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169"/>
      <c r="BP29" s="169"/>
      <c r="BQ29" s="169"/>
      <c r="BR29" s="169"/>
      <c r="BS29" s="169"/>
      <c r="BT29" s="169"/>
      <c r="BU29" s="169"/>
      <c r="BV29" s="169"/>
      <c r="BW29" s="169"/>
      <c r="BX29" s="169"/>
      <c r="BY29" s="169"/>
      <c r="BZ29" s="169"/>
      <c r="CA29" s="169"/>
      <c r="CB29" s="169"/>
      <c r="CC29" s="169"/>
      <c r="CD29" s="169"/>
      <c r="CE29" s="169"/>
      <c r="CF29" s="169"/>
      <c r="CG29" s="169"/>
      <c r="CH29" s="169"/>
      <c r="CI29" s="169"/>
      <c r="CJ29" s="169"/>
      <c r="CK29" s="169"/>
      <c r="CL29" s="169"/>
      <c r="CM29" s="169"/>
      <c r="CN29" s="169"/>
      <c r="CO29" s="169"/>
      <c r="CP29" s="169"/>
      <c r="CQ29" s="169"/>
      <c r="CR29" s="169"/>
      <c r="CS29" s="169"/>
      <c r="CT29" s="169"/>
      <c r="CU29" s="169"/>
      <c r="CV29" s="169"/>
      <c r="CW29" s="169"/>
      <c r="CX29" s="169"/>
      <c r="CY29" s="169"/>
      <c r="CZ29" s="169"/>
      <c r="DA29" s="169"/>
      <c r="DB29" s="169"/>
      <c r="DC29" s="169"/>
      <c r="DD29" s="169"/>
      <c r="DE29" s="169"/>
      <c r="DF29" s="169"/>
    </row>
    <row r="30" spans="2:110" x14ac:dyDescent="0.4">
      <c r="B30" s="497"/>
      <c r="C30" s="332">
        <v>51</v>
      </c>
      <c r="D30" s="336" t="s">
        <v>161</v>
      </c>
      <c r="E30" s="333">
        <v>45966</v>
      </c>
      <c r="F30" s="207">
        <v>46001</v>
      </c>
      <c r="G30" s="199">
        <f t="shared" si="17"/>
        <v>35</v>
      </c>
      <c r="H30" s="207">
        <f t="shared" si="24"/>
        <v>45966</v>
      </c>
      <c r="I30" s="207">
        <f t="shared" si="25"/>
        <v>46001</v>
      </c>
      <c r="J30" s="200" t="s">
        <v>154</v>
      </c>
      <c r="K30" s="201"/>
      <c r="L30" s="202"/>
      <c r="M30" s="202"/>
      <c r="N30" s="199" t="str">
        <f t="shared" si="18"/>
        <v/>
      </c>
      <c r="O30" s="203" t="str">
        <f t="shared" si="19"/>
        <v>-</v>
      </c>
      <c r="P30" s="206" t="str">
        <f t="shared" si="20"/>
        <v>-</v>
      </c>
      <c r="Q30" s="208">
        <f t="shared" si="21"/>
        <v>0</v>
      </c>
      <c r="R30" s="205">
        <f t="shared" si="22"/>
        <v>0</v>
      </c>
      <c r="S30" s="65">
        <f t="shared" si="23"/>
        <v>0</v>
      </c>
      <c r="T30" s="158">
        <f t="shared" si="9"/>
        <v>0</v>
      </c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</row>
    <row r="31" spans="2:110" x14ac:dyDescent="0.4">
      <c r="B31" s="497"/>
      <c r="C31" s="332">
        <v>52</v>
      </c>
      <c r="D31" s="336" t="s">
        <v>162</v>
      </c>
      <c r="E31" s="333">
        <v>45981</v>
      </c>
      <c r="F31" s="207">
        <v>46009</v>
      </c>
      <c r="G31" s="199">
        <f t="shared" si="17"/>
        <v>28</v>
      </c>
      <c r="H31" s="207">
        <f t="shared" si="24"/>
        <v>45981</v>
      </c>
      <c r="I31" s="207">
        <f t="shared" si="25"/>
        <v>46009</v>
      </c>
      <c r="J31" s="200" t="s">
        <v>154</v>
      </c>
      <c r="K31" s="201"/>
      <c r="L31" s="202"/>
      <c r="M31" s="202"/>
      <c r="N31" s="199" t="str">
        <f t="shared" si="18"/>
        <v/>
      </c>
      <c r="O31" s="203" t="str">
        <f t="shared" si="19"/>
        <v>-</v>
      </c>
      <c r="P31" s="206" t="str">
        <f t="shared" si="20"/>
        <v>-</v>
      </c>
      <c r="Q31" s="208">
        <f t="shared" si="21"/>
        <v>0</v>
      </c>
      <c r="R31" s="205">
        <f t="shared" si="22"/>
        <v>0</v>
      </c>
      <c r="S31" s="65">
        <f t="shared" si="23"/>
        <v>0</v>
      </c>
      <c r="T31" s="158">
        <f t="shared" si="9"/>
        <v>0</v>
      </c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69"/>
      <c r="CH31" s="169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69"/>
      <c r="CW31" s="169"/>
      <c r="CX31" s="169"/>
      <c r="CY31" s="169"/>
      <c r="CZ31" s="169"/>
      <c r="DA31" s="169"/>
      <c r="DB31" s="169"/>
      <c r="DC31" s="169"/>
      <c r="DD31" s="169"/>
      <c r="DE31" s="169"/>
      <c r="DF31" s="169"/>
    </row>
    <row r="32" spans="2:110" x14ac:dyDescent="0.4">
      <c r="B32" s="497"/>
      <c r="C32" s="60">
        <v>53</v>
      </c>
      <c r="D32" s="335" t="s">
        <v>163</v>
      </c>
      <c r="E32" s="207">
        <v>45971</v>
      </c>
      <c r="F32" s="207">
        <v>46006</v>
      </c>
      <c r="G32" s="199">
        <f t="shared" si="17"/>
        <v>35</v>
      </c>
      <c r="H32" s="207">
        <f t="shared" si="24"/>
        <v>45971</v>
      </c>
      <c r="I32" s="207">
        <f t="shared" si="25"/>
        <v>46006</v>
      </c>
      <c r="J32" s="200" t="s">
        <v>154</v>
      </c>
      <c r="K32" s="201"/>
      <c r="L32" s="202"/>
      <c r="M32" s="202"/>
      <c r="N32" s="199" t="str">
        <f t="shared" si="18"/>
        <v/>
      </c>
      <c r="O32" s="203" t="str">
        <f t="shared" si="19"/>
        <v>-</v>
      </c>
      <c r="P32" s="206" t="str">
        <f t="shared" si="20"/>
        <v>-</v>
      </c>
      <c r="Q32" s="208">
        <f t="shared" si="21"/>
        <v>0</v>
      </c>
      <c r="R32" s="205">
        <f t="shared" si="22"/>
        <v>0</v>
      </c>
      <c r="S32" s="65">
        <f t="shared" si="23"/>
        <v>0</v>
      </c>
      <c r="T32" s="158">
        <f t="shared" si="9"/>
        <v>0</v>
      </c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169"/>
      <c r="BP32" s="169"/>
      <c r="BQ32" s="169"/>
      <c r="BR32" s="169"/>
      <c r="BS32" s="169"/>
      <c r="BT32" s="169"/>
      <c r="BU32" s="169"/>
      <c r="BV32" s="169"/>
      <c r="BW32" s="169"/>
      <c r="BX32" s="169"/>
      <c r="BY32" s="169"/>
      <c r="BZ32" s="169"/>
      <c r="CA32" s="169"/>
      <c r="CB32" s="169"/>
      <c r="CC32" s="169"/>
      <c r="CD32" s="169"/>
      <c r="CE32" s="169"/>
      <c r="CF32" s="169"/>
      <c r="CG32" s="169"/>
      <c r="CH32" s="169"/>
      <c r="CI32" s="169"/>
      <c r="CJ32" s="169"/>
      <c r="CK32" s="169"/>
      <c r="CL32" s="169"/>
      <c r="CM32" s="169"/>
      <c r="CN32" s="169"/>
      <c r="CO32" s="169"/>
      <c r="CP32" s="169"/>
      <c r="CQ32" s="169"/>
      <c r="CR32" s="169"/>
      <c r="CS32" s="169"/>
      <c r="CT32" s="169"/>
      <c r="CU32" s="169"/>
      <c r="CV32" s="169"/>
      <c r="CW32" s="169"/>
      <c r="CX32" s="169"/>
      <c r="CY32" s="169"/>
      <c r="CZ32" s="169"/>
      <c r="DA32" s="169"/>
      <c r="DB32" s="169"/>
      <c r="DC32" s="169"/>
      <c r="DD32" s="169"/>
      <c r="DE32" s="169"/>
      <c r="DF32" s="169"/>
    </row>
    <row r="33" spans="2:110" x14ac:dyDescent="0.4">
      <c r="B33" s="497"/>
      <c r="C33" s="60">
        <v>54</v>
      </c>
      <c r="D33" s="326" t="s">
        <v>164</v>
      </c>
      <c r="E33" s="207">
        <v>45996</v>
      </c>
      <c r="F33" s="207">
        <v>46008</v>
      </c>
      <c r="G33" s="199">
        <f t="shared" si="17"/>
        <v>12</v>
      </c>
      <c r="H33" s="207">
        <f t="shared" si="24"/>
        <v>45996</v>
      </c>
      <c r="I33" s="207">
        <f t="shared" si="25"/>
        <v>46008</v>
      </c>
      <c r="J33" s="200" t="s">
        <v>154</v>
      </c>
      <c r="K33" s="201"/>
      <c r="L33" s="202"/>
      <c r="M33" s="202"/>
      <c r="N33" s="199" t="str">
        <f t="shared" si="18"/>
        <v/>
      </c>
      <c r="O33" s="203" t="str">
        <f t="shared" si="19"/>
        <v>-</v>
      </c>
      <c r="P33" s="206" t="str">
        <f t="shared" si="20"/>
        <v>-</v>
      </c>
      <c r="Q33" s="208">
        <f t="shared" si="21"/>
        <v>0</v>
      </c>
      <c r="R33" s="205">
        <f t="shared" si="22"/>
        <v>0</v>
      </c>
      <c r="S33" s="65">
        <f t="shared" si="23"/>
        <v>0</v>
      </c>
      <c r="T33" s="158">
        <f t="shared" si="9"/>
        <v>0</v>
      </c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169"/>
      <c r="BP33" s="169"/>
      <c r="BQ33" s="169"/>
      <c r="BR33" s="169"/>
      <c r="BS33" s="169"/>
      <c r="BT33" s="169"/>
      <c r="BU33" s="169"/>
      <c r="BV33" s="169"/>
      <c r="BW33" s="169"/>
      <c r="BX33" s="169"/>
      <c r="BY33" s="169"/>
      <c r="BZ33" s="169"/>
      <c r="CA33" s="169"/>
      <c r="CB33" s="169"/>
      <c r="CC33" s="169"/>
      <c r="CD33" s="169"/>
      <c r="CE33" s="169"/>
      <c r="CF33" s="169"/>
      <c r="CG33" s="169"/>
      <c r="CH33" s="169"/>
      <c r="CI33" s="169"/>
      <c r="CJ33" s="169"/>
      <c r="CK33" s="169"/>
      <c r="CL33" s="169"/>
      <c r="CM33" s="169"/>
      <c r="CN33" s="169"/>
      <c r="CO33" s="169"/>
      <c r="CP33" s="169"/>
      <c r="CQ33" s="169"/>
      <c r="CR33" s="169"/>
      <c r="CS33" s="169"/>
      <c r="CT33" s="169"/>
      <c r="CU33" s="169"/>
      <c r="CV33" s="169"/>
      <c r="CW33" s="169"/>
      <c r="CX33" s="169"/>
      <c r="CY33" s="169"/>
      <c r="CZ33" s="169"/>
      <c r="DA33" s="169"/>
      <c r="DB33" s="169"/>
      <c r="DC33" s="169"/>
      <c r="DD33" s="169"/>
      <c r="DE33" s="169"/>
      <c r="DF33" s="169"/>
    </row>
    <row r="34" spans="2:110" x14ac:dyDescent="0.4">
      <c r="B34" s="497"/>
      <c r="C34" s="60">
        <v>55</v>
      </c>
      <c r="D34" s="326" t="s">
        <v>169</v>
      </c>
      <c r="E34" s="207">
        <v>45772</v>
      </c>
      <c r="F34" s="207">
        <v>45823</v>
      </c>
      <c r="G34" s="209">
        <f t="shared" si="17"/>
        <v>51</v>
      </c>
      <c r="H34" s="207">
        <v>45819</v>
      </c>
      <c r="I34" s="207">
        <f>H34+G34</f>
        <v>45870</v>
      </c>
      <c r="J34" s="200" t="s">
        <v>154</v>
      </c>
      <c r="K34" s="201">
        <v>21000</v>
      </c>
      <c r="L34" s="202"/>
      <c r="M34" s="202"/>
      <c r="N34" s="199" t="str">
        <f t="shared" si="18"/>
        <v/>
      </c>
      <c r="O34" s="203" t="str">
        <f t="shared" si="19"/>
        <v>-</v>
      </c>
      <c r="P34" s="206">
        <f t="shared" si="20"/>
        <v>0</v>
      </c>
      <c r="Q34" s="208">
        <f t="shared" si="21"/>
        <v>0</v>
      </c>
      <c r="R34" s="205">
        <f t="shared" si="22"/>
        <v>21000</v>
      </c>
      <c r="S34" s="65">
        <f t="shared" si="23"/>
        <v>0</v>
      </c>
      <c r="T34" s="158">
        <f t="shared" si="9"/>
        <v>0</v>
      </c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169"/>
      <c r="BP34" s="169"/>
      <c r="BQ34" s="169"/>
      <c r="BR34" s="169"/>
      <c r="BS34" s="169"/>
      <c r="BT34" s="169"/>
      <c r="BU34" s="169"/>
      <c r="BV34" s="169"/>
      <c r="BW34" s="169"/>
      <c r="BX34" s="169"/>
      <c r="BY34" s="169"/>
      <c r="BZ34" s="169"/>
      <c r="CA34" s="169"/>
      <c r="CB34" s="169"/>
      <c r="CC34" s="169"/>
      <c r="CD34" s="169"/>
      <c r="CE34" s="169"/>
      <c r="CF34" s="169"/>
      <c r="CG34" s="169"/>
      <c r="CH34" s="169"/>
      <c r="CI34" s="169"/>
      <c r="CJ34" s="169"/>
      <c r="CK34" s="169"/>
      <c r="CL34" s="169"/>
      <c r="CM34" s="169"/>
      <c r="CN34" s="169"/>
      <c r="CO34" s="169"/>
      <c r="CP34" s="169"/>
      <c r="CQ34" s="169"/>
      <c r="CR34" s="169"/>
      <c r="CS34" s="169"/>
      <c r="CT34" s="169"/>
      <c r="CU34" s="169"/>
      <c r="CV34" s="169"/>
      <c r="CW34" s="169"/>
      <c r="CX34" s="169"/>
      <c r="CY34" s="169"/>
      <c r="CZ34" s="169"/>
      <c r="DA34" s="169"/>
      <c r="DB34" s="169"/>
      <c r="DC34" s="169"/>
      <c r="DD34" s="169"/>
      <c r="DE34" s="169"/>
      <c r="DF34" s="169"/>
    </row>
    <row r="35" spans="2:110" x14ac:dyDescent="0.4">
      <c r="B35" s="497"/>
      <c r="C35" s="60">
        <v>56</v>
      </c>
      <c r="D35" s="326" t="s">
        <v>170</v>
      </c>
      <c r="E35" s="207">
        <v>45773</v>
      </c>
      <c r="F35" s="207">
        <v>45824</v>
      </c>
      <c r="G35" s="209">
        <f t="shared" si="17"/>
        <v>51</v>
      </c>
      <c r="H35" s="207">
        <v>45820</v>
      </c>
      <c r="I35" s="207">
        <v>45871</v>
      </c>
      <c r="J35" s="200" t="s">
        <v>154</v>
      </c>
      <c r="K35" s="201">
        <v>21000</v>
      </c>
      <c r="L35" s="202"/>
      <c r="M35" s="202"/>
      <c r="N35" s="199" t="str">
        <f t="shared" si="18"/>
        <v/>
      </c>
      <c r="O35" s="203" t="str">
        <f t="shared" si="19"/>
        <v>-</v>
      </c>
      <c r="P35" s="206">
        <f t="shared" si="20"/>
        <v>0</v>
      </c>
      <c r="Q35" s="208">
        <f t="shared" si="21"/>
        <v>0</v>
      </c>
      <c r="R35" s="205">
        <f t="shared" si="22"/>
        <v>21000</v>
      </c>
      <c r="S35" s="65">
        <f t="shared" si="23"/>
        <v>0</v>
      </c>
      <c r="T35" s="158">
        <f t="shared" si="9"/>
        <v>0</v>
      </c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169"/>
      <c r="BP35" s="169"/>
      <c r="BQ35" s="169"/>
      <c r="BR35" s="169"/>
      <c r="BS35" s="169"/>
      <c r="BT35" s="169"/>
      <c r="BU35" s="169"/>
      <c r="BV35" s="169"/>
      <c r="BW35" s="169"/>
      <c r="BX35" s="169"/>
      <c r="BY35" s="169"/>
      <c r="BZ35" s="169"/>
      <c r="CA35" s="169"/>
      <c r="CB35" s="169"/>
      <c r="CC35" s="169"/>
      <c r="CD35" s="169"/>
      <c r="CE35" s="169"/>
      <c r="CF35" s="169"/>
      <c r="CG35" s="169"/>
      <c r="CH35" s="169"/>
      <c r="CI35" s="169"/>
      <c r="CJ35" s="169"/>
      <c r="CK35" s="169"/>
      <c r="CL35" s="169"/>
      <c r="CM35" s="169"/>
      <c r="CN35" s="169"/>
      <c r="CO35" s="169"/>
      <c r="CP35" s="169"/>
      <c r="CQ35" s="169"/>
      <c r="CR35" s="169"/>
      <c r="CS35" s="169"/>
      <c r="CT35" s="169"/>
      <c r="CU35" s="169"/>
      <c r="CV35" s="169"/>
      <c r="CW35" s="169"/>
      <c r="CX35" s="169"/>
      <c r="CY35" s="169"/>
      <c r="CZ35" s="169"/>
      <c r="DA35" s="169"/>
      <c r="DB35" s="169"/>
      <c r="DC35" s="169"/>
      <c r="DD35" s="169"/>
      <c r="DE35" s="169"/>
      <c r="DF35" s="169"/>
    </row>
    <row r="36" spans="2:110" x14ac:dyDescent="0.4">
      <c r="B36" s="497"/>
      <c r="C36" s="60">
        <v>57</v>
      </c>
      <c r="D36" s="326" t="s">
        <v>439</v>
      </c>
      <c r="E36" s="207">
        <v>45797</v>
      </c>
      <c r="F36" s="207">
        <v>45828</v>
      </c>
      <c r="G36" s="209">
        <f t="shared" si="17"/>
        <v>31</v>
      </c>
      <c r="H36" s="207">
        <v>45833</v>
      </c>
      <c r="I36" s="207">
        <v>45874</v>
      </c>
      <c r="J36" s="200" t="s">
        <v>154</v>
      </c>
      <c r="K36" s="201">
        <v>21000</v>
      </c>
      <c r="L36" s="202"/>
      <c r="M36" s="202"/>
      <c r="N36" s="199" t="str">
        <f t="shared" si="18"/>
        <v/>
      </c>
      <c r="O36" s="203" t="str">
        <f t="shared" si="19"/>
        <v>-</v>
      </c>
      <c r="P36" s="206">
        <f t="shared" si="20"/>
        <v>0</v>
      </c>
      <c r="Q36" s="208">
        <f t="shared" si="21"/>
        <v>0</v>
      </c>
      <c r="R36" s="205">
        <f t="shared" si="22"/>
        <v>21000</v>
      </c>
      <c r="S36" s="65">
        <f t="shared" si="23"/>
        <v>0</v>
      </c>
      <c r="T36" s="158">
        <f t="shared" si="9"/>
        <v>0</v>
      </c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69"/>
      <c r="CH36" s="169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69"/>
      <c r="CW36" s="169"/>
      <c r="CX36" s="169"/>
      <c r="CY36" s="169"/>
      <c r="CZ36" s="169"/>
      <c r="DA36" s="169"/>
      <c r="DB36" s="169"/>
      <c r="DC36" s="169"/>
      <c r="DD36" s="169"/>
      <c r="DE36" s="169"/>
      <c r="DF36" s="169"/>
    </row>
    <row r="37" spans="2:110" x14ac:dyDescent="0.4">
      <c r="B37" s="497"/>
      <c r="C37" s="60">
        <v>58</v>
      </c>
      <c r="D37" s="326" t="s">
        <v>430</v>
      </c>
      <c r="E37" s="207">
        <v>45802</v>
      </c>
      <c r="F37" s="207">
        <v>45832</v>
      </c>
      <c r="G37" s="209">
        <f t="shared" si="17"/>
        <v>30</v>
      </c>
      <c r="H37" s="207">
        <v>45838</v>
      </c>
      <c r="I37" s="207">
        <v>45877</v>
      </c>
      <c r="J37" s="200" t="s">
        <v>154</v>
      </c>
      <c r="K37" s="201">
        <v>21000</v>
      </c>
      <c r="L37" s="202"/>
      <c r="M37" s="202"/>
      <c r="N37" s="199" t="str">
        <f t="shared" si="18"/>
        <v/>
      </c>
      <c r="O37" s="203" t="str">
        <f t="shared" si="19"/>
        <v>-</v>
      </c>
      <c r="P37" s="206">
        <f t="shared" si="20"/>
        <v>0</v>
      </c>
      <c r="Q37" s="208">
        <f t="shared" si="21"/>
        <v>0</v>
      </c>
      <c r="R37" s="205">
        <f t="shared" si="22"/>
        <v>21000</v>
      </c>
      <c r="S37" s="65">
        <f t="shared" si="23"/>
        <v>0</v>
      </c>
      <c r="T37" s="158">
        <f t="shared" si="9"/>
        <v>0</v>
      </c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</row>
    <row r="38" spans="2:110" x14ac:dyDescent="0.4">
      <c r="B38" s="497"/>
      <c r="C38" s="60">
        <v>59</v>
      </c>
      <c r="D38" s="326" t="s">
        <v>173</v>
      </c>
      <c r="E38" s="207">
        <v>45874</v>
      </c>
      <c r="F38" s="207">
        <v>45950</v>
      </c>
      <c r="G38" s="209">
        <f t="shared" si="17"/>
        <v>76</v>
      </c>
      <c r="H38" s="207">
        <f>E38</f>
        <v>45874</v>
      </c>
      <c r="I38" s="207">
        <f>F38</f>
        <v>45950</v>
      </c>
      <c r="J38" s="200" t="s">
        <v>154</v>
      </c>
      <c r="K38" s="201"/>
      <c r="L38" s="202"/>
      <c r="M38" s="202"/>
      <c r="N38" s="199" t="str">
        <f t="shared" si="18"/>
        <v/>
      </c>
      <c r="O38" s="203" t="str">
        <f t="shared" si="19"/>
        <v>-</v>
      </c>
      <c r="P38" s="206" t="str">
        <f t="shared" si="20"/>
        <v>-</v>
      </c>
      <c r="Q38" s="208">
        <f t="shared" si="21"/>
        <v>0</v>
      </c>
      <c r="R38" s="205">
        <f t="shared" si="22"/>
        <v>0</v>
      </c>
      <c r="S38" s="65">
        <f t="shared" si="23"/>
        <v>0</v>
      </c>
      <c r="T38" s="158">
        <f t="shared" si="9"/>
        <v>0</v>
      </c>
      <c r="U38" s="65"/>
      <c r="V38" s="65"/>
      <c r="W38" s="65"/>
      <c r="X38" s="65"/>
      <c r="Y38" s="65"/>
      <c r="Z38" s="65"/>
      <c r="AA38" s="65"/>
      <c r="AB38" s="65"/>
      <c r="AC38" s="65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169"/>
      <c r="BP38" s="169"/>
      <c r="BQ38" s="169"/>
      <c r="BR38" s="169"/>
      <c r="BS38" s="169"/>
      <c r="BT38" s="169"/>
      <c r="BU38" s="169"/>
      <c r="BV38" s="169"/>
      <c r="BW38" s="169"/>
      <c r="BX38" s="169"/>
      <c r="BY38" s="169"/>
      <c r="BZ38" s="169"/>
      <c r="CA38" s="169"/>
      <c r="CB38" s="169"/>
      <c r="CC38" s="169"/>
      <c r="CD38" s="169"/>
      <c r="CE38" s="169"/>
      <c r="CF38" s="169"/>
      <c r="CG38" s="169"/>
      <c r="CH38" s="169"/>
      <c r="CI38" s="169"/>
      <c r="CJ38" s="169"/>
      <c r="CK38" s="169"/>
      <c r="CL38" s="169"/>
      <c r="CM38" s="169"/>
      <c r="CN38" s="169"/>
      <c r="CO38" s="169"/>
      <c r="CP38" s="169"/>
      <c r="CQ38" s="169"/>
      <c r="CR38" s="169"/>
      <c r="CS38" s="169"/>
      <c r="CT38" s="169"/>
      <c r="CU38" s="169"/>
      <c r="CV38" s="169"/>
      <c r="CW38" s="169"/>
      <c r="CX38" s="169"/>
      <c r="CY38" s="169"/>
      <c r="CZ38" s="169"/>
      <c r="DA38" s="169"/>
      <c r="DB38" s="169"/>
      <c r="DC38" s="169"/>
      <c r="DD38" s="169"/>
      <c r="DE38" s="169"/>
      <c r="DF38" s="169"/>
    </row>
    <row r="39" spans="2:110" x14ac:dyDescent="0.4">
      <c r="B39" s="497"/>
      <c r="C39" s="60">
        <v>60</v>
      </c>
      <c r="D39" s="326" t="s">
        <v>174</v>
      </c>
      <c r="E39" s="207">
        <v>45885</v>
      </c>
      <c r="F39" s="207">
        <v>45958</v>
      </c>
      <c r="G39" s="209">
        <f t="shared" si="17"/>
        <v>73</v>
      </c>
      <c r="H39" s="207">
        <f t="shared" ref="H39:H61" si="26">E39</f>
        <v>45885</v>
      </c>
      <c r="I39" s="207">
        <f t="shared" ref="I39:I61" si="27">F39</f>
        <v>45958</v>
      </c>
      <c r="J39" s="200" t="s">
        <v>154</v>
      </c>
      <c r="K39" s="201"/>
      <c r="L39" s="202"/>
      <c r="M39" s="202"/>
      <c r="N39" s="199" t="str">
        <f t="shared" si="18"/>
        <v/>
      </c>
      <c r="O39" s="203" t="str">
        <f t="shared" si="19"/>
        <v>-</v>
      </c>
      <c r="P39" s="206" t="str">
        <f t="shared" si="20"/>
        <v>-</v>
      </c>
      <c r="Q39" s="208">
        <f t="shared" si="21"/>
        <v>0</v>
      </c>
      <c r="R39" s="205">
        <f t="shared" si="22"/>
        <v>0</v>
      </c>
      <c r="S39" s="65">
        <f t="shared" si="23"/>
        <v>0</v>
      </c>
      <c r="T39" s="158">
        <f t="shared" si="9"/>
        <v>0</v>
      </c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169"/>
      <c r="BP39" s="169"/>
      <c r="BQ39" s="169"/>
      <c r="BR39" s="169"/>
      <c r="BS39" s="169"/>
      <c r="BT39" s="169"/>
      <c r="BU39" s="169"/>
      <c r="BV39" s="169"/>
      <c r="BW39" s="169"/>
      <c r="BX39" s="169"/>
      <c r="BY39" s="169"/>
      <c r="BZ39" s="169"/>
      <c r="CA39" s="169"/>
      <c r="CB39" s="169"/>
      <c r="CC39" s="169"/>
      <c r="CD39" s="169"/>
      <c r="CE39" s="169"/>
      <c r="CF39" s="169"/>
      <c r="CG39" s="169"/>
      <c r="CH39" s="169"/>
      <c r="CI39" s="169"/>
      <c r="CJ39" s="169"/>
      <c r="CK39" s="169"/>
      <c r="CL39" s="169"/>
      <c r="CM39" s="169"/>
      <c r="CN39" s="169"/>
      <c r="CO39" s="169"/>
      <c r="CP39" s="169"/>
      <c r="CQ39" s="169"/>
      <c r="CR39" s="169"/>
      <c r="CS39" s="169"/>
      <c r="CT39" s="169"/>
      <c r="CU39" s="169"/>
      <c r="CV39" s="169"/>
      <c r="CW39" s="169"/>
      <c r="CX39" s="169"/>
      <c r="CY39" s="169"/>
      <c r="CZ39" s="169"/>
      <c r="DA39" s="169"/>
      <c r="DB39" s="169"/>
      <c r="DC39" s="169"/>
      <c r="DD39" s="169"/>
      <c r="DE39" s="169"/>
      <c r="DF39" s="169"/>
    </row>
    <row r="40" spans="2:110" x14ac:dyDescent="0.4">
      <c r="B40" s="497"/>
      <c r="C40" s="60">
        <v>61</v>
      </c>
      <c r="D40" s="326" t="s">
        <v>175</v>
      </c>
      <c r="E40" s="207">
        <v>45905</v>
      </c>
      <c r="F40" s="207">
        <v>45976</v>
      </c>
      <c r="G40" s="209">
        <f t="shared" si="17"/>
        <v>71</v>
      </c>
      <c r="H40" s="207">
        <f t="shared" si="26"/>
        <v>45905</v>
      </c>
      <c r="I40" s="207">
        <f t="shared" si="27"/>
        <v>45976</v>
      </c>
      <c r="J40" s="200" t="s">
        <v>154</v>
      </c>
      <c r="K40" s="201"/>
      <c r="L40" s="202"/>
      <c r="M40" s="202"/>
      <c r="N40" s="199" t="str">
        <f t="shared" si="18"/>
        <v/>
      </c>
      <c r="O40" s="203" t="str">
        <f t="shared" si="19"/>
        <v>-</v>
      </c>
      <c r="P40" s="206" t="str">
        <f t="shared" si="20"/>
        <v>-</v>
      </c>
      <c r="Q40" s="208">
        <f t="shared" si="21"/>
        <v>0</v>
      </c>
      <c r="R40" s="205">
        <f t="shared" si="22"/>
        <v>0</v>
      </c>
      <c r="S40" s="65">
        <f t="shared" si="23"/>
        <v>0</v>
      </c>
      <c r="T40" s="158">
        <f t="shared" si="9"/>
        <v>0</v>
      </c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169"/>
      <c r="BP40" s="169"/>
      <c r="BQ40" s="169"/>
      <c r="BR40" s="169"/>
      <c r="BS40" s="169"/>
      <c r="BT40" s="169"/>
      <c r="BU40" s="169"/>
      <c r="BV40" s="169"/>
      <c r="BW40" s="169"/>
      <c r="BX40" s="169"/>
      <c r="BY40" s="169"/>
      <c r="BZ40" s="169"/>
      <c r="CA40" s="169"/>
      <c r="CB40" s="169"/>
      <c r="CC40" s="169"/>
      <c r="CD40" s="169"/>
      <c r="CE40" s="169"/>
      <c r="CF40" s="169"/>
      <c r="CG40" s="169"/>
      <c r="CH40" s="169"/>
      <c r="CI40" s="169"/>
      <c r="CJ40" s="169"/>
      <c r="CK40" s="169"/>
      <c r="CL40" s="169"/>
      <c r="CM40" s="169"/>
      <c r="CN40" s="169"/>
      <c r="CO40" s="169"/>
      <c r="CP40" s="169"/>
      <c r="CQ40" s="169"/>
      <c r="CR40" s="169"/>
      <c r="CS40" s="169"/>
      <c r="CT40" s="169"/>
      <c r="CU40" s="169"/>
      <c r="CV40" s="169"/>
      <c r="CW40" s="169"/>
      <c r="CX40" s="169"/>
      <c r="CY40" s="169"/>
      <c r="CZ40" s="169"/>
      <c r="DA40" s="169"/>
      <c r="DB40" s="169"/>
      <c r="DC40" s="169"/>
      <c r="DD40" s="169"/>
      <c r="DE40" s="169"/>
      <c r="DF40" s="169"/>
    </row>
    <row r="41" spans="2:110" ht="29" x14ac:dyDescent="0.4">
      <c r="B41" s="485" t="s">
        <v>176</v>
      </c>
      <c r="C41" s="60">
        <v>66</v>
      </c>
      <c r="D41" s="327" t="s">
        <v>441</v>
      </c>
      <c r="E41" s="196">
        <v>45879</v>
      </c>
      <c r="F41" s="196">
        <v>46006</v>
      </c>
      <c r="G41" s="197">
        <f t="shared" si="17"/>
        <v>127</v>
      </c>
      <c r="H41" s="207">
        <f t="shared" si="26"/>
        <v>45879</v>
      </c>
      <c r="I41" s="207">
        <f t="shared" si="27"/>
        <v>46006</v>
      </c>
      <c r="J41" s="200" t="s">
        <v>17</v>
      </c>
      <c r="K41" s="201">
        <v>1360</v>
      </c>
      <c r="L41" s="202"/>
      <c r="M41" s="202"/>
      <c r="N41" s="199" t="str">
        <f t="shared" si="18"/>
        <v/>
      </c>
      <c r="O41" s="203" t="str">
        <f t="shared" si="19"/>
        <v>-</v>
      </c>
      <c r="P41" s="206">
        <f t="shared" si="20"/>
        <v>0</v>
      </c>
      <c r="Q41" s="208">
        <f t="shared" si="21"/>
        <v>0</v>
      </c>
      <c r="R41" s="205">
        <f t="shared" si="22"/>
        <v>1360</v>
      </c>
      <c r="S41" s="65">
        <f t="shared" si="23"/>
        <v>0</v>
      </c>
      <c r="T41" s="158">
        <f t="shared" si="9"/>
        <v>0</v>
      </c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169"/>
      <c r="BP41" s="169"/>
      <c r="BQ41" s="169"/>
      <c r="BR41" s="169"/>
      <c r="BS41" s="169"/>
      <c r="BT41" s="169"/>
      <c r="BU41" s="169"/>
      <c r="BV41" s="169"/>
      <c r="BW41" s="169"/>
      <c r="BX41" s="169"/>
      <c r="BY41" s="169"/>
      <c r="BZ41" s="169"/>
      <c r="CA41" s="169"/>
      <c r="CB41" s="169"/>
      <c r="CC41" s="169"/>
      <c r="CD41" s="169"/>
      <c r="CE41" s="169"/>
      <c r="CF41" s="169"/>
      <c r="CG41" s="169"/>
      <c r="CH41" s="169"/>
      <c r="CI41" s="169"/>
      <c r="CJ41" s="169"/>
      <c r="CK41" s="169"/>
      <c r="CL41" s="169"/>
      <c r="CM41" s="169"/>
      <c r="CN41" s="169"/>
      <c r="CO41" s="169"/>
      <c r="CP41" s="169"/>
      <c r="CQ41" s="169"/>
      <c r="CR41" s="169"/>
      <c r="CS41" s="169"/>
      <c r="CT41" s="169"/>
      <c r="CU41" s="169"/>
      <c r="CV41" s="169"/>
      <c r="CW41" s="169"/>
      <c r="CX41" s="169"/>
      <c r="CY41" s="169"/>
      <c r="CZ41" s="169"/>
      <c r="DA41" s="169"/>
      <c r="DB41" s="169"/>
      <c r="DC41" s="169"/>
      <c r="DD41" s="169"/>
      <c r="DE41" s="169"/>
      <c r="DF41" s="169"/>
    </row>
    <row r="42" spans="2:110" x14ac:dyDescent="0.4">
      <c r="B42" s="485"/>
      <c r="C42" s="60">
        <v>67</v>
      </c>
      <c r="D42" s="327" t="s">
        <v>259</v>
      </c>
      <c r="E42" s="196">
        <v>45887</v>
      </c>
      <c r="F42" s="196">
        <v>46016</v>
      </c>
      <c r="G42" s="197">
        <f t="shared" si="17"/>
        <v>129</v>
      </c>
      <c r="H42" s="207">
        <f t="shared" si="26"/>
        <v>45887</v>
      </c>
      <c r="I42" s="207">
        <f t="shared" si="27"/>
        <v>46016</v>
      </c>
      <c r="J42" s="200" t="s">
        <v>17</v>
      </c>
      <c r="K42" s="201">
        <v>1360</v>
      </c>
      <c r="L42" s="202"/>
      <c r="M42" s="202"/>
      <c r="N42" s="199" t="str">
        <f t="shared" si="18"/>
        <v/>
      </c>
      <c r="O42" s="203" t="str">
        <f t="shared" si="19"/>
        <v>-</v>
      </c>
      <c r="P42" s="206">
        <f t="shared" si="20"/>
        <v>0</v>
      </c>
      <c r="Q42" s="208">
        <f t="shared" si="21"/>
        <v>0</v>
      </c>
      <c r="R42" s="205">
        <f t="shared" si="22"/>
        <v>1360</v>
      </c>
      <c r="S42" s="65">
        <f t="shared" si="23"/>
        <v>0</v>
      </c>
      <c r="T42" s="158">
        <f t="shared" si="9"/>
        <v>0</v>
      </c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169"/>
      <c r="BP42" s="169"/>
      <c r="BQ42" s="169"/>
      <c r="BR42" s="169"/>
      <c r="BS42" s="169"/>
      <c r="BT42" s="169"/>
      <c r="BU42" s="169"/>
      <c r="BV42" s="169"/>
      <c r="BW42" s="169"/>
      <c r="BX42" s="169"/>
      <c r="BY42" s="169"/>
      <c r="BZ42" s="169"/>
      <c r="CA42" s="169"/>
      <c r="CB42" s="169"/>
      <c r="CC42" s="169"/>
      <c r="CD42" s="169"/>
      <c r="CE42" s="169"/>
      <c r="CF42" s="169"/>
      <c r="CG42" s="169"/>
      <c r="CH42" s="169"/>
      <c r="CI42" s="169"/>
      <c r="CJ42" s="169"/>
      <c r="CK42" s="169"/>
      <c r="CL42" s="169"/>
      <c r="CM42" s="169"/>
      <c r="CN42" s="169"/>
      <c r="CO42" s="169"/>
      <c r="CP42" s="169"/>
      <c r="CQ42" s="169"/>
      <c r="CR42" s="169"/>
      <c r="CS42" s="169"/>
      <c r="CT42" s="169"/>
      <c r="CU42" s="169"/>
      <c r="CV42" s="169"/>
      <c r="CW42" s="169"/>
      <c r="CX42" s="169"/>
      <c r="CY42" s="169"/>
      <c r="CZ42" s="169"/>
      <c r="DA42" s="169"/>
      <c r="DB42" s="169"/>
      <c r="DC42" s="169"/>
      <c r="DD42" s="169"/>
      <c r="DE42" s="169"/>
      <c r="DF42" s="169"/>
    </row>
    <row r="43" spans="2:110" x14ac:dyDescent="0.4">
      <c r="B43" s="485"/>
      <c r="C43" s="60">
        <v>68</v>
      </c>
      <c r="D43" s="327" t="s">
        <v>258</v>
      </c>
      <c r="E43" s="196">
        <v>45849</v>
      </c>
      <c r="F43" s="196">
        <v>46010</v>
      </c>
      <c r="G43" s="197">
        <f t="shared" si="17"/>
        <v>161</v>
      </c>
      <c r="H43" s="207">
        <f t="shared" si="26"/>
        <v>45849</v>
      </c>
      <c r="I43" s="207">
        <f t="shared" si="27"/>
        <v>46010</v>
      </c>
      <c r="J43" s="200" t="s">
        <v>17</v>
      </c>
      <c r="K43" s="201">
        <v>1360</v>
      </c>
      <c r="L43" s="202"/>
      <c r="M43" s="202"/>
      <c r="N43" s="199" t="str">
        <f t="shared" ref="N43:N73" si="28">IF(OR(M43="",L43=""),"",INT(M43-L43+1))</f>
        <v/>
      </c>
      <c r="O43" s="203" t="str">
        <f t="shared" ref="O43:O73" si="29">IFERROR(K43/N43,"-")</f>
        <v>-</v>
      </c>
      <c r="P43" s="206">
        <f t="shared" ref="P43:P73" si="30">IFERROR(SUMIF($U$2:$AT$2,"&lt;="&amp;$D$1,U43:BN43)/K43,"-")</f>
        <v>0</v>
      </c>
      <c r="Q43" s="208">
        <f t="shared" ref="Q43:Q73" si="31">SUMIF($U$2:$AT$2,"&lt;="&amp;$D$1,U43:AT43)</f>
        <v>0</v>
      </c>
      <c r="R43" s="205">
        <f t="shared" ref="R43:R73" si="32">K43-Q43</f>
        <v>1360</v>
      </c>
      <c r="S43" s="65">
        <f t="shared" ref="S43:S55" si="33">SUM(U43:XFD43)</f>
        <v>0</v>
      </c>
      <c r="T43" s="158">
        <f t="shared" si="9"/>
        <v>0</v>
      </c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7"/>
      <c r="BG43" s="67"/>
      <c r="BH43" s="67"/>
      <c r="BI43" s="67"/>
      <c r="BJ43" s="67"/>
      <c r="BK43" s="67"/>
      <c r="BL43" s="67"/>
      <c r="BM43" s="67"/>
      <c r="BN43" s="67"/>
      <c r="BO43" s="169"/>
      <c r="BP43" s="169"/>
      <c r="BQ43" s="169"/>
      <c r="BR43" s="169"/>
      <c r="BS43" s="169"/>
      <c r="BT43" s="169"/>
      <c r="BU43" s="169"/>
      <c r="BV43" s="169"/>
      <c r="BW43" s="169"/>
      <c r="BX43" s="169"/>
      <c r="BY43" s="169"/>
      <c r="BZ43" s="169"/>
      <c r="CA43" s="169"/>
      <c r="CB43" s="169"/>
      <c r="CC43" s="169"/>
      <c r="CD43" s="169"/>
      <c r="CE43" s="169"/>
      <c r="CF43" s="169"/>
      <c r="CG43" s="169"/>
      <c r="CH43" s="169"/>
      <c r="CI43" s="169"/>
      <c r="CJ43" s="169"/>
      <c r="CK43" s="169"/>
      <c r="CL43" s="169"/>
      <c r="CM43" s="169"/>
      <c r="CN43" s="169"/>
      <c r="CO43" s="169"/>
      <c r="CP43" s="169"/>
      <c r="CQ43" s="169"/>
      <c r="CR43" s="169"/>
      <c r="CS43" s="169"/>
      <c r="CT43" s="169"/>
      <c r="CU43" s="169"/>
      <c r="CV43" s="169"/>
      <c r="CW43" s="169"/>
      <c r="CX43" s="169"/>
      <c r="CY43" s="169"/>
      <c r="CZ43" s="169"/>
      <c r="DA43" s="169"/>
      <c r="DB43" s="169"/>
      <c r="DC43" s="169"/>
      <c r="DD43" s="169"/>
      <c r="DE43" s="169"/>
      <c r="DF43" s="169"/>
    </row>
    <row r="44" spans="2:110" x14ac:dyDescent="0.4">
      <c r="B44" s="485"/>
      <c r="C44" s="60">
        <v>69</v>
      </c>
      <c r="D44" s="327" t="s">
        <v>263</v>
      </c>
      <c r="E44" s="196">
        <v>45888</v>
      </c>
      <c r="F44" s="196">
        <v>46043</v>
      </c>
      <c r="G44" s="197">
        <f t="shared" si="17"/>
        <v>155</v>
      </c>
      <c r="H44" s="207">
        <f t="shared" si="26"/>
        <v>45888</v>
      </c>
      <c r="I44" s="207">
        <f t="shared" si="27"/>
        <v>46043</v>
      </c>
      <c r="J44" s="200" t="s">
        <v>17</v>
      </c>
      <c r="K44" s="201">
        <v>1360</v>
      </c>
      <c r="L44" s="202"/>
      <c r="M44" s="202"/>
      <c r="N44" s="199" t="str">
        <f t="shared" si="28"/>
        <v/>
      </c>
      <c r="O44" s="203" t="str">
        <f t="shared" si="29"/>
        <v>-</v>
      </c>
      <c r="P44" s="206">
        <f t="shared" si="30"/>
        <v>0</v>
      </c>
      <c r="Q44" s="208">
        <f t="shared" si="31"/>
        <v>0</v>
      </c>
      <c r="R44" s="205">
        <f t="shared" si="32"/>
        <v>1360</v>
      </c>
      <c r="S44" s="65">
        <f t="shared" si="33"/>
        <v>0</v>
      </c>
      <c r="T44" s="158">
        <f t="shared" si="9"/>
        <v>0</v>
      </c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169"/>
      <c r="BP44" s="169"/>
      <c r="BQ44" s="169"/>
      <c r="BR44" s="169"/>
      <c r="BS44" s="169"/>
      <c r="BT44" s="169"/>
      <c r="BU44" s="169"/>
      <c r="BV44" s="169"/>
      <c r="BW44" s="169"/>
      <c r="BX44" s="169"/>
      <c r="BY44" s="169"/>
      <c r="BZ44" s="169"/>
      <c r="CA44" s="169"/>
      <c r="CB44" s="169"/>
      <c r="CC44" s="169"/>
      <c r="CD44" s="169"/>
      <c r="CE44" s="169"/>
      <c r="CF44" s="169"/>
      <c r="CG44" s="169"/>
      <c r="CH44" s="169"/>
      <c r="CI44" s="169"/>
      <c r="CJ44" s="169"/>
      <c r="CK44" s="169"/>
      <c r="CL44" s="169"/>
      <c r="CM44" s="169"/>
      <c r="CN44" s="169"/>
      <c r="CO44" s="169"/>
      <c r="CP44" s="169"/>
      <c r="CQ44" s="169"/>
      <c r="CR44" s="169"/>
      <c r="CS44" s="169"/>
      <c r="CT44" s="169"/>
      <c r="CU44" s="169"/>
      <c r="CV44" s="169"/>
      <c r="CW44" s="169"/>
      <c r="CX44" s="169"/>
      <c r="CY44" s="169"/>
      <c r="CZ44" s="169"/>
      <c r="DA44" s="169"/>
      <c r="DB44" s="169"/>
      <c r="DC44" s="169"/>
      <c r="DD44" s="169"/>
      <c r="DE44" s="169"/>
      <c r="DF44" s="169"/>
    </row>
    <row r="45" spans="2:110" ht="29" x14ac:dyDescent="0.4">
      <c r="B45" s="485"/>
      <c r="C45" s="60">
        <v>70</v>
      </c>
      <c r="D45" s="327" t="s">
        <v>264</v>
      </c>
      <c r="E45" s="196">
        <f>E44+45</f>
        <v>45933</v>
      </c>
      <c r="F45" s="196">
        <f>F44+7</f>
        <v>46050</v>
      </c>
      <c r="G45" s="197">
        <f t="shared" si="17"/>
        <v>117</v>
      </c>
      <c r="H45" s="207">
        <f t="shared" si="26"/>
        <v>45933</v>
      </c>
      <c r="I45" s="207">
        <f t="shared" si="27"/>
        <v>46050</v>
      </c>
      <c r="J45" s="200" t="s">
        <v>17</v>
      </c>
      <c r="K45" s="201">
        <v>1360</v>
      </c>
      <c r="L45" s="202"/>
      <c r="M45" s="202"/>
      <c r="N45" s="199" t="str">
        <f t="shared" si="28"/>
        <v/>
      </c>
      <c r="O45" s="203" t="str">
        <f t="shared" si="29"/>
        <v>-</v>
      </c>
      <c r="P45" s="206">
        <f t="shared" si="30"/>
        <v>0</v>
      </c>
      <c r="Q45" s="208">
        <f t="shared" si="31"/>
        <v>0</v>
      </c>
      <c r="R45" s="205">
        <f t="shared" si="32"/>
        <v>1360</v>
      </c>
      <c r="S45" s="65">
        <f t="shared" si="33"/>
        <v>0</v>
      </c>
      <c r="T45" s="158">
        <f t="shared" si="9"/>
        <v>0</v>
      </c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169"/>
      <c r="BP45" s="169"/>
      <c r="BQ45" s="169"/>
      <c r="BR45" s="169"/>
      <c r="BS45" s="169"/>
      <c r="BT45" s="169"/>
      <c r="BU45" s="169"/>
      <c r="BV45" s="169"/>
      <c r="BW45" s="169"/>
      <c r="BX45" s="169"/>
      <c r="BY45" s="169"/>
      <c r="BZ45" s="169"/>
      <c r="CA45" s="169"/>
      <c r="CB45" s="169"/>
      <c r="CC45" s="169"/>
      <c r="CD45" s="169"/>
      <c r="CE45" s="169"/>
      <c r="CF45" s="169"/>
      <c r="CG45" s="169"/>
      <c r="CH45" s="169"/>
      <c r="CI45" s="169"/>
      <c r="CJ45" s="169"/>
      <c r="CK45" s="169"/>
      <c r="CL45" s="169"/>
      <c r="CM45" s="169"/>
      <c r="CN45" s="169"/>
      <c r="CO45" s="169"/>
      <c r="CP45" s="169"/>
      <c r="CQ45" s="169"/>
      <c r="CR45" s="169"/>
      <c r="CS45" s="169"/>
      <c r="CT45" s="169"/>
      <c r="CU45" s="169"/>
      <c r="CV45" s="169"/>
      <c r="CW45" s="169"/>
      <c r="CX45" s="169"/>
      <c r="CY45" s="169"/>
      <c r="CZ45" s="169"/>
      <c r="DA45" s="169"/>
      <c r="DB45" s="169"/>
      <c r="DC45" s="169"/>
      <c r="DD45" s="169"/>
      <c r="DE45" s="169"/>
      <c r="DF45" s="169"/>
    </row>
    <row r="46" spans="2:110" x14ac:dyDescent="0.4">
      <c r="B46" s="485"/>
      <c r="C46" s="60">
        <v>71</v>
      </c>
      <c r="D46" s="327" t="s">
        <v>440</v>
      </c>
      <c r="E46" s="196">
        <f>E44+40</f>
        <v>45928</v>
      </c>
      <c r="F46" s="196">
        <v>46051</v>
      </c>
      <c r="G46" s="197">
        <f t="shared" si="17"/>
        <v>123</v>
      </c>
      <c r="H46" s="207">
        <f t="shared" si="26"/>
        <v>45928</v>
      </c>
      <c r="I46" s="207">
        <f t="shared" si="27"/>
        <v>46051</v>
      </c>
      <c r="J46" s="200" t="s">
        <v>17</v>
      </c>
      <c r="K46" s="201">
        <v>1360</v>
      </c>
      <c r="L46" s="202"/>
      <c r="M46" s="202"/>
      <c r="N46" s="199" t="str">
        <f t="shared" si="28"/>
        <v/>
      </c>
      <c r="O46" s="203" t="str">
        <f t="shared" si="29"/>
        <v>-</v>
      </c>
      <c r="P46" s="206">
        <f t="shared" si="30"/>
        <v>0</v>
      </c>
      <c r="Q46" s="208">
        <f t="shared" si="31"/>
        <v>0</v>
      </c>
      <c r="R46" s="205">
        <f t="shared" si="32"/>
        <v>1360</v>
      </c>
      <c r="S46" s="65">
        <f t="shared" si="33"/>
        <v>0</v>
      </c>
      <c r="T46" s="158">
        <f t="shared" si="9"/>
        <v>0</v>
      </c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169"/>
      <c r="BP46" s="169"/>
      <c r="BQ46" s="169"/>
      <c r="BR46" s="169"/>
      <c r="BS46" s="169"/>
      <c r="BT46" s="169"/>
      <c r="BU46" s="169"/>
      <c r="BV46" s="169"/>
      <c r="BW46" s="169"/>
      <c r="BX46" s="169"/>
      <c r="BY46" s="169"/>
      <c r="BZ46" s="169"/>
      <c r="CA46" s="169"/>
      <c r="CB46" s="169"/>
      <c r="CC46" s="169"/>
      <c r="CD46" s="169"/>
      <c r="CE46" s="169"/>
      <c r="CF46" s="169"/>
      <c r="CG46" s="169"/>
      <c r="CH46" s="169"/>
      <c r="CI46" s="169"/>
      <c r="CJ46" s="169"/>
      <c r="CK46" s="169"/>
      <c r="CL46" s="169"/>
      <c r="CM46" s="169"/>
      <c r="CN46" s="169"/>
      <c r="CO46" s="169"/>
      <c r="CP46" s="169"/>
      <c r="CQ46" s="169"/>
      <c r="CR46" s="169"/>
      <c r="CS46" s="169"/>
      <c r="CT46" s="169"/>
      <c r="CU46" s="169"/>
      <c r="CV46" s="169"/>
      <c r="CW46" s="169"/>
      <c r="CX46" s="169"/>
      <c r="CY46" s="169"/>
      <c r="CZ46" s="169"/>
      <c r="DA46" s="169"/>
      <c r="DB46" s="169"/>
      <c r="DC46" s="169"/>
      <c r="DD46" s="169"/>
      <c r="DE46" s="169"/>
      <c r="DF46" s="169"/>
    </row>
    <row r="47" spans="2:110" x14ac:dyDescent="0.4">
      <c r="B47" s="485"/>
      <c r="C47" s="60">
        <v>72</v>
      </c>
      <c r="D47" s="327" t="s">
        <v>260</v>
      </c>
      <c r="E47" s="196">
        <v>45856</v>
      </c>
      <c r="F47" s="196">
        <v>46011</v>
      </c>
      <c r="G47" s="197">
        <f t="shared" si="17"/>
        <v>155</v>
      </c>
      <c r="H47" s="207">
        <f t="shared" si="26"/>
        <v>45856</v>
      </c>
      <c r="I47" s="207">
        <f t="shared" si="27"/>
        <v>46011</v>
      </c>
      <c r="J47" s="200" t="s">
        <v>17</v>
      </c>
      <c r="K47" s="201">
        <v>1360</v>
      </c>
      <c r="L47" s="202"/>
      <c r="M47" s="202"/>
      <c r="N47" s="199" t="str">
        <f t="shared" si="28"/>
        <v/>
      </c>
      <c r="O47" s="203" t="str">
        <f t="shared" si="29"/>
        <v>-</v>
      </c>
      <c r="P47" s="206">
        <f t="shared" si="30"/>
        <v>0</v>
      </c>
      <c r="Q47" s="208">
        <f t="shared" si="31"/>
        <v>0</v>
      </c>
      <c r="R47" s="205">
        <f t="shared" si="32"/>
        <v>1360</v>
      </c>
      <c r="S47" s="65">
        <f t="shared" si="33"/>
        <v>0</v>
      </c>
      <c r="T47" s="158">
        <f t="shared" si="9"/>
        <v>0</v>
      </c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  <c r="CJ47" s="169"/>
      <c r="CK47" s="169"/>
      <c r="CL47" s="169"/>
      <c r="CM47" s="169"/>
      <c r="CN47" s="169"/>
      <c r="CO47" s="169"/>
      <c r="CP47" s="169"/>
      <c r="CQ47" s="169"/>
      <c r="CR47" s="169"/>
      <c r="CS47" s="169"/>
      <c r="CT47" s="169"/>
      <c r="CU47" s="169"/>
      <c r="CV47" s="169"/>
      <c r="CW47" s="169"/>
      <c r="CX47" s="169"/>
      <c r="CY47" s="169"/>
      <c r="CZ47" s="169"/>
      <c r="DA47" s="169"/>
      <c r="DB47" s="169"/>
      <c r="DC47" s="169"/>
      <c r="DD47" s="169"/>
      <c r="DE47" s="169"/>
      <c r="DF47" s="169"/>
    </row>
    <row r="48" spans="2:110" x14ac:dyDescent="0.4">
      <c r="B48" s="485"/>
      <c r="C48" s="60">
        <v>73</v>
      </c>
      <c r="D48" s="327" t="s">
        <v>261</v>
      </c>
      <c r="E48" s="196">
        <v>45859</v>
      </c>
      <c r="F48" s="196">
        <v>45996</v>
      </c>
      <c r="G48" s="197">
        <f t="shared" si="17"/>
        <v>137</v>
      </c>
      <c r="H48" s="207">
        <f t="shared" si="26"/>
        <v>45859</v>
      </c>
      <c r="I48" s="207">
        <f t="shared" si="27"/>
        <v>45996</v>
      </c>
      <c r="J48" s="200" t="s">
        <v>17</v>
      </c>
      <c r="K48" s="201">
        <v>1360</v>
      </c>
      <c r="L48" s="202"/>
      <c r="M48" s="202"/>
      <c r="N48" s="199" t="str">
        <f t="shared" si="28"/>
        <v/>
      </c>
      <c r="O48" s="203" t="str">
        <f t="shared" si="29"/>
        <v>-</v>
      </c>
      <c r="P48" s="206">
        <f t="shared" si="30"/>
        <v>0</v>
      </c>
      <c r="Q48" s="208">
        <f t="shared" si="31"/>
        <v>0</v>
      </c>
      <c r="R48" s="205">
        <f t="shared" si="32"/>
        <v>1360</v>
      </c>
      <c r="S48" s="65">
        <f t="shared" si="33"/>
        <v>0</v>
      </c>
      <c r="T48" s="158">
        <f t="shared" si="9"/>
        <v>0</v>
      </c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</row>
    <row r="49" spans="2:110" x14ac:dyDescent="0.4">
      <c r="B49" s="485"/>
      <c r="C49" s="60">
        <v>74</v>
      </c>
      <c r="D49" s="327" t="s">
        <v>179</v>
      </c>
      <c r="E49" s="196">
        <f>E48+45</f>
        <v>45904</v>
      </c>
      <c r="F49" s="196">
        <v>46001</v>
      </c>
      <c r="G49" s="197">
        <f t="shared" si="17"/>
        <v>97</v>
      </c>
      <c r="H49" s="207">
        <f t="shared" si="26"/>
        <v>45904</v>
      </c>
      <c r="I49" s="207">
        <f t="shared" si="27"/>
        <v>46001</v>
      </c>
      <c r="J49" s="200" t="s">
        <v>17</v>
      </c>
      <c r="K49" s="201">
        <v>1360</v>
      </c>
      <c r="L49" s="202"/>
      <c r="M49" s="202"/>
      <c r="N49" s="199" t="str">
        <f t="shared" si="28"/>
        <v/>
      </c>
      <c r="O49" s="203" t="str">
        <f t="shared" si="29"/>
        <v>-</v>
      </c>
      <c r="P49" s="206">
        <f t="shared" si="30"/>
        <v>0</v>
      </c>
      <c r="Q49" s="208">
        <f t="shared" si="31"/>
        <v>0</v>
      </c>
      <c r="R49" s="205">
        <f t="shared" si="32"/>
        <v>1360</v>
      </c>
      <c r="S49" s="65">
        <f t="shared" si="33"/>
        <v>0</v>
      </c>
      <c r="T49" s="158">
        <f t="shared" si="9"/>
        <v>0</v>
      </c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169"/>
      <c r="BP49" s="169"/>
      <c r="BQ49" s="169"/>
      <c r="BR49" s="169"/>
      <c r="BS49" s="169"/>
      <c r="BT49" s="169"/>
      <c r="BU49" s="169"/>
      <c r="BV49" s="169"/>
      <c r="BW49" s="169"/>
      <c r="BX49" s="169"/>
      <c r="BY49" s="169"/>
      <c r="BZ49" s="169"/>
      <c r="CA49" s="169"/>
      <c r="CB49" s="169"/>
      <c r="CC49" s="169"/>
      <c r="CD49" s="169"/>
      <c r="CE49" s="169"/>
      <c r="CF49" s="169"/>
      <c r="CG49" s="169"/>
      <c r="CH49" s="169"/>
      <c r="CI49" s="169"/>
      <c r="CJ49" s="169"/>
      <c r="CK49" s="169"/>
      <c r="CL49" s="169"/>
      <c r="CM49" s="169"/>
      <c r="CN49" s="169"/>
      <c r="CO49" s="169"/>
      <c r="CP49" s="169"/>
      <c r="CQ49" s="169"/>
      <c r="CR49" s="169"/>
      <c r="CS49" s="169"/>
      <c r="CT49" s="169"/>
      <c r="CU49" s="169"/>
      <c r="CV49" s="169"/>
      <c r="CW49" s="169"/>
      <c r="CX49" s="169"/>
      <c r="CY49" s="169"/>
      <c r="CZ49" s="169"/>
      <c r="DA49" s="169"/>
      <c r="DB49" s="169"/>
      <c r="DC49" s="169"/>
      <c r="DD49" s="169"/>
      <c r="DE49" s="169"/>
      <c r="DF49" s="169"/>
    </row>
    <row r="50" spans="2:110" x14ac:dyDescent="0.4">
      <c r="B50" s="485"/>
      <c r="C50" s="60">
        <v>75</v>
      </c>
      <c r="D50" s="327" t="s">
        <v>262</v>
      </c>
      <c r="E50" s="196">
        <v>45889</v>
      </c>
      <c r="F50" s="196">
        <v>46017</v>
      </c>
      <c r="G50" s="197">
        <f t="shared" si="17"/>
        <v>128</v>
      </c>
      <c r="H50" s="207">
        <f t="shared" si="26"/>
        <v>45889</v>
      </c>
      <c r="I50" s="207">
        <f t="shared" si="27"/>
        <v>46017</v>
      </c>
      <c r="J50" s="200" t="s">
        <v>17</v>
      </c>
      <c r="K50" s="201">
        <v>1360</v>
      </c>
      <c r="L50" s="202"/>
      <c r="M50" s="202"/>
      <c r="N50" s="199" t="str">
        <f t="shared" si="28"/>
        <v/>
      </c>
      <c r="O50" s="203" t="str">
        <f t="shared" si="29"/>
        <v>-</v>
      </c>
      <c r="P50" s="206">
        <f t="shared" si="30"/>
        <v>0</v>
      </c>
      <c r="Q50" s="208">
        <f t="shared" si="31"/>
        <v>0</v>
      </c>
      <c r="R50" s="205">
        <f t="shared" si="32"/>
        <v>1360</v>
      </c>
      <c r="S50" s="65">
        <f t="shared" si="33"/>
        <v>0</v>
      </c>
      <c r="T50" s="158">
        <f t="shared" si="9"/>
        <v>0</v>
      </c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169"/>
      <c r="BP50" s="169"/>
      <c r="BQ50" s="169"/>
      <c r="BR50" s="169"/>
      <c r="BS50" s="169"/>
      <c r="BT50" s="169"/>
      <c r="BU50" s="169"/>
      <c r="BV50" s="169"/>
      <c r="BW50" s="169"/>
      <c r="BX50" s="169"/>
      <c r="BY50" s="169"/>
      <c r="BZ50" s="169"/>
      <c r="CA50" s="169"/>
      <c r="CB50" s="169"/>
      <c r="CC50" s="169"/>
      <c r="CD50" s="169"/>
      <c r="CE50" s="169"/>
      <c r="CF50" s="169"/>
      <c r="CG50" s="169"/>
      <c r="CH50" s="169"/>
      <c r="CI50" s="169"/>
      <c r="CJ50" s="169"/>
      <c r="CK50" s="169"/>
      <c r="CL50" s="169"/>
      <c r="CM50" s="169"/>
      <c r="CN50" s="169"/>
      <c r="CO50" s="169"/>
      <c r="CP50" s="169"/>
      <c r="CQ50" s="169"/>
      <c r="CR50" s="169"/>
      <c r="CS50" s="169"/>
      <c r="CT50" s="169"/>
      <c r="CU50" s="169"/>
      <c r="CV50" s="169"/>
      <c r="CW50" s="169"/>
      <c r="CX50" s="169"/>
      <c r="CY50" s="169"/>
      <c r="CZ50" s="169"/>
      <c r="DA50" s="169"/>
      <c r="DB50" s="169"/>
      <c r="DC50" s="169"/>
      <c r="DD50" s="169"/>
      <c r="DE50" s="169"/>
      <c r="DF50" s="169"/>
    </row>
    <row r="51" spans="2:110" x14ac:dyDescent="0.4">
      <c r="B51" s="485" t="s">
        <v>180</v>
      </c>
      <c r="C51" s="60">
        <v>76</v>
      </c>
      <c r="D51" s="327" t="s">
        <v>265</v>
      </c>
      <c r="E51" s="196">
        <v>45912</v>
      </c>
      <c r="F51" s="196">
        <v>45982</v>
      </c>
      <c r="G51" s="197">
        <f t="shared" si="17"/>
        <v>70</v>
      </c>
      <c r="H51" s="207">
        <f t="shared" si="26"/>
        <v>45912</v>
      </c>
      <c r="I51" s="207">
        <f t="shared" si="27"/>
        <v>45982</v>
      </c>
      <c r="J51" s="200" t="s">
        <v>107</v>
      </c>
      <c r="K51" s="201">
        <v>74</v>
      </c>
      <c r="L51" s="202"/>
      <c r="M51" s="202"/>
      <c r="N51" s="199" t="str">
        <f t="shared" si="28"/>
        <v/>
      </c>
      <c r="O51" s="203" t="str">
        <f t="shared" si="29"/>
        <v>-</v>
      </c>
      <c r="P51" s="206">
        <f t="shared" si="30"/>
        <v>0</v>
      </c>
      <c r="Q51" s="208">
        <f t="shared" si="31"/>
        <v>0</v>
      </c>
      <c r="R51" s="205">
        <f t="shared" si="32"/>
        <v>74</v>
      </c>
      <c r="S51" s="65">
        <f t="shared" si="33"/>
        <v>0</v>
      </c>
      <c r="T51" s="158">
        <f t="shared" si="9"/>
        <v>0</v>
      </c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169"/>
      <c r="BP51" s="169"/>
      <c r="BQ51" s="169"/>
      <c r="BR51" s="169"/>
      <c r="BS51" s="169"/>
      <c r="BT51" s="169"/>
      <c r="BU51" s="169"/>
      <c r="BV51" s="169"/>
      <c r="BW51" s="169"/>
      <c r="BX51" s="169"/>
      <c r="BY51" s="169"/>
      <c r="BZ51" s="169"/>
      <c r="CA51" s="169"/>
      <c r="CB51" s="169"/>
      <c r="CC51" s="169"/>
      <c r="CD51" s="169"/>
      <c r="CE51" s="169"/>
      <c r="CF51" s="169"/>
      <c r="CG51" s="169"/>
      <c r="CH51" s="169"/>
      <c r="CI51" s="169"/>
      <c r="CJ51" s="169"/>
      <c r="CK51" s="169"/>
      <c r="CL51" s="169"/>
      <c r="CM51" s="169"/>
      <c r="CN51" s="169"/>
      <c r="CO51" s="169"/>
      <c r="CP51" s="169"/>
      <c r="CQ51" s="169"/>
      <c r="CR51" s="169"/>
      <c r="CS51" s="169"/>
      <c r="CT51" s="169"/>
      <c r="CU51" s="169"/>
      <c r="CV51" s="169"/>
      <c r="CW51" s="169"/>
      <c r="CX51" s="169"/>
      <c r="CY51" s="169"/>
      <c r="CZ51" s="169"/>
      <c r="DA51" s="169"/>
      <c r="DB51" s="169"/>
      <c r="DC51" s="169"/>
      <c r="DD51" s="169"/>
      <c r="DE51" s="169"/>
      <c r="DF51" s="169"/>
    </row>
    <row r="52" spans="2:110" x14ac:dyDescent="0.4">
      <c r="B52" s="485"/>
      <c r="C52" s="60">
        <v>77</v>
      </c>
      <c r="D52" s="327" t="s">
        <v>181</v>
      </c>
      <c r="E52" s="196">
        <v>45912</v>
      </c>
      <c r="F52" s="196">
        <v>45982</v>
      </c>
      <c r="G52" s="197">
        <f t="shared" si="17"/>
        <v>70</v>
      </c>
      <c r="H52" s="207">
        <f t="shared" si="26"/>
        <v>45912</v>
      </c>
      <c r="I52" s="207">
        <f t="shared" si="27"/>
        <v>45982</v>
      </c>
      <c r="J52" s="200" t="s">
        <v>107</v>
      </c>
      <c r="K52" s="201">
        <v>26</v>
      </c>
      <c r="L52" s="202"/>
      <c r="M52" s="202"/>
      <c r="N52" s="199" t="str">
        <f t="shared" si="28"/>
        <v/>
      </c>
      <c r="O52" s="203" t="str">
        <f t="shared" si="29"/>
        <v>-</v>
      </c>
      <c r="P52" s="206">
        <f t="shared" si="30"/>
        <v>0</v>
      </c>
      <c r="Q52" s="208">
        <f t="shared" si="31"/>
        <v>0</v>
      </c>
      <c r="R52" s="205">
        <f t="shared" si="32"/>
        <v>26</v>
      </c>
      <c r="S52" s="65">
        <f t="shared" si="33"/>
        <v>0</v>
      </c>
      <c r="T52" s="158">
        <f t="shared" si="9"/>
        <v>0</v>
      </c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169"/>
      <c r="BP52" s="169"/>
      <c r="BQ52" s="169"/>
      <c r="BR52" s="169"/>
      <c r="BS52" s="169"/>
      <c r="BT52" s="169"/>
      <c r="BU52" s="169"/>
      <c r="BV52" s="169"/>
      <c r="BW52" s="169"/>
      <c r="BX52" s="169"/>
      <c r="BY52" s="169"/>
      <c r="BZ52" s="169"/>
      <c r="CA52" s="169"/>
      <c r="CB52" s="169"/>
      <c r="CC52" s="169"/>
      <c r="CD52" s="169"/>
      <c r="CE52" s="169"/>
      <c r="CF52" s="169"/>
      <c r="CG52" s="169"/>
      <c r="CH52" s="169"/>
      <c r="CI52" s="169"/>
      <c r="CJ52" s="169"/>
      <c r="CK52" s="169"/>
      <c r="CL52" s="169"/>
      <c r="CM52" s="169"/>
      <c r="CN52" s="169"/>
      <c r="CO52" s="169"/>
      <c r="CP52" s="169"/>
      <c r="CQ52" s="169"/>
      <c r="CR52" s="169"/>
      <c r="CS52" s="169"/>
      <c r="CT52" s="169"/>
      <c r="CU52" s="169"/>
      <c r="CV52" s="169"/>
      <c r="CW52" s="169"/>
      <c r="CX52" s="169"/>
      <c r="CY52" s="169"/>
      <c r="CZ52" s="169"/>
      <c r="DA52" s="169"/>
      <c r="DB52" s="169"/>
      <c r="DC52" s="169"/>
      <c r="DD52" s="169"/>
      <c r="DE52" s="169"/>
      <c r="DF52" s="169"/>
    </row>
    <row r="53" spans="2:110" x14ac:dyDescent="0.4">
      <c r="B53" s="485"/>
      <c r="C53" s="60">
        <v>78</v>
      </c>
      <c r="D53" s="327" t="s">
        <v>182</v>
      </c>
      <c r="E53" s="196">
        <v>45919</v>
      </c>
      <c r="F53" s="196">
        <v>45994</v>
      </c>
      <c r="G53" s="197">
        <f t="shared" si="17"/>
        <v>75</v>
      </c>
      <c r="H53" s="207">
        <f t="shared" si="26"/>
        <v>45919</v>
      </c>
      <c r="I53" s="207">
        <f t="shared" si="27"/>
        <v>45994</v>
      </c>
      <c r="J53" s="200" t="s">
        <v>107</v>
      </c>
      <c r="K53" s="201">
        <v>26</v>
      </c>
      <c r="L53" s="202"/>
      <c r="M53" s="202"/>
      <c r="N53" s="199" t="str">
        <f t="shared" si="28"/>
        <v/>
      </c>
      <c r="O53" s="203" t="str">
        <f t="shared" si="29"/>
        <v>-</v>
      </c>
      <c r="P53" s="206">
        <f t="shared" si="30"/>
        <v>0</v>
      </c>
      <c r="Q53" s="208">
        <f t="shared" si="31"/>
        <v>0</v>
      </c>
      <c r="R53" s="205">
        <f t="shared" si="32"/>
        <v>26</v>
      </c>
      <c r="S53" s="65">
        <f t="shared" si="33"/>
        <v>0</v>
      </c>
      <c r="T53" s="158">
        <f t="shared" si="9"/>
        <v>0</v>
      </c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169"/>
      <c r="BP53" s="169"/>
      <c r="BQ53" s="169"/>
      <c r="BR53" s="169"/>
      <c r="BS53" s="169"/>
      <c r="BT53" s="169"/>
      <c r="BU53" s="169"/>
      <c r="BV53" s="169"/>
      <c r="BW53" s="169"/>
      <c r="BX53" s="169"/>
      <c r="BY53" s="169"/>
      <c r="BZ53" s="169"/>
      <c r="CA53" s="169"/>
      <c r="CB53" s="169"/>
      <c r="CC53" s="169"/>
      <c r="CD53" s="169"/>
      <c r="CE53" s="169"/>
      <c r="CF53" s="169"/>
      <c r="CG53" s="169"/>
      <c r="CH53" s="169"/>
      <c r="CI53" s="169"/>
      <c r="CJ53" s="169"/>
      <c r="CK53" s="169"/>
      <c r="CL53" s="169"/>
      <c r="CM53" s="169"/>
      <c r="CN53" s="169"/>
      <c r="CO53" s="169"/>
      <c r="CP53" s="169"/>
      <c r="CQ53" s="169"/>
      <c r="CR53" s="169"/>
      <c r="CS53" s="169"/>
      <c r="CT53" s="169"/>
      <c r="CU53" s="169"/>
      <c r="CV53" s="169"/>
      <c r="CW53" s="169"/>
      <c r="CX53" s="169"/>
      <c r="CY53" s="169"/>
      <c r="CZ53" s="169"/>
      <c r="DA53" s="169"/>
      <c r="DB53" s="169"/>
      <c r="DC53" s="169"/>
      <c r="DD53" s="169"/>
      <c r="DE53" s="169"/>
      <c r="DF53" s="169"/>
    </row>
    <row r="54" spans="2:110" x14ac:dyDescent="0.4">
      <c r="B54" s="485"/>
      <c r="C54" s="60">
        <v>79</v>
      </c>
      <c r="D54" s="327" t="s">
        <v>183</v>
      </c>
      <c r="E54" s="196">
        <v>45919</v>
      </c>
      <c r="F54" s="196">
        <v>45959</v>
      </c>
      <c r="G54" s="197">
        <f t="shared" si="17"/>
        <v>40</v>
      </c>
      <c r="H54" s="207">
        <f t="shared" si="26"/>
        <v>45919</v>
      </c>
      <c r="I54" s="207">
        <f t="shared" si="27"/>
        <v>45959</v>
      </c>
      <c r="J54" s="200" t="s">
        <v>107</v>
      </c>
      <c r="K54" s="201">
        <v>26</v>
      </c>
      <c r="L54" s="202"/>
      <c r="M54" s="202"/>
      <c r="N54" s="199" t="str">
        <f t="shared" si="28"/>
        <v/>
      </c>
      <c r="O54" s="203" t="str">
        <f t="shared" si="29"/>
        <v>-</v>
      </c>
      <c r="P54" s="206">
        <f t="shared" si="30"/>
        <v>0</v>
      </c>
      <c r="Q54" s="208">
        <f t="shared" si="31"/>
        <v>0</v>
      </c>
      <c r="R54" s="205">
        <f t="shared" si="32"/>
        <v>26</v>
      </c>
      <c r="S54" s="65">
        <f t="shared" si="33"/>
        <v>0</v>
      </c>
      <c r="T54" s="158">
        <f t="shared" si="9"/>
        <v>0</v>
      </c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169"/>
      <c r="BP54" s="169"/>
      <c r="BQ54" s="169"/>
      <c r="BR54" s="169"/>
      <c r="BS54" s="169"/>
      <c r="BT54" s="169"/>
      <c r="BU54" s="169"/>
      <c r="BV54" s="169"/>
      <c r="BW54" s="169"/>
      <c r="BX54" s="169"/>
      <c r="BY54" s="169"/>
      <c r="BZ54" s="169"/>
      <c r="CA54" s="169"/>
      <c r="CB54" s="169"/>
      <c r="CC54" s="169"/>
      <c r="CD54" s="169"/>
      <c r="CE54" s="169"/>
      <c r="CF54" s="169"/>
      <c r="CG54" s="169"/>
      <c r="CH54" s="169"/>
      <c r="CI54" s="169"/>
      <c r="CJ54" s="169"/>
      <c r="CK54" s="169"/>
      <c r="CL54" s="169"/>
      <c r="CM54" s="169"/>
      <c r="CN54" s="169"/>
      <c r="CO54" s="169"/>
      <c r="CP54" s="169"/>
      <c r="CQ54" s="169"/>
      <c r="CR54" s="169"/>
      <c r="CS54" s="169"/>
      <c r="CT54" s="169"/>
      <c r="CU54" s="169"/>
      <c r="CV54" s="169"/>
      <c r="CW54" s="169"/>
      <c r="CX54" s="169"/>
      <c r="CY54" s="169"/>
      <c r="CZ54" s="169"/>
      <c r="DA54" s="169"/>
      <c r="DB54" s="169"/>
      <c r="DC54" s="169"/>
      <c r="DD54" s="169"/>
      <c r="DE54" s="169"/>
      <c r="DF54" s="169"/>
    </row>
    <row r="55" spans="2:110" x14ac:dyDescent="0.4">
      <c r="B55" s="485"/>
      <c r="C55" s="60">
        <v>80</v>
      </c>
      <c r="D55" s="327" t="s">
        <v>184</v>
      </c>
      <c r="E55" s="196">
        <v>45913</v>
      </c>
      <c r="F55" s="196">
        <v>45943</v>
      </c>
      <c r="G55" s="197">
        <f t="shared" si="17"/>
        <v>30</v>
      </c>
      <c r="H55" s="207">
        <f t="shared" si="26"/>
        <v>45913</v>
      </c>
      <c r="I55" s="207">
        <f t="shared" si="27"/>
        <v>45943</v>
      </c>
      <c r="J55" s="200" t="s">
        <v>107</v>
      </c>
      <c r="K55" s="201">
        <v>26</v>
      </c>
      <c r="L55" s="202"/>
      <c r="M55" s="202"/>
      <c r="N55" s="199" t="str">
        <f t="shared" si="28"/>
        <v/>
      </c>
      <c r="O55" s="203" t="str">
        <f t="shared" si="29"/>
        <v>-</v>
      </c>
      <c r="P55" s="206">
        <f t="shared" si="30"/>
        <v>0</v>
      </c>
      <c r="Q55" s="208">
        <f t="shared" si="31"/>
        <v>0</v>
      </c>
      <c r="R55" s="205">
        <f t="shared" si="32"/>
        <v>26</v>
      </c>
      <c r="S55" s="65">
        <f t="shared" si="33"/>
        <v>0</v>
      </c>
      <c r="T55" s="158">
        <f t="shared" ref="T55:T118" si="34">SUM(U55:CB55)</f>
        <v>0</v>
      </c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169"/>
      <c r="BP55" s="169"/>
      <c r="BQ55" s="169"/>
      <c r="BR55" s="169"/>
      <c r="BS55" s="169"/>
      <c r="BT55" s="169"/>
      <c r="BU55" s="169"/>
      <c r="BV55" s="169"/>
      <c r="BW55" s="169"/>
      <c r="BX55" s="169"/>
      <c r="BY55" s="169"/>
      <c r="BZ55" s="169"/>
      <c r="CA55" s="169"/>
      <c r="CB55" s="169"/>
      <c r="CC55" s="169"/>
      <c r="CD55" s="169"/>
      <c r="CE55" s="169"/>
      <c r="CF55" s="169"/>
      <c r="CG55" s="169"/>
      <c r="CH55" s="169"/>
      <c r="CI55" s="169"/>
      <c r="CJ55" s="169"/>
      <c r="CK55" s="169"/>
      <c r="CL55" s="169"/>
      <c r="CM55" s="169"/>
      <c r="CN55" s="169"/>
      <c r="CO55" s="169"/>
      <c r="CP55" s="169"/>
      <c r="CQ55" s="169"/>
      <c r="CR55" s="169"/>
      <c r="CS55" s="169"/>
      <c r="CT55" s="169"/>
      <c r="CU55" s="169"/>
      <c r="CV55" s="169"/>
      <c r="CW55" s="169"/>
      <c r="CX55" s="169"/>
      <c r="CY55" s="169"/>
      <c r="CZ55" s="169"/>
      <c r="DA55" s="169"/>
      <c r="DB55" s="169"/>
      <c r="DC55" s="169"/>
      <c r="DD55" s="169"/>
      <c r="DE55" s="169"/>
      <c r="DF55" s="169"/>
    </row>
    <row r="56" spans="2:110" x14ac:dyDescent="0.4">
      <c r="B56" s="485"/>
      <c r="C56" s="60">
        <v>82</v>
      </c>
      <c r="D56" s="327" t="s">
        <v>266</v>
      </c>
      <c r="E56" s="196">
        <v>45912</v>
      </c>
      <c r="F56" s="196">
        <v>45942</v>
      </c>
      <c r="G56" s="197">
        <f t="shared" si="17"/>
        <v>30</v>
      </c>
      <c r="H56" s="207">
        <f t="shared" si="26"/>
        <v>45912</v>
      </c>
      <c r="I56" s="207">
        <f t="shared" si="27"/>
        <v>45942</v>
      </c>
      <c r="J56" s="200" t="s">
        <v>107</v>
      </c>
      <c r="K56" s="201">
        <v>26</v>
      </c>
      <c r="L56" s="202"/>
      <c r="M56" s="202"/>
      <c r="N56" s="199" t="str">
        <f t="shared" si="28"/>
        <v/>
      </c>
      <c r="O56" s="203" t="str">
        <f t="shared" si="29"/>
        <v>-</v>
      </c>
      <c r="P56" s="206">
        <f t="shared" si="30"/>
        <v>0</v>
      </c>
      <c r="Q56" s="208">
        <f t="shared" si="31"/>
        <v>0</v>
      </c>
      <c r="R56" s="205">
        <f t="shared" si="32"/>
        <v>26</v>
      </c>
      <c r="S56" s="65">
        <f t="shared" ref="S56:S73" si="35">SUM(U56:XFD56)</f>
        <v>0</v>
      </c>
      <c r="T56" s="158">
        <f t="shared" si="34"/>
        <v>0</v>
      </c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169"/>
      <c r="BP56" s="169"/>
      <c r="BQ56" s="169"/>
      <c r="BR56" s="169"/>
      <c r="BS56" s="169"/>
      <c r="BT56" s="169"/>
      <c r="BU56" s="169"/>
      <c r="BV56" s="169"/>
      <c r="BW56" s="169"/>
      <c r="BX56" s="169"/>
      <c r="BY56" s="169"/>
      <c r="BZ56" s="169"/>
      <c r="CA56" s="169"/>
      <c r="CB56" s="169"/>
      <c r="CC56" s="169"/>
      <c r="CD56" s="169"/>
      <c r="CE56" s="169"/>
      <c r="CF56" s="169"/>
      <c r="CG56" s="169"/>
      <c r="CH56" s="169"/>
      <c r="CI56" s="169"/>
      <c r="CJ56" s="169"/>
      <c r="CK56" s="169"/>
      <c r="CL56" s="169"/>
      <c r="CM56" s="169"/>
      <c r="CN56" s="169"/>
      <c r="CO56" s="169"/>
      <c r="CP56" s="169"/>
      <c r="CQ56" s="169"/>
      <c r="CR56" s="169"/>
      <c r="CS56" s="169"/>
      <c r="CT56" s="169"/>
      <c r="CU56" s="169"/>
      <c r="CV56" s="169"/>
      <c r="CW56" s="169"/>
      <c r="CX56" s="169"/>
      <c r="CY56" s="169"/>
      <c r="CZ56" s="169"/>
      <c r="DA56" s="169"/>
      <c r="DB56" s="169"/>
      <c r="DC56" s="169"/>
      <c r="DD56" s="169"/>
      <c r="DE56" s="169"/>
      <c r="DF56" s="169"/>
    </row>
    <row r="57" spans="2:110" x14ac:dyDescent="0.4">
      <c r="B57" s="485"/>
      <c r="C57" s="60">
        <v>83</v>
      </c>
      <c r="D57" s="327" t="s">
        <v>186</v>
      </c>
      <c r="E57" s="196">
        <v>45940</v>
      </c>
      <c r="F57" s="196">
        <v>45991</v>
      </c>
      <c r="G57" s="197">
        <f t="shared" si="17"/>
        <v>51</v>
      </c>
      <c r="H57" s="207">
        <f t="shared" si="26"/>
        <v>45940</v>
      </c>
      <c r="I57" s="207">
        <f t="shared" si="27"/>
        <v>45991</v>
      </c>
      <c r="J57" s="200" t="s">
        <v>2</v>
      </c>
      <c r="K57" s="201">
        <v>26</v>
      </c>
      <c r="L57" s="202"/>
      <c r="M57" s="202"/>
      <c r="N57" s="199" t="str">
        <f t="shared" si="28"/>
        <v/>
      </c>
      <c r="O57" s="203" t="str">
        <f t="shared" si="29"/>
        <v>-</v>
      </c>
      <c r="P57" s="206">
        <f t="shared" si="30"/>
        <v>0</v>
      </c>
      <c r="Q57" s="208">
        <f t="shared" si="31"/>
        <v>0</v>
      </c>
      <c r="R57" s="205">
        <f t="shared" si="32"/>
        <v>26</v>
      </c>
      <c r="S57" s="65">
        <f t="shared" si="35"/>
        <v>0</v>
      </c>
      <c r="T57" s="158">
        <f t="shared" si="34"/>
        <v>0</v>
      </c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169"/>
      <c r="BP57" s="169"/>
      <c r="BQ57" s="169"/>
      <c r="BR57" s="169"/>
      <c r="BS57" s="169"/>
      <c r="BT57" s="169"/>
      <c r="BU57" s="169"/>
      <c r="BV57" s="169"/>
      <c r="BW57" s="169"/>
      <c r="BX57" s="169"/>
      <c r="BY57" s="169"/>
      <c r="BZ57" s="169"/>
      <c r="CA57" s="169"/>
      <c r="CB57" s="169"/>
      <c r="CC57" s="169"/>
      <c r="CD57" s="169"/>
      <c r="CE57" s="169"/>
      <c r="CF57" s="169"/>
      <c r="CG57" s="169"/>
      <c r="CH57" s="169"/>
      <c r="CI57" s="169"/>
      <c r="CJ57" s="169"/>
      <c r="CK57" s="169"/>
      <c r="CL57" s="169"/>
      <c r="CM57" s="169"/>
      <c r="CN57" s="169"/>
      <c r="CO57" s="169"/>
      <c r="CP57" s="169"/>
      <c r="CQ57" s="169"/>
      <c r="CR57" s="169"/>
      <c r="CS57" s="169"/>
      <c r="CT57" s="169"/>
      <c r="CU57" s="169"/>
      <c r="CV57" s="169"/>
      <c r="CW57" s="169"/>
      <c r="CX57" s="169"/>
      <c r="CY57" s="169"/>
      <c r="CZ57" s="169"/>
      <c r="DA57" s="169"/>
      <c r="DB57" s="169"/>
      <c r="DC57" s="169"/>
      <c r="DD57" s="169"/>
      <c r="DE57" s="169"/>
      <c r="DF57" s="169"/>
    </row>
    <row r="58" spans="2:110" x14ac:dyDescent="0.4">
      <c r="B58" s="485"/>
      <c r="C58" s="60">
        <v>84</v>
      </c>
      <c r="D58" s="327" t="s">
        <v>187</v>
      </c>
      <c r="E58" s="196">
        <v>45945</v>
      </c>
      <c r="F58" s="196">
        <v>45996</v>
      </c>
      <c r="G58" s="197">
        <f t="shared" si="17"/>
        <v>51</v>
      </c>
      <c r="H58" s="207">
        <f t="shared" si="26"/>
        <v>45945</v>
      </c>
      <c r="I58" s="207">
        <f t="shared" si="27"/>
        <v>45996</v>
      </c>
      <c r="J58" s="200" t="s">
        <v>2</v>
      </c>
      <c r="K58" s="201">
        <v>26</v>
      </c>
      <c r="L58" s="202"/>
      <c r="M58" s="202"/>
      <c r="N58" s="199" t="str">
        <f t="shared" si="28"/>
        <v/>
      </c>
      <c r="O58" s="203" t="str">
        <f t="shared" si="29"/>
        <v>-</v>
      </c>
      <c r="P58" s="206">
        <f t="shared" si="30"/>
        <v>0</v>
      </c>
      <c r="Q58" s="208">
        <f t="shared" si="31"/>
        <v>0</v>
      </c>
      <c r="R58" s="205">
        <f t="shared" si="32"/>
        <v>26</v>
      </c>
      <c r="S58" s="65">
        <f t="shared" si="35"/>
        <v>0</v>
      </c>
      <c r="T58" s="158">
        <f t="shared" si="34"/>
        <v>0</v>
      </c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169"/>
      <c r="BP58" s="169"/>
      <c r="BQ58" s="169"/>
      <c r="BR58" s="169"/>
      <c r="BS58" s="169"/>
      <c r="BT58" s="169"/>
      <c r="BU58" s="169"/>
      <c r="BV58" s="169"/>
      <c r="BW58" s="169"/>
      <c r="BX58" s="169"/>
      <c r="BY58" s="169"/>
      <c r="BZ58" s="169"/>
      <c r="CA58" s="169"/>
      <c r="CB58" s="169"/>
      <c r="CC58" s="169"/>
      <c r="CD58" s="169"/>
      <c r="CE58" s="169"/>
      <c r="CF58" s="169"/>
      <c r="CG58" s="169"/>
      <c r="CH58" s="169"/>
      <c r="CI58" s="169"/>
      <c r="CJ58" s="169"/>
      <c r="CK58" s="169"/>
      <c r="CL58" s="169"/>
      <c r="CM58" s="169"/>
      <c r="CN58" s="169"/>
      <c r="CO58" s="169"/>
      <c r="CP58" s="169"/>
      <c r="CQ58" s="169"/>
      <c r="CR58" s="169"/>
      <c r="CS58" s="169"/>
      <c r="CT58" s="169"/>
      <c r="CU58" s="169"/>
      <c r="CV58" s="169"/>
      <c r="CW58" s="169"/>
      <c r="CX58" s="169"/>
      <c r="CY58" s="169"/>
      <c r="CZ58" s="169"/>
      <c r="DA58" s="169"/>
      <c r="DB58" s="169"/>
      <c r="DC58" s="169"/>
      <c r="DD58" s="169"/>
      <c r="DE58" s="169"/>
      <c r="DF58" s="169"/>
    </row>
    <row r="59" spans="2:110" x14ac:dyDescent="0.4">
      <c r="B59" s="485"/>
      <c r="C59" s="60">
        <v>85</v>
      </c>
      <c r="D59" s="327" t="s">
        <v>188</v>
      </c>
      <c r="E59" s="196">
        <v>45931</v>
      </c>
      <c r="F59" s="196">
        <v>45979</v>
      </c>
      <c r="G59" s="197">
        <f t="shared" si="17"/>
        <v>48</v>
      </c>
      <c r="H59" s="196">
        <f t="shared" si="26"/>
        <v>45931</v>
      </c>
      <c r="I59" s="196">
        <f t="shared" si="27"/>
        <v>45979</v>
      </c>
      <c r="J59" s="200" t="s">
        <v>2</v>
      </c>
      <c r="K59" s="201">
        <v>26</v>
      </c>
      <c r="L59" s="202"/>
      <c r="M59" s="202"/>
      <c r="N59" s="199" t="str">
        <f t="shared" si="28"/>
        <v/>
      </c>
      <c r="O59" s="203" t="str">
        <f t="shared" si="29"/>
        <v>-</v>
      </c>
      <c r="P59" s="206">
        <f t="shared" si="30"/>
        <v>0</v>
      </c>
      <c r="Q59" s="208">
        <f t="shared" si="31"/>
        <v>0</v>
      </c>
      <c r="R59" s="205">
        <f t="shared" si="32"/>
        <v>26</v>
      </c>
      <c r="S59" s="65">
        <f t="shared" si="35"/>
        <v>0</v>
      </c>
      <c r="T59" s="158">
        <f t="shared" si="34"/>
        <v>0</v>
      </c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</row>
    <row r="60" spans="2:110" x14ac:dyDescent="0.4">
      <c r="B60" s="485"/>
      <c r="C60" s="60">
        <v>86</v>
      </c>
      <c r="D60" s="327" t="s">
        <v>16</v>
      </c>
      <c r="E60" s="196">
        <v>45935</v>
      </c>
      <c r="F60" s="196">
        <v>46021</v>
      </c>
      <c r="G60" s="197">
        <f t="shared" si="17"/>
        <v>86</v>
      </c>
      <c r="H60" s="196">
        <f t="shared" si="26"/>
        <v>45935</v>
      </c>
      <c r="I60" s="196">
        <f t="shared" si="27"/>
        <v>46021</v>
      </c>
      <c r="J60" s="200" t="s">
        <v>2</v>
      </c>
      <c r="K60" s="201">
        <v>26</v>
      </c>
      <c r="L60" s="202"/>
      <c r="M60" s="202"/>
      <c r="N60" s="199" t="str">
        <f t="shared" si="28"/>
        <v/>
      </c>
      <c r="O60" s="203" t="str">
        <f t="shared" si="29"/>
        <v>-</v>
      </c>
      <c r="P60" s="206">
        <f t="shared" si="30"/>
        <v>0</v>
      </c>
      <c r="Q60" s="208">
        <f t="shared" si="31"/>
        <v>0</v>
      </c>
      <c r="R60" s="205">
        <f t="shared" si="32"/>
        <v>26</v>
      </c>
      <c r="S60" s="65">
        <f t="shared" si="35"/>
        <v>0</v>
      </c>
      <c r="T60" s="158">
        <f t="shared" si="34"/>
        <v>0</v>
      </c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169"/>
      <c r="BP60" s="169"/>
      <c r="BQ60" s="169"/>
      <c r="BR60" s="169"/>
      <c r="BS60" s="169"/>
      <c r="BT60" s="169"/>
      <c r="BU60" s="169"/>
      <c r="BV60" s="169"/>
      <c r="BW60" s="169"/>
      <c r="BX60" s="169"/>
      <c r="BY60" s="169"/>
      <c r="BZ60" s="169"/>
      <c r="CA60" s="169"/>
      <c r="CB60" s="169"/>
      <c r="CC60" s="169"/>
      <c r="CD60" s="169"/>
      <c r="CE60" s="169"/>
      <c r="CF60" s="169"/>
      <c r="CG60" s="169"/>
      <c r="CH60" s="169"/>
      <c r="CI60" s="169"/>
      <c r="CJ60" s="169"/>
      <c r="CK60" s="169"/>
      <c r="CL60" s="169"/>
      <c r="CM60" s="169"/>
      <c r="CN60" s="169"/>
      <c r="CO60" s="169"/>
      <c r="CP60" s="169"/>
      <c r="CQ60" s="169"/>
      <c r="CR60" s="169"/>
      <c r="CS60" s="169"/>
      <c r="CT60" s="169"/>
      <c r="CU60" s="169"/>
      <c r="CV60" s="169"/>
      <c r="CW60" s="169"/>
      <c r="CX60" s="169"/>
      <c r="CY60" s="169"/>
      <c r="CZ60" s="169"/>
      <c r="DA60" s="169"/>
      <c r="DB60" s="169"/>
      <c r="DC60" s="169"/>
      <c r="DD60" s="169"/>
      <c r="DE60" s="169"/>
      <c r="DF60" s="169"/>
    </row>
    <row r="61" spans="2:110" x14ac:dyDescent="0.4">
      <c r="B61" s="485"/>
      <c r="C61" s="60">
        <v>87</v>
      </c>
      <c r="D61" s="327" t="s">
        <v>189</v>
      </c>
      <c r="E61" s="196">
        <v>45940</v>
      </c>
      <c r="F61" s="196">
        <v>46021</v>
      </c>
      <c r="G61" s="197">
        <f t="shared" si="17"/>
        <v>81</v>
      </c>
      <c r="H61" s="196">
        <f t="shared" si="26"/>
        <v>45940</v>
      </c>
      <c r="I61" s="196">
        <f t="shared" si="27"/>
        <v>46021</v>
      </c>
      <c r="J61" s="200" t="s">
        <v>2</v>
      </c>
      <c r="K61" s="201">
        <v>26</v>
      </c>
      <c r="L61" s="202"/>
      <c r="M61" s="202"/>
      <c r="N61" s="199" t="str">
        <f t="shared" si="28"/>
        <v/>
      </c>
      <c r="O61" s="203" t="str">
        <f t="shared" si="29"/>
        <v>-</v>
      </c>
      <c r="P61" s="206">
        <f t="shared" si="30"/>
        <v>0</v>
      </c>
      <c r="Q61" s="208">
        <f t="shared" si="31"/>
        <v>0</v>
      </c>
      <c r="R61" s="205">
        <f t="shared" si="32"/>
        <v>26</v>
      </c>
      <c r="S61" s="65">
        <f t="shared" si="35"/>
        <v>0</v>
      </c>
      <c r="T61" s="158">
        <f t="shared" si="34"/>
        <v>0</v>
      </c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169"/>
      <c r="BP61" s="169"/>
      <c r="BQ61" s="169"/>
      <c r="BR61" s="169"/>
      <c r="BS61" s="169"/>
      <c r="BT61" s="169"/>
      <c r="BU61" s="169"/>
      <c r="BV61" s="169"/>
      <c r="BW61" s="169"/>
      <c r="BX61" s="169"/>
      <c r="BY61" s="169"/>
      <c r="BZ61" s="169"/>
      <c r="CA61" s="169"/>
      <c r="CB61" s="169"/>
      <c r="CC61" s="169"/>
      <c r="CD61" s="169"/>
      <c r="CE61" s="169"/>
      <c r="CF61" s="169"/>
      <c r="CG61" s="169"/>
      <c r="CH61" s="169"/>
      <c r="CI61" s="169"/>
      <c r="CJ61" s="169"/>
      <c r="CK61" s="169"/>
      <c r="CL61" s="169"/>
      <c r="CM61" s="169"/>
      <c r="CN61" s="169"/>
      <c r="CO61" s="169"/>
      <c r="CP61" s="169"/>
      <c r="CQ61" s="169"/>
      <c r="CR61" s="169"/>
      <c r="CS61" s="169"/>
      <c r="CT61" s="169"/>
      <c r="CU61" s="169"/>
      <c r="CV61" s="169"/>
      <c r="CW61" s="169"/>
      <c r="CX61" s="169"/>
      <c r="CY61" s="169"/>
      <c r="CZ61" s="169"/>
      <c r="DA61" s="169"/>
      <c r="DB61" s="169"/>
      <c r="DC61" s="169"/>
      <c r="DD61" s="169"/>
      <c r="DE61" s="169"/>
      <c r="DF61" s="169"/>
    </row>
    <row r="62" spans="2:110" x14ac:dyDescent="0.4">
      <c r="B62" s="485"/>
      <c r="C62" s="60">
        <v>88</v>
      </c>
      <c r="D62" s="327" t="s">
        <v>179</v>
      </c>
      <c r="E62" s="196">
        <v>45986</v>
      </c>
      <c r="F62" s="196">
        <v>46027</v>
      </c>
      <c r="G62" s="197">
        <f t="shared" si="17"/>
        <v>41</v>
      </c>
      <c r="H62" s="196">
        <f t="shared" ref="H62:H91" si="36">E62</f>
        <v>45986</v>
      </c>
      <c r="I62" s="196">
        <f t="shared" ref="I62:I91" si="37">F62</f>
        <v>46027</v>
      </c>
      <c r="J62" s="200" t="s">
        <v>2</v>
      </c>
      <c r="K62" s="201">
        <v>26</v>
      </c>
      <c r="L62" s="202"/>
      <c r="M62" s="202"/>
      <c r="N62" s="199" t="str">
        <f t="shared" si="28"/>
        <v/>
      </c>
      <c r="O62" s="203" t="str">
        <f t="shared" si="29"/>
        <v>-</v>
      </c>
      <c r="P62" s="206">
        <f t="shared" si="30"/>
        <v>0</v>
      </c>
      <c r="Q62" s="208">
        <f t="shared" si="31"/>
        <v>0</v>
      </c>
      <c r="R62" s="205">
        <f t="shared" si="32"/>
        <v>26</v>
      </c>
      <c r="S62" s="65">
        <f t="shared" si="35"/>
        <v>0</v>
      </c>
      <c r="T62" s="158">
        <f t="shared" si="34"/>
        <v>0</v>
      </c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169"/>
      <c r="BP62" s="169"/>
      <c r="BQ62" s="169"/>
      <c r="BR62" s="169"/>
      <c r="BS62" s="169"/>
      <c r="BT62" s="169"/>
      <c r="BU62" s="169"/>
      <c r="BV62" s="169"/>
      <c r="BW62" s="169"/>
      <c r="BX62" s="169"/>
      <c r="BY62" s="169"/>
      <c r="BZ62" s="169"/>
      <c r="CA62" s="169"/>
      <c r="CB62" s="169"/>
      <c r="CC62" s="169"/>
      <c r="CD62" s="169"/>
      <c r="CE62" s="169"/>
      <c r="CF62" s="169"/>
      <c r="CG62" s="169"/>
      <c r="CH62" s="169"/>
      <c r="CI62" s="169"/>
      <c r="CJ62" s="169"/>
      <c r="CK62" s="169"/>
      <c r="CL62" s="169"/>
      <c r="CM62" s="169"/>
      <c r="CN62" s="169"/>
      <c r="CO62" s="169"/>
      <c r="CP62" s="169"/>
      <c r="CQ62" s="169"/>
      <c r="CR62" s="169"/>
      <c r="CS62" s="169"/>
      <c r="CT62" s="169"/>
      <c r="CU62" s="169"/>
      <c r="CV62" s="169"/>
      <c r="CW62" s="169"/>
      <c r="CX62" s="169"/>
      <c r="CY62" s="169"/>
      <c r="CZ62" s="169"/>
      <c r="DA62" s="169"/>
      <c r="DB62" s="169"/>
      <c r="DC62" s="169"/>
      <c r="DD62" s="169"/>
      <c r="DE62" s="169"/>
      <c r="DF62" s="169"/>
    </row>
    <row r="63" spans="2:110" x14ac:dyDescent="0.4">
      <c r="B63" s="485" t="s">
        <v>190</v>
      </c>
      <c r="C63" s="60">
        <v>89</v>
      </c>
      <c r="D63" s="327" t="s">
        <v>191</v>
      </c>
      <c r="E63" s="196">
        <v>45950</v>
      </c>
      <c r="F63" s="196">
        <v>45976</v>
      </c>
      <c r="G63" s="197">
        <f t="shared" si="17"/>
        <v>26</v>
      </c>
      <c r="H63" s="196">
        <f t="shared" si="36"/>
        <v>45950</v>
      </c>
      <c r="I63" s="196">
        <f t="shared" si="37"/>
        <v>45976</v>
      </c>
      <c r="J63" s="200" t="s">
        <v>11</v>
      </c>
      <c r="K63" s="201">
        <v>1</v>
      </c>
      <c r="L63" s="202"/>
      <c r="M63" s="202"/>
      <c r="N63" s="199" t="str">
        <f t="shared" si="28"/>
        <v/>
      </c>
      <c r="O63" s="203" t="str">
        <f t="shared" si="29"/>
        <v>-</v>
      </c>
      <c r="P63" s="206">
        <f t="shared" si="30"/>
        <v>0</v>
      </c>
      <c r="Q63" s="208">
        <f t="shared" si="31"/>
        <v>0</v>
      </c>
      <c r="R63" s="205">
        <f t="shared" si="32"/>
        <v>1</v>
      </c>
      <c r="S63" s="65">
        <f t="shared" si="35"/>
        <v>0</v>
      </c>
      <c r="T63" s="158">
        <f t="shared" si="34"/>
        <v>0</v>
      </c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169"/>
      <c r="BP63" s="169"/>
      <c r="BQ63" s="169"/>
      <c r="BR63" s="169"/>
      <c r="BS63" s="169"/>
      <c r="BT63" s="169"/>
      <c r="BU63" s="169"/>
      <c r="BV63" s="169"/>
      <c r="BW63" s="169"/>
      <c r="BX63" s="169"/>
      <c r="BY63" s="169"/>
      <c r="BZ63" s="169"/>
      <c r="CA63" s="169"/>
      <c r="CB63" s="169"/>
      <c r="CC63" s="169"/>
      <c r="CD63" s="169"/>
      <c r="CE63" s="169"/>
      <c r="CF63" s="169"/>
      <c r="CG63" s="169"/>
      <c r="CH63" s="169"/>
      <c r="CI63" s="169"/>
      <c r="CJ63" s="169"/>
      <c r="CK63" s="169"/>
      <c r="CL63" s="169"/>
      <c r="CM63" s="169"/>
      <c r="CN63" s="169"/>
      <c r="CO63" s="169"/>
      <c r="CP63" s="169"/>
      <c r="CQ63" s="169"/>
      <c r="CR63" s="169"/>
      <c r="CS63" s="169"/>
      <c r="CT63" s="169"/>
      <c r="CU63" s="169"/>
      <c r="CV63" s="169"/>
      <c r="CW63" s="169"/>
      <c r="CX63" s="169"/>
      <c r="CY63" s="169"/>
      <c r="CZ63" s="169"/>
      <c r="DA63" s="169"/>
      <c r="DB63" s="169"/>
      <c r="DC63" s="169"/>
      <c r="DD63" s="169"/>
      <c r="DE63" s="169"/>
      <c r="DF63" s="169"/>
    </row>
    <row r="64" spans="2:110" x14ac:dyDescent="0.4">
      <c r="B64" s="485"/>
      <c r="C64" s="60">
        <v>90</v>
      </c>
      <c r="D64" s="327" t="s">
        <v>192</v>
      </c>
      <c r="E64" s="196">
        <v>45919</v>
      </c>
      <c r="F64" s="196">
        <v>45959</v>
      </c>
      <c r="G64" s="197">
        <f t="shared" si="17"/>
        <v>40</v>
      </c>
      <c r="H64" s="196">
        <f t="shared" si="36"/>
        <v>45919</v>
      </c>
      <c r="I64" s="196">
        <f t="shared" si="37"/>
        <v>45959</v>
      </c>
      <c r="J64" s="200" t="s">
        <v>11</v>
      </c>
      <c r="K64" s="201">
        <v>1</v>
      </c>
      <c r="L64" s="202"/>
      <c r="M64" s="202"/>
      <c r="N64" s="199" t="str">
        <f t="shared" si="28"/>
        <v/>
      </c>
      <c r="O64" s="203" t="str">
        <f t="shared" si="29"/>
        <v>-</v>
      </c>
      <c r="P64" s="206">
        <f t="shared" si="30"/>
        <v>0</v>
      </c>
      <c r="Q64" s="208">
        <f t="shared" si="31"/>
        <v>0</v>
      </c>
      <c r="R64" s="205">
        <f t="shared" si="32"/>
        <v>1</v>
      </c>
      <c r="S64" s="65">
        <f t="shared" si="35"/>
        <v>0</v>
      </c>
      <c r="T64" s="158">
        <f t="shared" si="34"/>
        <v>0</v>
      </c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169"/>
      <c r="BP64" s="169"/>
      <c r="BQ64" s="169"/>
      <c r="BR64" s="169"/>
      <c r="BS64" s="169"/>
      <c r="BT64" s="169"/>
      <c r="BU64" s="169"/>
      <c r="BV64" s="169"/>
      <c r="BW64" s="169"/>
      <c r="BX64" s="169"/>
      <c r="BY64" s="169"/>
      <c r="BZ64" s="169"/>
      <c r="CA64" s="169"/>
      <c r="CB64" s="169"/>
      <c r="CC64" s="169"/>
      <c r="CD64" s="169"/>
      <c r="CE64" s="169"/>
      <c r="CF64" s="169"/>
      <c r="CG64" s="169"/>
      <c r="CH64" s="169"/>
      <c r="CI64" s="169"/>
      <c r="CJ64" s="169"/>
      <c r="CK64" s="169"/>
      <c r="CL64" s="169"/>
      <c r="CM64" s="169"/>
      <c r="CN64" s="169"/>
      <c r="CO64" s="169"/>
      <c r="CP64" s="169"/>
      <c r="CQ64" s="169"/>
      <c r="CR64" s="169"/>
      <c r="CS64" s="169"/>
      <c r="CT64" s="169"/>
      <c r="CU64" s="169"/>
      <c r="CV64" s="169"/>
      <c r="CW64" s="169"/>
      <c r="CX64" s="169"/>
      <c r="CY64" s="169"/>
      <c r="CZ64" s="169"/>
      <c r="DA64" s="169"/>
      <c r="DB64" s="169"/>
      <c r="DC64" s="169"/>
      <c r="DD64" s="169"/>
      <c r="DE64" s="169"/>
      <c r="DF64" s="169"/>
    </row>
    <row r="65" spans="2:110" x14ac:dyDescent="0.4">
      <c r="B65" s="485"/>
      <c r="C65" s="60">
        <v>91</v>
      </c>
      <c r="D65" s="327" t="s">
        <v>193</v>
      </c>
      <c r="E65" s="196">
        <v>45935</v>
      </c>
      <c r="F65" s="196">
        <v>45971</v>
      </c>
      <c r="G65" s="197">
        <f t="shared" si="17"/>
        <v>36</v>
      </c>
      <c r="H65" s="196">
        <f t="shared" si="36"/>
        <v>45935</v>
      </c>
      <c r="I65" s="196">
        <f t="shared" si="37"/>
        <v>45971</v>
      </c>
      <c r="J65" s="200" t="s">
        <v>11</v>
      </c>
      <c r="K65" s="201">
        <v>1</v>
      </c>
      <c r="L65" s="202"/>
      <c r="M65" s="202"/>
      <c r="N65" s="199" t="str">
        <f t="shared" si="28"/>
        <v/>
      </c>
      <c r="O65" s="203" t="str">
        <f t="shared" si="29"/>
        <v>-</v>
      </c>
      <c r="P65" s="206">
        <f t="shared" si="30"/>
        <v>0</v>
      </c>
      <c r="Q65" s="208">
        <f t="shared" si="31"/>
        <v>0</v>
      </c>
      <c r="R65" s="205">
        <f t="shared" si="32"/>
        <v>1</v>
      </c>
      <c r="S65" s="65">
        <f t="shared" si="35"/>
        <v>0</v>
      </c>
      <c r="T65" s="158">
        <f t="shared" si="34"/>
        <v>0</v>
      </c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169"/>
      <c r="BP65" s="169"/>
      <c r="BQ65" s="169"/>
      <c r="BR65" s="169"/>
      <c r="BS65" s="169"/>
      <c r="BT65" s="169"/>
      <c r="BU65" s="169"/>
      <c r="BV65" s="169"/>
      <c r="BW65" s="169"/>
      <c r="BX65" s="169"/>
      <c r="BY65" s="169"/>
      <c r="BZ65" s="169"/>
      <c r="CA65" s="169"/>
      <c r="CB65" s="169"/>
      <c r="CC65" s="169"/>
      <c r="CD65" s="169"/>
      <c r="CE65" s="169"/>
      <c r="CF65" s="169"/>
      <c r="CG65" s="169"/>
      <c r="CH65" s="169"/>
      <c r="CI65" s="169"/>
      <c r="CJ65" s="169"/>
      <c r="CK65" s="169"/>
      <c r="CL65" s="169"/>
      <c r="CM65" s="169"/>
      <c r="CN65" s="169"/>
      <c r="CO65" s="169"/>
      <c r="CP65" s="169"/>
      <c r="CQ65" s="169"/>
      <c r="CR65" s="169"/>
      <c r="CS65" s="169"/>
      <c r="CT65" s="169"/>
      <c r="CU65" s="169"/>
      <c r="CV65" s="169"/>
      <c r="CW65" s="169"/>
      <c r="CX65" s="169"/>
      <c r="CY65" s="169"/>
      <c r="CZ65" s="169"/>
      <c r="DA65" s="169"/>
      <c r="DB65" s="169"/>
      <c r="DC65" s="169"/>
      <c r="DD65" s="169"/>
      <c r="DE65" s="169"/>
      <c r="DF65" s="169"/>
    </row>
    <row r="66" spans="2:110" ht="29" x14ac:dyDescent="0.4">
      <c r="B66" s="485"/>
      <c r="C66" s="60">
        <v>92</v>
      </c>
      <c r="D66" s="327" t="s">
        <v>194</v>
      </c>
      <c r="E66" s="196">
        <v>45996</v>
      </c>
      <c r="F66" s="196">
        <v>46027</v>
      </c>
      <c r="G66" s="197">
        <f t="shared" si="17"/>
        <v>31</v>
      </c>
      <c r="H66" s="196">
        <f t="shared" si="36"/>
        <v>45996</v>
      </c>
      <c r="I66" s="196">
        <f t="shared" si="37"/>
        <v>46027</v>
      </c>
      <c r="J66" s="200" t="s">
        <v>11</v>
      </c>
      <c r="K66" s="201">
        <v>1</v>
      </c>
      <c r="L66" s="202"/>
      <c r="M66" s="202"/>
      <c r="N66" s="199" t="str">
        <f t="shared" si="28"/>
        <v/>
      </c>
      <c r="O66" s="203" t="str">
        <f t="shared" si="29"/>
        <v>-</v>
      </c>
      <c r="P66" s="206">
        <f t="shared" si="30"/>
        <v>0</v>
      </c>
      <c r="Q66" s="208">
        <f t="shared" si="31"/>
        <v>0</v>
      </c>
      <c r="R66" s="205">
        <f t="shared" si="32"/>
        <v>1</v>
      </c>
      <c r="S66" s="65">
        <f t="shared" si="35"/>
        <v>0</v>
      </c>
      <c r="T66" s="158">
        <f t="shared" si="34"/>
        <v>0</v>
      </c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169"/>
      <c r="BP66" s="169"/>
      <c r="BQ66" s="169"/>
      <c r="BR66" s="169"/>
      <c r="BS66" s="169"/>
      <c r="BT66" s="169"/>
      <c r="BU66" s="169"/>
      <c r="BV66" s="169"/>
      <c r="BW66" s="169"/>
      <c r="BX66" s="169"/>
      <c r="BY66" s="169"/>
      <c r="BZ66" s="169"/>
      <c r="CA66" s="169"/>
      <c r="CB66" s="169"/>
      <c r="CC66" s="169"/>
      <c r="CD66" s="169"/>
      <c r="CE66" s="169"/>
      <c r="CF66" s="169"/>
      <c r="CG66" s="169"/>
      <c r="CH66" s="169"/>
      <c r="CI66" s="169"/>
      <c r="CJ66" s="169"/>
      <c r="CK66" s="169"/>
      <c r="CL66" s="169"/>
      <c r="CM66" s="169"/>
      <c r="CN66" s="169"/>
      <c r="CO66" s="169"/>
      <c r="CP66" s="169"/>
      <c r="CQ66" s="169"/>
      <c r="CR66" s="169"/>
      <c r="CS66" s="169"/>
      <c r="CT66" s="169"/>
      <c r="CU66" s="169"/>
      <c r="CV66" s="169"/>
      <c r="CW66" s="169"/>
      <c r="CX66" s="169"/>
      <c r="CY66" s="169"/>
      <c r="CZ66" s="169"/>
      <c r="DA66" s="169"/>
      <c r="DB66" s="169"/>
      <c r="DC66" s="169"/>
      <c r="DD66" s="169"/>
      <c r="DE66" s="169"/>
      <c r="DF66" s="169"/>
    </row>
    <row r="67" spans="2:110" x14ac:dyDescent="0.4">
      <c r="B67" s="485"/>
      <c r="C67" s="60">
        <v>93</v>
      </c>
      <c r="D67" s="327" t="s">
        <v>431</v>
      </c>
      <c r="E67" s="196">
        <v>46024</v>
      </c>
      <c r="F67" s="196">
        <v>46042</v>
      </c>
      <c r="G67" s="197">
        <f t="shared" si="17"/>
        <v>18</v>
      </c>
      <c r="H67" s="196">
        <f t="shared" si="36"/>
        <v>46024</v>
      </c>
      <c r="I67" s="196">
        <f t="shared" si="37"/>
        <v>46042</v>
      </c>
      <c r="J67" s="200" t="s">
        <v>11</v>
      </c>
      <c r="K67" s="201">
        <v>1</v>
      </c>
      <c r="L67" s="202"/>
      <c r="M67" s="202"/>
      <c r="N67" s="199" t="str">
        <f t="shared" si="28"/>
        <v/>
      </c>
      <c r="O67" s="203" t="str">
        <f t="shared" si="29"/>
        <v>-</v>
      </c>
      <c r="P67" s="206">
        <f t="shared" si="30"/>
        <v>0</v>
      </c>
      <c r="Q67" s="208">
        <f t="shared" si="31"/>
        <v>0</v>
      </c>
      <c r="R67" s="205">
        <f t="shared" si="32"/>
        <v>1</v>
      </c>
      <c r="S67" s="65">
        <f t="shared" si="35"/>
        <v>0</v>
      </c>
      <c r="T67" s="158">
        <f t="shared" si="34"/>
        <v>0</v>
      </c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169"/>
      <c r="BP67" s="169"/>
      <c r="BQ67" s="169"/>
      <c r="BR67" s="169"/>
      <c r="BS67" s="169"/>
      <c r="BT67" s="169"/>
      <c r="BU67" s="169"/>
      <c r="BV67" s="169"/>
      <c r="BW67" s="169"/>
      <c r="BX67" s="169"/>
      <c r="BY67" s="169"/>
      <c r="BZ67" s="169"/>
      <c r="CA67" s="169"/>
      <c r="CB67" s="169"/>
      <c r="CC67" s="169"/>
      <c r="CD67" s="169"/>
      <c r="CE67" s="169"/>
      <c r="CF67" s="169"/>
      <c r="CG67" s="169"/>
      <c r="CH67" s="169"/>
      <c r="CI67" s="169"/>
      <c r="CJ67" s="169"/>
      <c r="CK67" s="169"/>
      <c r="CL67" s="169"/>
      <c r="CM67" s="169"/>
      <c r="CN67" s="169"/>
      <c r="CO67" s="169"/>
      <c r="CP67" s="169"/>
      <c r="CQ67" s="169"/>
      <c r="CR67" s="169"/>
      <c r="CS67" s="169"/>
      <c r="CT67" s="169"/>
      <c r="CU67" s="169"/>
      <c r="CV67" s="169"/>
      <c r="CW67" s="169"/>
      <c r="CX67" s="169"/>
      <c r="CY67" s="169"/>
      <c r="CZ67" s="169"/>
      <c r="DA67" s="169"/>
      <c r="DB67" s="169"/>
      <c r="DC67" s="169"/>
      <c r="DD67" s="169"/>
      <c r="DE67" s="169"/>
      <c r="DF67" s="169"/>
    </row>
    <row r="68" spans="2:110" ht="29" x14ac:dyDescent="0.4">
      <c r="B68" s="485"/>
      <c r="C68" s="60">
        <v>94</v>
      </c>
      <c r="D68" s="327" t="s">
        <v>196</v>
      </c>
      <c r="E68" s="196">
        <v>46016</v>
      </c>
      <c r="F68" s="196">
        <f>E68+8</f>
        <v>46024</v>
      </c>
      <c r="G68" s="197">
        <f t="shared" si="17"/>
        <v>8</v>
      </c>
      <c r="H68" s="196">
        <f t="shared" si="36"/>
        <v>46016</v>
      </c>
      <c r="I68" s="196">
        <f t="shared" si="37"/>
        <v>46024</v>
      </c>
      <c r="J68" s="200" t="s">
        <v>11</v>
      </c>
      <c r="K68" s="201">
        <v>1</v>
      </c>
      <c r="L68" s="202"/>
      <c r="M68" s="202"/>
      <c r="N68" s="199" t="str">
        <f t="shared" si="28"/>
        <v/>
      </c>
      <c r="O68" s="203" t="str">
        <f t="shared" si="29"/>
        <v>-</v>
      </c>
      <c r="P68" s="206">
        <f t="shared" si="30"/>
        <v>0</v>
      </c>
      <c r="Q68" s="208">
        <f t="shared" si="31"/>
        <v>0</v>
      </c>
      <c r="R68" s="205">
        <f t="shared" si="32"/>
        <v>1</v>
      </c>
      <c r="S68" s="65">
        <f t="shared" si="35"/>
        <v>0</v>
      </c>
      <c r="T68" s="158">
        <f t="shared" si="34"/>
        <v>0</v>
      </c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169"/>
      <c r="BP68" s="169"/>
      <c r="BQ68" s="169"/>
      <c r="BR68" s="169"/>
      <c r="BS68" s="169"/>
      <c r="BT68" s="169"/>
      <c r="BU68" s="169"/>
      <c r="BV68" s="169"/>
      <c r="BW68" s="169"/>
      <c r="BX68" s="169"/>
      <c r="BY68" s="169"/>
      <c r="BZ68" s="169"/>
      <c r="CA68" s="169"/>
      <c r="CB68" s="169"/>
      <c r="CC68" s="169"/>
      <c r="CD68" s="169"/>
      <c r="CE68" s="169"/>
      <c r="CF68" s="169"/>
      <c r="CG68" s="169"/>
      <c r="CH68" s="169"/>
      <c r="CI68" s="169"/>
      <c r="CJ68" s="169"/>
      <c r="CK68" s="169"/>
      <c r="CL68" s="169"/>
      <c r="CM68" s="169"/>
      <c r="CN68" s="169"/>
      <c r="CO68" s="169"/>
      <c r="CP68" s="169"/>
      <c r="CQ68" s="169"/>
      <c r="CR68" s="169"/>
      <c r="CS68" s="169"/>
      <c r="CT68" s="169"/>
      <c r="CU68" s="169"/>
      <c r="CV68" s="169"/>
      <c r="CW68" s="169"/>
      <c r="CX68" s="169"/>
      <c r="CY68" s="169"/>
      <c r="CZ68" s="169"/>
      <c r="DA68" s="169"/>
      <c r="DB68" s="169"/>
      <c r="DC68" s="169"/>
      <c r="DD68" s="169"/>
      <c r="DE68" s="169"/>
      <c r="DF68" s="169"/>
    </row>
    <row r="69" spans="2:110" ht="29" x14ac:dyDescent="0.4">
      <c r="B69" s="485"/>
      <c r="C69" s="60">
        <v>95</v>
      </c>
      <c r="D69" s="327" t="s">
        <v>197</v>
      </c>
      <c r="E69" s="196">
        <v>46011</v>
      </c>
      <c r="F69" s="196">
        <f>E69+8</f>
        <v>46019</v>
      </c>
      <c r="G69" s="197">
        <f t="shared" si="17"/>
        <v>8</v>
      </c>
      <c r="H69" s="196">
        <f t="shared" si="36"/>
        <v>46011</v>
      </c>
      <c r="I69" s="196">
        <f t="shared" si="37"/>
        <v>46019</v>
      </c>
      <c r="J69" s="200" t="s">
        <v>11</v>
      </c>
      <c r="K69" s="201">
        <v>1</v>
      </c>
      <c r="L69" s="202"/>
      <c r="M69" s="202"/>
      <c r="N69" s="199" t="str">
        <f t="shared" si="28"/>
        <v/>
      </c>
      <c r="O69" s="203" t="str">
        <f t="shared" si="29"/>
        <v>-</v>
      </c>
      <c r="P69" s="206">
        <f t="shared" si="30"/>
        <v>0</v>
      </c>
      <c r="Q69" s="208">
        <f t="shared" si="31"/>
        <v>0</v>
      </c>
      <c r="R69" s="205">
        <f t="shared" si="32"/>
        <v>1</v>
      </c>
      <c r="S69" s="65">
        <f t="shared" si="35"/>
        <v>0</v>
      </c>
      <c r="T69" s="158">
        <f t="shared" si="34"/>
        <v>0</v>
      </c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169"/>
      <c r="BP69" s="169"/>
      <c r="BQ69" s="169"/>
      <c r="BR69" s="169"/>
      <c r="BS69" s="169"/>
      <c r="BT69" s="169"/>
      <c r="BU69" s="169"/>
      <c r="BV69" s="169"/>
      <c r="BW69" s="169"/>
      <c r="BX69" s="169"/>
      <c r="BY69" s="169"/>
      <c r="BZ69" s="169"/>
      <c r="CA69" s="169"/>
      <c r="CB69" s="169"/>
      <c r="CC69" s="169"/>
      <c r="CD69" s="169"/>
      <c r="CE69" s="169"/>
      <c r="CF69" s="169"/>
      <c r="CG69" s="169"/>
      <c r="CH69" s="169"/>
      <c r="CI69" s="169"/>
      <c r="CJ69" s="169"/>
      <c r="CK69" s="169"/>
      <c r="CL69" s="169"/>
      <c r="CM69" s="169"/>
      <c r="CN69" s="169"/>
      <c r="CO69" s="169"/>
      <c r="CP69" s="169"/>
      <c r="CQ69" s="169"/>
      <c r="CR69" s="169"/>
      <c r="CS69" s="169"/>
      <c r="CT69" s="169"/>
      <c r="CU69" s="169"/>
      <c r="CV69" s="169"/>
      <c r="CW69" s="169"/>
      <c r="CX69" s="169"/>
      <c r="CY69" s="169"/>
      <c r="CZ69" s="169"/>
      <c r="DA69" s="169"/>
      <c r="DB69" s="169"/>
      <c r="DC69" s="169"/>
      <c r="DD69" s="169"/>
      <c r="DE69" s="169"/>
      <c r="DF69" s="169"/>
    </row>
    <row r="70" spans="2:110" x14ac:dyDescent="0.4">
      <c r="B70" s="485"/>
      <c r="C70" s="60">
        <v>96</v>
      </c>
      <c r="D70" s="327" t="s">
        <v>198</v>
      </c>
      <c r="E70" s="196">
        <f>F69</f>
        <v>46019</v>
      </c>
      <c r="F70" s="196">
        <f>E70+8</f>
        <v>46027</v>
      </c>
      <c r="G70" s="197">
        <f t="shared" si="17"/>
        <v>8</v>
      </c>
      <c r="H70" s="196">
        <f t="shared" si="36"/>
        <v>46019</v>
      </c>
      <c r="I70" s="196">
        <f t="shared" si="37"/>
        <v>46027</v>
      </c>
      <c r="J70" s="200" t="s">
        <v>11</v>
      </c>
      <c r="K70" s="201">
        <v>1</v>
      </c>
      <c r="L70" s="202"/>
      <c r="M70" s="202"/>
      <c r="N70" s="199" t="str">
        <f t="shared" si="28"/>
        <v/>
      </c>
      <c r="O70" s="203" t="str">
        <f t="shared" si="29"/>
        <v>-</v>
      </c>
      <c r="P70" s="206">
        <f t="shared" si="30"/>
        <v>0</v>
      </c>
      <c r="Q70" s="208">
        <f t="shared" si="31"/>
        <v>0</v>
      </c>
      <c r="R70" s="205">
        <f t="shared" si="32"/>
        <v>1</v>
      </c>
      <c r="S70" s="65">
        <f t="shared" si="35"/>
        <v>0</v>
      </c>
      <c r="T70" s="158">
        <f t="shared" si="34"/>
        <v>0</v>
      </c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169"/>
      <c r="BP70" s="169"/>
      <c r="BQ70" s="169"/>
      <c r="BR70" s="169"/>
      <c r="BS70" s="169"/>
      <c r="BT70" s="169"/>
      <c r="BU70" s="169"/>
      <c r="BV70" s="169"/>
      <c r="BW70" s="169"/>
      <c r="BX70" s="169"/>
      <c r="BY70" s="169"/>
      <c r="BZ70" s="169"/>
      <c r="CA70" s="169"/>
      <c r="CB70" s="169"/>
      <c r="CC70" s="169"/>
      <c r="CD70" s="169"/>
      <c r="CE70" s="169"/>
      <c r="CF70" s="169"/>
      <c r="CG70" s="169"/>
      <c r="CH70" s="169"/>
      <c r="CI70" s="169"/>
      <c r="CJ70" s="169"/>
      <c r="CK70" s="169"/>
      <c r="CL70" s="169"/>
      <c r="CM70" s="169"/>
      <c r="CN70" s="169"/>
      <c r="CO70" s="169"/>
      <c r="CP70" s="169"/>
      <c r="CQ70" s="169"/>
      <c r="CR70" s="169"/>
      <c r="CS70" s="169"/>
      <c r="CT70" s="169"/>
      <c r="CU70" s="169"/>
      <c r="CV70" s="169"/>
      <c r="CW70" s="169"/>
      <c r="CX70" s="169"/>
      <c r="CY70" s="169"/>
      <c r="CZ70" s="169"/>
      <c r="DA70" s="169"/>
      <c r="DB70" s="169"/>
      <c r="DC70" s="169"/>
      <c r="DD70" s="169"/>
      <c r="DE70" s="169"/>
      <c r="DF70" s="169"/>
    </row>
    <row r="71" spans="2:110" x14ac:dyDescent="0.4">
      <c r="B71" s="485"/>
      <c r="C71" s="60">
        <v>97</v>
      </c>
      <c r="D71" s="327" t="s">
        <v>199</v>
      </c>
      <c r="E71" s="196">
        <v>46016</v>
      </c>
      <c r="F71" s="196">
        <v>46027</v>
      </c>
      <c r="G71" s="197">
        <f t="shared" si="17"/>
        <v>11</v>
      </c>
      <c r="H71" s="196">
        <f t="shared" si="36"/>
        <v>46016</v>
      </c>
      <c r="I71" s="196">
        <f t="shared" si="37"/>
        <v>46027</v>
      </c>
      <c r="J71" s="200" t="s">
        <v>11</v>
      </c>
      <c r="K71" s="201">
        <v>1</v>
      </c>
      <c r="L71" s="202"/>
      <c r="M71" s="202"/>
      <c r="N71" s="199" t="str">
        <f t="shared" si="28"/>
        <v/>
      </c>
      <c r="O71" s="203" t="str">
        <f t="shared" si="29"/>
        <v>-</v>
      </c>
      <c r="P71" s="206">
        <f t="shared" si="30"/>
        <v>0</v>
      </c>
      <c r="Q71" s="208">
        <f t="shared" si="31"/>
        <v>0</v>
      </c>
      <c r="R71" s="205">
        <f t="shared" si="32"/>
        <v>1</v>
      </c>
      <c r="S71" s="65">
        <f t="shared" si="35"/>
        <v>0</v>
      </c>
      <c r="T71" s="158">
        <f t="shared" si="34"/>
        <v>0</v>
      </c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169"/>
      <c r="BP71" s="169"/>
      <c r="BQ71" s="169"/>
      <c r="BR71" s="169"/>
      <c r="BS71" s="169"/>
      <c r="BT71" s="169"/>
      <c r="BU71" s="169"/>
      <c r="BV71" s="169"/>
      <c r="BW71" s="169"/>
      <c r="BX71" s="169"/>
      <c r="BY71" s="169"/>
      <c r="BZ71" s="169"/>
      <c r="CA71" s="169"/>
      <c r="CB71" s="169"/>
      <c r="CC71" s="169"/>
      <c r="CD71" s="169"/>
      <c r="CE71" s="169"/>
      <c r="CF71" s="169"/>
      <c r="CG71" s="169"/>
      <c r="CH71" s="169"/>
      <c r="CI71" s="169"/>
      <c r="CJ71" s="169"/>
      <c r="CK71" s="169"/>
      <c r="CL71" s="169"/>
      <c r="CM71" s="169"/>
      <c r="CN71" s="169"/>
      <c r="CO71" s="169"/>
      <c r="CP71" s="169"/>
      <c r="CQ71" s="169"/>
      <c r="CR71" s="169"/>
      <c r="CS71" s="169"/>
      <c r="CT71" s="169"/>
      <c r="CU71" s="169"/>
      <c r="CV71" s="169"/>
      <c r="CW71" s="169"/>
      <c r="CX71" s="169"/>
      <c r="CY71" s="169"/>
      <c r="CZ71" s="169"/>
      <c r="DA71" s="169"/>
      <c r="DB71" s="169"/>
      <c r="DC71" s="169"/>
      <c r="DD71" s="169"/>
      <c r="DE71" s="169"/>
      <c r="DF71" s="169"/>
    </row>
    <row r="72" spans="2:110" x14ac:dyDescent="0.4">
      <c r="B72" s="485"/>
      <c r="C72" s="60">
        <v>98</v>
      </c>
      <c r="D72" s="327" t="s">
        <v>200</v>
      </c>
      <c r="E72" s="196">
        <f>F75</f>
        <v>46029</v>
      </c>
      <c r="F72" s="196">
        <f>E72+2</f>
        <v>46031</v>
      </c>
      <c r="G72" s="197">
        <f t="shared" si="17"/>
        <v>2</v>
      </c>
      <c r="H72" s="196">
        <f t="shared" si="36"/>
        <v>46029</v>
      </c>
      <c r="I72" s="196">
        <f t="shared" si="37"/>
        <v>46031</v>
      </c>
      <c r="J72" s="200" t="s">
        <v>11</v>
      </c>
      <c r="K72" s="201">
        <v>1</v>
      </c>
      <c r="L72" s="202"/>
      <c r="M72" s="202"/>
      <c r="N72" s="199" t="str">
        <f t="shared" si="28"/>
        <v/>
      </c>
      <c r="O72" s="203" t="str">
        <f t="shared" si="29"/>
        <v>-</v>
      </c>
      <c r="P72" s="206">
        <f t="shared" si="30"/>
        <v>0</v>
      </c>
      <c r="Q72" s="208">
        <f t="shared" si="31"/>
        <v>0</v>
      </c>
      <c r="R72" s="205">
        <f t="shared" si="32"/>
        <v>1</v>
      </c>
      <c r="S72" s="65">
        <f t="shared" si="35"/>
        <v>0</v>
      </c>
      <c r="T72" s="158">
        <f t="shared" si="34"/>
        <v>0</v>
      </c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169"/>
      <c r="BP72" s="169"/>
      <c r="BQ72" s="169"/>
      <c r="BR72" s="169"/>
      <c r="BS72" s="169"/>
      <c r="BT72" s="169"/>
      <c r="BU72" s="169"/>
      <c r="BV72" s="169"/>
      <c r="BW72" s="169"/>
      <c r="BX72" s="169"/>
      <c r="BY72" s="169"/>
      <c r="BZ72" s="169"/>
      <c r="CA72" s="169"/>
      <c r="CB72" s="169"/>
      <c r="CC72" s="169"/>
      <c r="CD72" s="169"/>
      <c r="CE72" s="169"/>
      <c r="CF72" s="169"/>
      <c r="CG72" s="169"/>
      <c r="CH72" s="169"/>
      <c r="CI72" s="169"/>
      <c r="CJ72" s="169"/>
      <c r="CK72" s="169"/>
      <c r="CL72" s="169"/>
      <c r="CM72" s="169"/>
      <c r="CN72" s="169"/>
      <c r="CO72" s="169"/>
      <c r="CP72" s="169"/>
      <c r="CQ72" s="169"/>
      <c r="CR72" s="169"/>
      <c r="CS72" s="169"/>
      <c r="CT72" s="169"/>
      <c r="CU72" s="169"/>
      <c r="CV72" s="169"/>
      <c r="CW72" s="169"/>
      <c r="CX72" s="169"/>
      <c r="CY72" s="169"/>
      <c r="CZ72" s="169"/>
      <c r="DA72" s="169"/>
      <c r="DB72" s="169"/>
      <c r="DC72" s="169"/>
      <c r="DD72" s="169"/>
      <c r="DE72" s="169"/>
      <c r="DF72" s="169"/>
    </row>
    <row r="73" spans="2:110" x14ac:dyDescent="0.4">
      <c r="B73" s="485"/>
      <c r="C73" s="60">
        <v>99</v>
      </c>
      <c r="D73" s="327" t="s">
        <v>186</v>
      </c>
      <c r="E73" s="196">
        <v>45966</v>
      </c>
      <c r="F73" s="196">
        <v>45996</v>
      </c>
      <c r="G73" s="197">
        <f t="shared" si="17"/>
        <v>30</v>
      </c>
      <c r="H73" s="196">
        <f t="shared" si="36"/>
        <v>45966</v>
      </c>
      <c r="I73" s="196">
        <f t="shared" si="37"/>
        <v>45996</v>
      </c>
      <c r="J73" s="200" t="s">
        <v>11</v>
      </c>
      <c r="K73" s="201">
        <v>1</v>
      </c>
      <c r="L73" s="202"/>
      <c r="M73" s="202"/>
      <c r="N73" s="199" t="str">
        <f t="shared" si="28"/>
        <v/>
      </c>
      <c r="O73" s="203" t="str">
        <f t="shared" si="29"/>
        <v>-</v>
      </c>
      <c r="P73" s="206">
        <f t="shared" si="30"/>
        <v>0</v>
      </c>
      <c r="Q73" s="208">
        <f t="shared" si="31"/>
        <v>0</v>
      </c>
      <c r="R73" s="205">
        <f t="shared" si="32"/>
        <v>1</v>
      </c>
      <c r="S73" s="65">
        <f t="shared" si="35"/>
        <v>0</v>
      </c>
      <c r="T73" s="158">
        <f t="shared" si="34"/>
        <v>0</v>
      </c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169"/>
      <c r="BP73" s="169"/>
      <c r="BQ73" s="169"/>
      <c r="BR73" s="169"/>
      <c r="BS73" s="169"/>
      <c r="BT73" s="169"/>
      <c r="BU73" s="169"/>
      <c r="BV73" s="169"/>
      <c r="BW73" s="169"/>
      <c r="BX73" s="169"/>
      <c r="BY73" s="169"/>
      <c r="BZ73" s="169"/>
      <c r="CA73" s="169"/>
      <c r="CB73" s="169"/>
      <c r="CC73" s="169"/>
      <c r="CD73" s="169"/>
      <c r="CE73" s="169"/>
      <c r="CF73" s="169"/>
      <c r="CG73" s="169"/>
      <c r="CH73" s="169"/>
      <c r="CI73" s="169"/>
      <c r="CJ73" s="169"/>
      <c r="CK73" s="169"/>
      <c r="CL73" s="169"/>
      <c r="CM73" s="169"/>
      <c r="CN73" s="169"/>
      <c r="CO73" s="169"/>
      <c r="CP73" s="169"/>
      <c r="CQ73" s="169"/>
      <c r="CR73" s="169"/>
      <c r="CS73" s="169"/>
      <c r="CT73" s="169"/>
      <c r="CU73" s="169"/>
      <c r="CV73" s="169"/>
      <c r="CW73" s="169"/>
      <c r="CX73" s="169"/>
      <c r="CY73" s="169"/>
      <c r="CZ73" s="169"/>
      <c r="DA73" s="169"/>
      <c r="DB73" s="169"/>
      <c r="DC73" s="169"/>
      <c r="DD73" s="169"/>
      <c r="DE73" s="169"/>
      <c r="DF73" s="169"/>
    </row>
    <row r="74" spans="2:110" x14ac:dyDescent="0.4">
      <c r="B74" s="485"/>
      <c r="C74" s="60">
        <v>100</v>
      </c>
      <c r="D74" s="327" t="s">
        <v>179</v>
      </c>
      <c r="E74" s="196">
        <v>46016</v>
      </c>
      <c r="F74" s="196">
        <f>E74+12</f>
        <v>46028</v>
      </c>
      <c r="G74" s="197">
        <f t="shared" si="17"/>
        <v>12</v>
      </c>
      <c r="H74" s="196">
        <f t="shared" si="36"/>
        <v>46016</v>
      </c>
      <c r="I74" s="196">
        <f t="shared" si="37"/>
        <v>46028</v>
      </c>
      <c r="J74" s="200" t="s">
        <v>11</v>
      </c>
      <c r="K74" s="201">
        <v>1</v>
      </c>
      <c r="L74" s="202"/>
      <c r="M74" s="202"/>
      <c r="N74" s="199" t="str">
        <f t="shared" ref="N74:N104" si="38">IF(OR(M74="",L74=""),"",INT(M74-L74+1))</f>
        <v/>
      </c>
      <c r="O74" s="203" t="str">
        <f t="shared" ref="O74:O104" si="39">IFERROR(K74/N74,"-")</f>
        <v>-</v>
      </c>
      <c r="P74" s="206">
        <f t="shared" ref="P74:P104" si="40">IFERROR(SUMIF($U$2:$AT$2,"&lt;="&amp;$D$1,U74:BN74)/K74,"-")</f>
        <v>0</v>
      </c>
      <c r="Q74" s="208">
        <f t="shared" ref="Q74:Q104" si="41">SUMIF($U$2:$AT$2,"&lt;="&amp;$D$1,U74:AT74)</f>
        <v>0</v>
      </c>
      <c r="R74" s="205">
        <f t="shared" ref="R74:R104" si="42">K74-Q74</f>
        <v>1</v>
      </c>
      <c r="S74" s="65">
        <f t="shared" ref="S74:S99" si="43">SUM(U74:XFD74)</f>
        <v>0</v>
      </c>
      <c r="T74" s="158">
        <f t="shared" si="34"/>
        <v>0</v>
      </c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169"/>
      <c r="BP74" s="169"/>
      <c r="BQ74" s="169"/>
      <c r="BR74" s="169"/>
      <c r="BS74" s="169"/>
      <c r="BT74" s="169"/>
      <c r="BU74" s="169"/>
      <c r="BV74" s="169"/>
      <c r="BW74" s="169"/>
      <c r="BX74" s="169"/>
      <c r="BY74" s="169"/>
      <c r="BZ74" s="169"/>
      <c r="CA74" s="169"/>
      <c r="CB74" s="169"/>
      <c r="CC74" s="169"/>
      <c r="CD74" s="169"/>
      <c r="CE74" s="169"/>
      <c r="CF74" s="169"/>
      <c r="CG74" s="169"/>
      <c r="CH74" s="169"/>
      <c r="CI74" s="169"/>
      <c r="CJ74" s="169"/>
      <c r="CK74" s="169"/>
      <c r="CL74" s="169"/>
      <c r="CM74" s="169"/>
      <c r="CN74" s="169"/>
      <c r="CO74" s="169"/>
      <c r="CP74" s="169"/>
      <c r="CQ74" s="169"/>
      <c r="CR74" s="169"/>
      <c r="CS74" s="169"/>
      <c r="CT74" s="169"/>
      <c r="CU74" s="169"/>
      <c r="CV74" s="169"/>
      <c r="CW74" s="169"/>
      <c r="CX74" s="169"/>
      <c r="CY74" s="169"/>
      <c r="CZ74" s="169"/>
      <c r="DA74" s="169"/>
      <c r="DB74" s="169"/>
      <c r="DC74" s="169"/>
      <c r="DD74" s="169"/>
      <c r="DE74" s="169"/>
      <c r="DF74" s="169"/>
    </row>
    <row r="75" spans="2:110" x14ac:dyDescent="0.4">
      <c r="B75" s="485"/>
      <c r="C75" s="60">
        <v>101</v>
      </c>
      <c r="D75" s="327" t="s">
        <v>201</v>
      </c>
      <c r="E75" s="196">
        <f>E74+1</f>
        <v>46017</v>
      </c>
      <c r="F75" s="196">
        <f>F74+1</f>
        <v>46029</v>
      </c>
      <c r="G75" s="197">
        <f t="shared" si="17"/>
        <v>12</v>
      </c>
      <c r="H75" s="196">
        <f t="shared" si="36"/>
        <v>46017</v>
      </c>
      <c r="I75" s="196">
        <f t="shared" si="37"/>
        <v>46029</v>
      </c>
      <c r="J75" s="200" t="s">
        <v>11</v>
      </c>
      <c r="K75" s="201">
        <v>1</v>
      </c>
      <c r="L75" s="202"/>
      <c r="M75" s="202"/>
      <c r="N75" s="199" t="str">
        <f t="shared" si="38"/>
        <v/>
      </c>
      <c r="O75" s="203" t="str">
        <f t="shared" si="39"/>
        <v>-</v>
      </c>
      <c r="P75" s="206">
        <f t="shared" si="40"/>
        <v>0</v>
      </c>
      <c r="Q75" s="208">
        <f t="shared" si="41"/>
        <v>0</v>
      </c>
      <c r="R75" s="205">
        <f t="shared" si="42"/>
        <v>1</v>
      </c>
      <c r="S75" s="65">
        <f t="shared" si="43"/>
        <v>0</v>
      </c>
      <c r="T75" s="158">
        <f t="shared" si="34"/>
        <v>0</v>
      </c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169"/>
      <c r="BP75" s="169"/>
      <c r="BQ75" s="169"/>
      <c r="BR75" s="169"/>
      <c r="BS75" s="169"/>
      <c r="BT75" s="169"/>
      <c r="BU75" s="169"/>
      <c r="BV75" s="169"/>
      <c r="BW75" s="169"/>
      <c r="BX75" s="169"/>
      <c r="BY75" s="169"/>
      <c r="BZ75" s="169"/>
      <c r="CA75" s="169"/>
      <c r="CB75" s="169"/>
      <c r="CC75" s="169"/>
      <c r="CD75" s="169"/>
      <c r="CE75" s="169"/>
      <c r="CF75" s="169"/>
      <c r="CG75" s="169"/>
      <c r="CH75" s="169"/>
      <c r="CI75" s="169"/>
      <c r="CJ75" s="169"/>
      <c r="CK75" s="169"/>
      <c r="CL75" s="169"/>
      <c r="CM75" s="169"/>
      <c r="CN75" s="169"/>
      <c r="CO75" s="169"/>
      <c r="CP75" s="169"/>
      <c r="CQ75" s="169"/>
      <c r="CR75" s="169"/>
      <c r="CS75" s="169"/>
      <c r="CT75" s="169"/>
      <c r="CU75" s="169"/>
      <c r="CV75" s="169"/>
      <c r="CW75" s="169"/>
      <c r="CX75" s="169"/>
      <c r="CY75" s="169"/>
      <c r="CZ75" s="169"/>
      <c r="DA75" s="169"/>
      <c r="DB75" s="169"/>
      <c r="DC75" s="169"/>
      <c r="DD75" s="169"/>
      <c r="DE75" s="169"/>
      <c r="DF75" s="169"/>
    </row>
    <row r="76" spans="2:110" x14ac:dyDescent="0.4">
      <c r="B76" s="485" t="s">
        <v>202</v>
      </c>
      <c r="C76" s="60">
        <v>102</v>
      </c>
      <c r="D76" s="327" t="s">
        <v>203</v>
      </c>
      <c r="E76" s="196">
        <v>45924</v>
      </c>
      <c r="F76" s="196">
        <v>45950</v>
      </c>
      <c r="G76" s="197">
        <f t="shared" si="17"/>
        <v>26</v>
      </c>
      <c r="H76" s="196">
        <f t="shared" si="36"/>
        <v>45924</v>
      </c>
      <c r="I76" s="196">
        <f t="shared" si="37"/>
        <v>45950</v>
      </c>
      <c r="J76" s="200" t="s">
        <v>2</v>
      </c>
      <c r="K76" s="201">
        <v>26</v>
      </c>
      <c r="L76" s="202"/>
      <c r="M76" s="202"/>
      <c r="N76" s="199" t="str">
        <f t="shared" si="38"/>
        <v/>
      </c>
      <c r="O76" s="203" t="str">
        <f t="shared" si="39"/>
        <v>-</v>
      </c>
      <c r="P76" s="206">
        <f t="shared" si="40"/>
        <v>0</v>
      </c>
      <c r="Q76" s="208">
        <f t="shared" si="41"/>
        <v>0</v>
      </c>
      <c r="R76" s="205">
        <f t="shared" si="42"/>
        <v>26</v>
      </c>
      <c r="S76" s="65">
        <f t="shared" si="43"/>
        <v>0</v>
      </c>
      <c r="T76" s="158">
        <f t="shared" si="34"/>
        <v>0</v>
      </c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169"/>
      <c r="BP76" s="169"/>
      <c r="BQ76" s="169"/>
      <c r="BR76" s="169"/>
      <c r="BS76" s="169"/>
      <c r="BT76" s="169"/>
      <c r="BU76" s="169"/>
      <c r="BV76" s="169"/>
      <c r="BW76" s="169"/>
      <c r="BX76" s="169"/>
      <c r="BY76" s="169"/>
      <c r="BZ76" s="169"/>
      <c r="CA76" s="169"/>
      <c r="CB76" s="169"/>
      <c r="CC76" s="169"/>
      <c r="CD76" s="169"/>
      <c r="CE76" s="169"/>
      <c r="CF76" s="169"/>
      <c r="CG76" s="169"/>
      <c r="CH76" s="169"/>
      <c r="CI76" s="169"/>
      <c r="CJ76" s="169"/>
      <c r="CK76" s="169"/>
      <c r="CL76" s="169"/>
      <c r="CM76" s="169"/>
      <c r="CN76" s="169"/>
      <c r="CO76" s="169"/>
      <c r="CP76" s="169"/>
      <c r="CQ76" s="169"/>
      <c r="CR76" s="169"/>
      <c r="CS76" s="169"/>
      <c r="CT76" s="169"/>
      <c r="CU76" s="169"/>
      <c r="CV76" s="169"/>
      <c r="CW76" s="169"/>
      <c r="CX76" s="169"/>
      <c r="CY76" s="169"/>
      <c r="CZ76" s="169"/>
      <c r="DA76" s="169"/>
      <c r="DB76" s="169"/>
      <c r="DC76" s="169"/>
      <c r="DD76" s="169"/>
      <c r="DE76" s="169"/>
      <c r="DF76" s="169"/>
    </row>
    <row r="77" spans="2:110" x14ac:dyDescent="0.4">
      <c r="B77" s="485"/>
      <c r="C77" s="60">
        <v>103</v>
      </c>
      <c r="D77" s="327" t="s">
        <v>205</v>
      </c>
      <c r="E77" s="196">
        <f>E76+5</f>
        <v>45929</v>
      </c>
      <c r="F77" s="196">
        <v>45981</v>
      </c>
      <c r="G77" s="197">
        <f t="shared" si="17"/>
        <v>52</v>
      </c>
      <c r="H77" s="196">
        <f t="shared" si="36"/>
        <v>45929</v>
      </c>
      <c r="I77" s="196">
        <f t="shared" si="37"/>
        <v>45981</v>
      </c>
      <c r="J77" s="200" t="s">
        <v>2</v>
      </c>
      <c r="K77" s="201">
        <v>26</v>
      </c>
      <c r="L77" s="202"/>
      <c r="M77" s="202"/>
      <c r="N77" s="199" t="str">
        <f t="shared" si="38"/>
        <v/>
      </c>
      <c r="O77" s="203" t="str">
        <f t="shared" si="39"/>
        <v>-</v>
      </c>
      <c r="P77" s="206">
        <f t="shared" si="40"/>
        <v>0</v>
      </c>
      <c r="Q77" s="208">
        <f t="shared" si="41"/>
        <v>0</v>
      </c>
      <c r="R77" s="205">
        <f t="shared" si="42"/>
        <v>26</v>
      </c>
      <c r="S77" s="65">
        <f t="shared" si="43"/>
        <v>0</v>
      </c>
      <c r="T77" s="158">
        <f t="shared" si="34"/>
        <v>0</v>
      </c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169"/>
      <c r="BP77" s="169"/>
      <c r="BQ77" s="169"/>
      <c r="BR77" s="169"/>
      <c r="BS77" s="169"/>
      <c r="BT77" s="169"/>
      <c r="BU77" s="169"/>
      <c r="BV77" s="169"/>
      <c r="BW77" s="169"/>
      <c r="BX77" s="169"/>
      <c r="BY77" s="169"/>
      <c r="BZ77" s="169"/>
      <c r="CA77" s="169"/>
      <c r="CB77" s="169"/>
      <c r="CC77" s="169"/>
      <c r="CD77" s="169"/>
      <c r="CE77" s="169"/>
      <c r="CF77" s="169"/>
      <c r="CG77" s="169"/>
      <c r="CH77" s="169"/>
      <c r="CI77" s="169"/>
      <c r="CJ77" s="169"/>
      <c r="CK77" s="169"/>
      <c r="CL77" s="169"/>
      <c r="CM77" s="169"/>
      <c r="CN77" s="169"/>
      <c r="CO77" s="169"/>
      <c r="CP77" s="169"/>
      <c r="CQ77" s="169"/>
      <c r="CR77" s="169"/>
      <c r="CS77" s="169"/>
      <c r="CT77" s="169"/>
      <c r="CU77" s="169"/>
      <c r="CV77" s="169"/>
      <c r="CW77" s="169"/>
      <c r="CX77" s="169"/>
      <c r="CY77" s="169"/>
      <c r="CZ77" s="169"/>
      <c r="DA77" s="169"/>
      <c r="DB77" s="169"/>
      <c r="DC77" s="169"/>
      <c r="DD77" s="169"/>
      <c r="DE77" s="169"/>
      <c r="DF77" s="169"/>
    </row>
    <row r="78" spans="2:110" x14ac:dyDescent="0.4">
      <c r="B78" s="485"/>
      <c r="C78" s="60">
        <v>104</v>
      </c>
      <c r="D78" s="327" t="s">
        <v>206</v>
      </c>
      <c r="E78" s="196">
        <f>E77+2</f>
        <v>45931</v>
      </c>
      <c r="F78" s="196">
        <f>F77+2</f>
        <v>45983</v>
      </c>
      <c r="G78" s="197">
        <f t="shared" si="17"/>
        <v>52</v>
      </c>
      <c r="H78" s="196">
        <f t="shared" si="36"/>
        <v>45931</v>
      </c>
      <c r="I78" s="196">
        <f t="shared" si="37"/>
        <v>45983</v>
      </c>
      <c r="J78" s="200" t="s">
        <v>2</v>
      </c>
      <c r="K78" s="201">
        <v>26</v>
      </c>
      <c r="L78" s="202"/>
      <c r="M78" s="202"/>
      <c r="N78" s="199" t="str">
        <f t="shared" si="38"/>
        <v/>
      </c>
      <c r="O78" s="203" t="str">
        <f t="shared" si="39"/>
        <v>-</v>
      </c>
      <c r="P78" s="206">
        <f t="shared" si="40"/>
        <v>0</v>
      </c>
      <c r="Q78" s="208">
        <f t="shared" si="41"/>
        <v>0</v>
      </c>
      <c r="R78" s="205">
        <f t="shared" si="42"/>
        <v>26</v>
      </c>
      <c r="S78" s="65">
        <f t="shared" si="43"/>
        <v>0</v>
      </c>
      <c r="T78" s="158">
        <f t="shared" si="34"/>
        <v>0</v>
      </c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169"/>
      <c r="BP78" s="169"/>
      <c r="BQ78" s="169"/>
      <c r="BR78" s="169"/>
      <c r="BS78" s="169"/>
      <c r="BT78" s="169"/>
      <c r="BU78" s="169"/>
      <c r="BV78" s="169"/>
      <c r="BW78" s="169"/>
      <c r="BX78" s="169"/>
      <c r="BY78" s="169"/>
      <c r="BZ78" s="169"/>
      <c r="CA78" s="169"/>
      <c r="CB78" s="169"/>
      <c r="CC78" s="169"/>
      <c r="CD78" s="169"/>
      <c r="CE78" s="169"/>
      <c r="CF78" s="169"/>
      <c r="CG78" s="169"/>
      <c r="CH78" s="169"/>
      <c r="CI78" s="169"/>
      <c r="CJ78" s="169"/>
      <c r="CK78" s="169"/>
      <c r="CL78" s="169"/>
      <c r="CM78" s="169"/>
      <c r="CN78" s="169"/>
      <c r="CO78" s="169"/>
      <c r="CP78" s="169"/>
      <c r="CQ78" s="169"/>
      <c r="CR78" s="169"/>
      <c r="CS78" s="169"/>
      <c r="CT78" s="169"/>
      <c r="CU78" s="169"/>
      <c r="CV78" s="169"/>
      <c r="CW78" s="169"/>
      <c r="CX78" s="169"/>
      <c r="CY78" s="169"/>
      <c r="CZ78" s="169"/>
      <c r="DA78" s="169"/>
      <c r="DB78" s="169"/>
      <c r="DC78" s="169"/>
      <c r="DD78" s="169"/>
      <c r="DE78" s="169"/>
      <c r="DF78" s="169"/>
    </row>
    <row r="79" spans="2:110" x14ac:dyDescent="0.4">
      <c r="B79" s="485" t="s">
        <v>207</v>
      </c>
      <c r="C79" s="60">
        <v>105</v>
      </c>
      <c r="D79" s="327" t="s">
        <v>208</v>
      </c>
      <c r="E79" s="196">
        <v>45889</v>
      </c>
      <c r="F79" s="196">
        <v>46047</v>
      </c>
      <c r="G79" s="197">
        <f t="shared" si="17"/>
        <v>158</v>
      </c>
      <c r="H79" s="196">
        <f t="shared" si="36"/>
        <v>45889</v>
      </c>
      <c r="I79" s="196">
        <f t="shared" si="37"/>
        <v>46047</v>
      </c>
      <c r="J79" s="200" t="s">
        <v>2</v>
      </c>
      <c r="K79" s="201">
        <v>26</v>
      </c>
      <c r="L79" s="202"/>
      <c r="M79" s="202"/>
      <c r="N79" s="199" t="str">
        <f t="shared" si="38"/>
        <v/>
      </c>
      <c r="O79" s="203" t="str">
        <f t="shared" si="39"/>
        <v>-</v>
      </c>
      <c r="P79" s="206">
        <f t="shared" si="40"/>
        <v>0</v>
      </c>
      <c r="Q79" s="208">
        <f t="shared" si="41"/>
        <v>0</v>
      </c>
      <c r="R79" s="205">
        <f t="shared" si="42"/>
        <v>26</v>
      </c>
      <c r="S79" s="65">
        <f t="shared" si="43"/>
        <v>0</v>
      </c>
      <c r="T79" s="158">
        <f t="shared" si="34"/>
        <v>0</v>
      </c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169"/>
      <c r="BP79" s="169"/>
      <c r="BQ79" s="169"/>
      <c r="BR79" s="169"/>
      <c r="BS79" s="169"/>
      <c r="BT79" s="169"/>
      <c r="BU79" s="169"/>
      <c r="BV79" s="169"/>
      <c r="BW79" s="169"/>
      <c r="BX79" s="169"/>
      <c r="BY79" s="169"/>
      <c r="BZ79" s="169"/>
      <c r="CA79" s="169"/>
      <c r="CB79" s="169"/>
      <c r="CC79" s="169"/>
      <c r="CD79" s="169"/>
      <c r="CE79" s="169"/>
      <c r="CF79" s="169"/>
      <c r="CG79" s="169"/>
      <c r="CH79" s="169"/>
      <c r="CI79" s="169"/>
      <c r="CJ79" s="169"/>
      <c r="CK79" s="169"/>
      <c r="CL79" s="169"/>
      <c r="CM79" s="169"/>
      <c r="CN79" s="169"/>
      <c r="CO79" s="169"/>
      <c r="CP79" s="169"/>
      <c r="CQ79" s="169"/>
      <c r="CR79" s="169"/>
      <c r="CS79" s="169"/>
      <c r="CT79" s="169"/>
      <c r="CU79" s="169"/>
      <c r="CV79" s="169"/>
      <c r="CW79" s="169"/>
      <c r="CX79" s="169"/>
      <c r="CY79" s="169"/>
      <c r="CZ79" s="169"/>
      <c r="DA79" s="169"/>
      <c r="DB79" s="169"/>
      <c r="DC79" s="169"/>
      <c r="DD79" s="169"/>
      <c r="DE79" s="169"/>
      <c r="DF79" s="169"/>
    </row>
    <row r="80" spans="2:110" x14ac:dyDescent="0.4">
      <c r="B80" s="485"/>
      <c r="C80" s="60">
        <v>106</v>
      </c>
      <c r="D80" s="327" t="s">
        <v>209</v>
      </c>
      <c r="E80" s="196">
        <f>E79</f>
        <v>45889</v>
      </c>
      <c r="F80" s="196">
        <f>F79</f>
        <v>46047</v>
      </c>
      <c r="G80" s="197">
        <f t="shared" si="17"/>
        <v>158</v>
      </c>
      <c r="H80" s="196">
        <f t="shared" si="36"/>
        <v>45889</v>
      </c>
      <c r="I80" s="196">
        <f t="shared" si="37"/>
        <v>46047</v>
      </c>
      <c r="J80" s="200" t="s">
        <v>2</v>
      </c>
      <c r="K80" s="201">
        <v>26</v>
      </c>
      <c r="L80" s="202"/>
      <c r="M80" s="202"/>
      <c r="N80" s="199" t="str">
        <f t="shared" si="38"/>
        <v/>
      </c>
      <c r="O80" s="203" t="str">
        <f t="shared" si="39"/>
        <v>-</v>
      </c>
      <c r="P80" s="206">
        <f t="shared" si="40"/>
        <v>0</v>
      </c>
      <c r="Q80" s="208">
        <f t="shared" si="41"/>
        <v>0</v>
      </c>
      <c r="R80" s="205">
        <f t="shared" si="42"/>
        <v>26</v>
      </c>
      <c r="S80" s="65">
        <f t="shared" si="43"/>
        <v>0</v>
      </c>
      <c r="T80" s="158">
        <f t="shared" si="34"/>
        <v>0</v>
      </c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169"/>
      <c r="BP80" s="169"/>
      <c r="BQ80" s="169"/>
      <c r="BR80" s="169"/>
      <c r="BS80" s="169"/>
      <c r="BT80" s="169"/>
      <c r="BU80" s="169"/>
      <c r="BV80" s="169"/>
      <c r="BW80" s="169"/>
      <c r="BX80" s="169"/>
      <c r="BY80" s="169"/>
      <c r="BZ80" s="169"/>
      <c r="CA80" s="169"/>
      <c r="CB80" s="169"/>
      <c r="CC80" s="169"/>
      <c r="CD80" s="169"/>
      <c r="CE80" s="169"/>
      <c r="CF80" s="169"/>
      <c r="CG80" s="169"/>
      <c r="CH80" s="169"/>
      <c r="CI80" s="169"/>
      <c r="CJ80" s="169"/>
      <c r="CK80" s="169"/>
      <c r="CL80" s="169"/>
      <c r="CM80" s="169"/>
      <c r="CN80" s="169"/>
      <c r="CO80" s="169"/>
      <c r="CP80" s="169"/>
      <c r="CQ80" s="169"/>
      <c r="CR80" s="169"/>
      <c r="CS80" s="169"/>
      <c r="CT80" s="169"/>
      <c r="CU80" s="169"/>
      <c r="CV80" s="169"/>
      <c r="CW80" s="169"/>
      <c r="CX80" s="169"/>
      <c r="CY80" s="169"/>
      <c r="CZ80" s="169"/>
      <c r="DA80" s="169"/>
      <c r="DB80" s="169"/>
      <c r="DC80" s="169"/>
      <c r="DD80" s="169"/>
      <c r="DE80" s="169"/>
      <c r="DF80" s="169"/>
    </row>
    <row r="81" spans="2:110" ht="29" x14ac:dyDescent="0.4">
      <c r="B81" s="485"/>
      <c r="C81" s="60">
        <v>107</v>
      </c>
      <c r="D81" s="327" t="s">
        <v>210</v>
      </c>
      <c r="E81" s="196">
        <f>E80</f>
        <v>45889</v>
      </c>
      <c r="F81" s="196">
        <f>F80</f>
        <v>46047</v>
      </c>
      <c r="G81" s="197">
        <f t="shared" si="17"/>
        <v>158</v>
      </c>
      <c r="H81" s="196">
        <f t="shared" si="36"/>
        <v>45889</v>
      </c>
      <c r="I81" s="196">
        <f t="shared" si="37"/>
        <v>46047</v>
      </c>
      <c r="J81" s="200" t="s">
        <v>2</v>
      </c>
      <c r="K81" s="201">
        <v>26</v>
      </c>
      <c r="L81" s="202"/>
      <c r="M81" s="202"/>
      <c r="N81" s="199" t="str">
        <f t="shared" si="38"/>
        <v/>
      </c>
      <c r="O81" s="203" t="str">
        <f t="shared" si="39"/>
        <v>-</v>
      </c>
      <c r="P81" s="206">
        <f t="shared" si="40"/>
        <v>0</v>
      </c>
      <c r="Q81" s="208">
        <f t="shared" si="41"/>
        <v>0</v>
      </c>
      <c r="R81" s="205">
        <f t="shared" si="42"/>
        <v>26</v>
      </c>
      <c r="S81" s="65">
        <f t="shared" si="43"/>
        <v>0</v>
      </c>
      <c r="T81" s="158">
        <f t="shared" si="34"/>
        <v>0</v>
      </c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169"/>
      <c r="BP81" s="169"/>
      <c r="BQ81" s="169"/>
      <c r="BR81" s="169"/>
      <c r="BS81" s="169"/>
      <c r="BT81" s="169"/>
      <c r="BU81" s="169"/>
      <c r="BV81" s="169"/>
      <c r="BW81" s="169"/>
      <c r="BX81" s="169"/>
      <c r="BY81" s="169"/>
      <c r="BZ81" s="169"/>
      <c r="CA81" s="169"/>
      <c r="CB81" s="169"/>
      <c r="CC81" s="169"/>
      <c r="CD81" s="169"/>
      <c r="CE81" s="169"/>
      <c r="CF81" s="169"/>
      <c r="CG81" s="169"/>
      <c r="CH81" s="169"/>
      <c r="CI81" s="169"/>
      <c r="CJ81" s="169"/>
      <c r="CK81" s="169"/>
      <c r="CL81" s="169"/>
      <c r="CM81" s="169"/>
      <c r="CN81" s="169"/>
      <c r="CO81" s="169"/>
      <c r="CP81" s="169"/>
      <c r="CQ81" s="169"/>
      <c r="CR81" s="169"/>
      <c r="CS81" s="169"/>
      <c r="CT81" s="169"/>
      <c r="CU81" s="169"/>
      <c r="CV81" s="169"/>
      <c r="CW81" s="169"/>
      <c r="CX81" s="169"/>
      <c r="CY81" s="169"/>
      <c r="CZ81" s="169"/>
      <c r="DA81" s="169"/>
      <c r="DB81" s="169"/>
      <c r="DC81" s="169"/>
      <c r="DD81" s="169"/>
      <c r="DE81" s="169"/>
      <c r="DF81" s="169"/>
    </row>
    <row r="82" spans="2:110" ht="29" x14ac:dyDescent="0.4">
      <c r="B82" s="485" t="s">
        <v>211</v>
      </c>
      <c r="C82" s="60">
        <v>108</v>
      </c>
      <c r="D82" s="327" t="s">
        <v>212</v>
      </c>
      <c r="E82" s="196">
        <v>45950</v>
      </c>
      <c r="F82" s="196">
        <f>F81</f>
        <v>46047</v>
      </c>
      <c r="G82" s="197">
        <f t="shared" si="17"/>
        <v>97</v>
      </c>
      <c r="H82" s="196">
        <f t="shared" si="36"/>
        <v>45950</v>
      </c>
      <c r="I82" s="196">
        <f t="shared" si="37"/>
        <v>46047</v>
      </c>
      <c r="J82" s="200" t="s">
        <v>2</v>
      </c>
      <c r="K82" s="201">
        <v>26</v>
      </c>
      <c r="L82" s="202"/>
      <c r="M82" s="202"/>
      <c r="N82" s="199" t="str">
        <f t="shared" si="38"/>
        <v/>
      </c>
      <c r="O82" s="203" t="str">
        <f t="shared" si="39"/>
        <v>-</v>
      </c>
      <c r="P82" s="206">
        <f t="shared" si="40"/>
        <v>0</v>
      </c>
      <c r="Q82" s="208">
        <f t="shared" si="41"/>
        <v>0</v>
      </c>
      <c r="R82" s="205">
        <f t="shared" si="42"/>
        <v>26</v>
      </c>
      <c r="S82" s="65">
        <f t="shared" si="43"/>
        <v>0</v>
      </c>
      <c r="T82" s="158">
        <f t="shared" si="34"/>
        <v>0</v>
      </c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</row>
    <row r="83" spans="2:110" x14ac:dyDescent="0.4">
      <c r="B83" s="485"/>
      <c r="C83" s="60">
        <v>109</v>
      </c>
      <c r="D83" s="327" t="s">
        <v>213</v>
      </c>
      <c r="E83" s="196">
        <v>45971</v>
      </c>
      <c r="F83" s="196">
        <v>46011</v>
      </c>
      <c r="G83" s="197">
        <f t="shared" si="17"/>
        <v>40</v>
      </c>
      <c r="H83" s="196">
        <f t="shared" si="36"/>
        <v>45971</v>
      </c>
      <c r="I83" s="196">
        <f t="shared" si="37"/>
        <v>46011</v>
      </c>
      <c r="J83" s="200" t="s">
        <v>2</v>
      </c>
      <c r="K83" s="201">
        <v>26</v>
      </c>
      <c r="L83" s="202"/>
      <c r="M83" s="202"/>
      <c r="N83" s="199" t="str">
        <f t="shared" si="38"/>
        <v/>
      </c>
      <c r="O83" s="203" t="str">
        <f t="shared" si="39"/>
        <v>-</v>
      </c>
      <c r="P83" s="206">
        <f t="shared" si="40"/>
        <v>0</v>
      </c>
      <c r="Q83" s="208">
        <f t="shared" si="41"/>
        <v>0</v>
      </c>
      <c r="R83" s="205">
        <f t="shared" si="42"/>
        <v>26</v>
      </c>
      <c r="S83" s="65">
        <f t="shared" si="43"/>
        <v>0</v>
      </c>
      <c r="T83" s="158">
        <f t="shared" si="34"/>
        <v>0</v>
      </c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169"/>
      <c r="BP83" s="169"/>
      <c r="BQ83" s="169"/>
      <c r="BR83" s="169"/>
      <c r="BS83" s="169"/>
      <c r="BT83" s="169"/>
      <c r="BU83" s="169"/>
      <c r="BV83" s="169"/>
      <c r="BW83" s="169"/>
      <c r="BX83" s="169"/>
      <c r="BY83" s="169"/>
      <c r="BZ83" s="169"/>
      <c r="CA83" s="169"/>
      <c r="CB83" s="169"/>
      <c r="CC83" s="169"/>
      <c r="CD83" s="169"/>
      <c r="CE83" s="169"/>
      <c r="CF83" s="169"/>
      <c r="CG83" s="169"/>
      <c r="CH83" s="169"/>
      <c r="CI83" s="169"/>
      <c r="CJ83" s="169"/>
      <c r="CK83" s="169"/>
      <c r="CL83" s="169"/>
      <c r="CM83" s="169"/>
      <c r="CN83" s="169"/>
      <c r="CO83" s="169"/>
      <c r="CP83" s="169"/>
      <c r="CQ83" s="169"/>
      <c r="CR83" s="169"/>
      <c r="CS83" s="169"/>
      <c r="CT83" s="169"/>
      <c r="CU83" s="169"/>
      <c r="CV83" s="169"/>
      <c r="CW83" s="169"/>
      <c r="CX83" s="169"/>
      <c r="CY83" s="169"/>
      <c r="CZ83" s="169"/>
      <c r="DA83" s="169"/>
      <c r="DB83" s="169"/>
      <c r="DC83" s="169"/>
      <c r="DD83" s="169"/>
      <c r="DE83" s="169"/>
      <c r="DF83" s="169"/>
    </row>
    <row r="84" spans="2:110" x14ac:dyDescent="0.4">
      <c r="B84" s="485"/>
      <c r="C84" s="60">
        <v>110</v>
      </c>
      <c r="D84" s="327" t="s">
        <v>214</v>
      </c>
      <c r="E84" s="196">
        <v>45971</v>
      </c>
      <c r="F84" s="196">
        <v>46011</v>
      </c>
      <c r="G84" s="197">
        <f t="shared" si="17"/>
        <v>40</v>
      </c>
      <c r="H84" s="196">
        <f t="shared" si="36"/>
        <v>45971</v>
      </c>
      <c r="I84" s="196">
        <f t="shared" si="37"/>
        <v>46011</v>
      </c>
      <c r="J84" s="200" t="s">
        <v>2</v>
      </c>
      <c r="K84" s="201">
        <v>26</v>
      </c>
      <c r="L84" s="202"/>
      <c r="M84" s="202"/>
      <c r="N84" s="199" t="str">
        <f t="shared" si="38"/>
        <v/>
      </c>
      <c r="O84" s="203" t="str">
        <f t="shared" si="39"/>
        <v>-</v>
      </c>
      <c r="P84" s="206">
        <f t="shared" si="40"/>
        <v>0</v>
      </c>
      <c r="Q84" s="208">
        <f t="shared" si="41"/>
        <v>0</v>
      </c>
      <c r="R84" s="205">
        <f t="shared" si="42"/>
        <v>26</v>
      </c>
      <c r="S84" s="65">
        <f t="shared" si="43"/>
        <v>0</v>
      </c>
      <c r="T84" s="158">
        <f t="shared" si="34"/>
        <v>0</v>
      </c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169"/>
      <c r="BP84" s="169"/>
      <c r="BQ84" s="169"/>
      <c r="BR84" s="169"/>
      <c r="BS84" s="169"/>
      <c r="BT84" s="169"/>
      <c r="BU84" s="169"/>
      <c r="BV84" s="169"/>
      <c r="BW84" s="169"/>
      <c r="BX84" s="169"/>
      <c r="BY84" s="169"/>
      <c r="BZ84" s="169"/>
      <c r="CA84" s="169"/>
      <c r="CB84" s="169"/>
      <c r="CC84" s="169"/>
      <c r="CD84" s="169"/>
      <c r="CE84" s="169"/>
      <c r="CF84" s="169"/>
      <c r="CG84" s="169"/>
      <c r="CH84" s="169"/>
      <c r="CI84" s="169"/>
      <c r="CJ84" s="169"/>
      <c r="CK84" s="169"/>
      <c r="CL84" s="169"/>
      <c r="CM84" s="169"/>
      <c r="CN84" s="169"/>
      <c r="CO84" s="169"/>
      <c r="CP84" s="169"/>
      <c r="CQ84" s="169"/>
      <c r="CR84" s="169"/>
      <c r="CS84" s="169"/>
      <c r="CT84" s="169"/>
      <c r="CU84" s="169"/>
      <c r="CV84" s="169"/>
      <c r="CW84" s="169"/>
      <c r="CX84" s="169"/>
      <c r="CY84" s="169"/>
      <c r="CZ84" s="169"/>
      <c r="DA84" s="169"/>
      <c r="DB84" s="169"/>
      <c r="DC84" s="169"/>
      <c r="DD84" s="169"/>
      <c r="DE84" s="169"/>
      <c r="DF84" s="169"/>
    </row>
    <row r="85" spans="2:110" x14ac:dyDescent="0.4">
      <c r="B85" s="485"/>
      <c r="C85" s="60">
        <v>111</v>
      </c>
      <c r="D85" s="327" t="s">
        <v>215</v>
      </c>
      <c r="E85" s="196">
        <v>45971</v>
      </c>
      <c r="F85" s="196">
        <v>46011</v>
      </c>
      <c r="G85" s="197">
        <f t="shared" si="17"/>
        <v>40</v>
      </c>
      <c r="H85" s="196">
        <f t="shared" si="36"/>
        <v>45971</v>
      </c>
      <c r="I85" s="196">
        <f t="shared" si="37"/>
        <v>46011</v>
      </c>
      <c r="J85" s="200" t="s">
        <v>2</v>
      </c>
      <c r="K85" s="201">
        <v>26</v>
      </c>
      <c r="L85" s="202"/>
      <c r="M85" s="202"/>
      <c r="N85" s="199" t="str">
        <f t="shared" si="38"/>
        <v/>
      </c>
      <c r="O85" s="203" t="str">
        <f t="shared" si="39"/>
        <v>-</v>
      </c>
      <c r="P85" s="206">
        <f t="shared" si="40"/>
        <v>0</v>
      </c>
      <c r="Q85" s="208">
        <f t="shared" si="41"/>
        <v>0</v>
      </c>
      <c r="R85" s="205">
        <f t="shared" si="42"/>
        <v>26</v>
      </c>
      <c r="S85" s="65">
        <f t="shared" si="43"/>
        <v>0</v>
      </c>
      <c r="T85" s="158">
        <f t="shared" si="34"/>
        <v>0</v>
      </c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169"/>
      <c r="BP85" s="169"/>
      <c r="BQ85" s="169"/>
      <c r="BR85" s="169"/>
      <c r="BS85" s="169"/>
      <c r="BT85" s="169"/>
      <c r="BU85" s="169"/>
      <c r="BV85" s="169"/>
      <c r="BW85" s="169"/>
      <c r="BX85" s="169"/>
      <c r="BY85" s="169"/>
      <c r="BZ85" s="169"/>
      <c r="CA85" s="169"/>
      <c r="CB85" s="169"/>
      <c r="CC85" s="169"/>
      <c r="CD85" s="169"/>
      <c r="CE85" s="169"/>
      <c r="CF85" s="169"/>
      <c r="CG85" s="169"/>
      <c r="CH85" s="169"/>
      <c r="CI85" s="169"/>
      <c r="CJ85" s="169"/>
      <c r="CK85" s="169"/>
      <c r="CL85" s="169"/>
      <c r="CM85" s="169"/>
      <c r="CN85" s="169"/>
      <c r="CO85" s="169"/>
      <c r="CP85" s="169"/>
      <c r="CQ85" s="169"/>
      <c r="CR85" s="169"/>
      <c r="CS85" s="169"/>
      <c r="CT85" s="169"/>
      <c r="CU85" s="169"/>
      <c r="CV85" s="169"/>
      <c r="CW85" s="169"/>
      <c r="CX85" s="169"/>
      <c r="CY85" s="169"/>
      <c r="CZ85" s="169"/>
      <c r="DA85" s="169"/>
      <c r="DB85" s="169"/>
      <c r="DC85" s="169"/>
      <c r="DD85" s="169"/>
      <c r="DE85" s="169"/>
      <c r="DF85" s="169"/>
    </row>
    <row r="86" spans="2:110" x14ac:dyDescent="0.4">
      <c r="B86" s="485"/>
      <c r="C86" s="60">
        <v>112</v>
      </c>
      <c r="D86" s="327" t="s">
        <v>216</v>
      </c>
      <c r="E86" s="196">
        <v>45971</v>
      </c>
      <c r="F86" s="196">
        <v>46011</v>
      </c>
      <c r="G86" s="197">
        <f t="shared" si="17"/>
        <v>40</v>
      </c>
      <c r="H86" s="196">
        <f t="shared" si="36"/>
        <v>45971</v>
      </c>
      <c r="I86" s="196">
        <f t="shared" si="37"/>
        <v>46011</v>
      </c>
      <c r="J86" s="200" t="s">
        <v>2</v>
      </c>
      <c r="K86" s="201">
        <v>26</v>
      </c>
      <c r="L86" s="202"/>
      <c r="M86" s="202"/>
      <c r="N86" s="199" t="str">
        <f t="shared" si="38"/>
        <v/>
      </c>
      <c r="O86" s="203" t="str">
        <f t="shared" si="39"/>
        <v>-</v>
      </c>
      <c r="P86" s="206">
        <f t="shared" si="40"/>
        <v>0</v>
      </c>
      <c r="Q86" s="208">
        <f t="shared" si="41"/>
        <v>0</v>
      </c>
      <c r="R86" s="205">
        <f t="shared" si="42"/>
        <v>26</v>
      </c>
      <c r="S86" s="65">
        <f t="shared" si="43"/>
        <v>0</v>
      </c>
      <c r="T86" s="158">
        <f t="shared" si="34"/>
        <v>0</v>
      </c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169"/>
      <c r="BP86" s="169"/>
      <c r="BQ86" s="169"/>
      <c r="BR86" s="169"/>
      <c r="BS86" s="169"/>
      <c r="BT86" s="169"/>
      <c r="BU86" s="169"/>
      <c r="BV86" s="169"/>
      <c r="BW86" s="169"/>
      <c r="BX86" s="169"/>
      <c r="BY86" s="169"/>
      <c r="BZ86" s="169"/>
      <c r="CA86" s="169"/>
      <c r="CB86" s="169"/>
      <c r="CC86" s="169"/>
      <c r="CD86" s="169"/>
      <c r="CE86" s="169"/>
      <c r="CF86" s="169"/>
      <c r="CG86" s="169"/>
      <c r="CH86" s="169"/>
      <c r="CI86" s="169"/>
      <c r="CJ86" s="169"/>
      <c r="CK86" s="169"/>
      <c r="CL86" s="169"/>
      <c r="CM86" s="169"/>
      <c r="CN86" s="169"/>
      <c r="CO86" s="169"/>
      <c r="CP86" s="169"/>
      <c r="CQ86" s="169"/>
      <c r="CR86" s="169"/>
      <c r="CS86" s="169"/>
      <c r="CT86" s="169"/>
      <c r="CU86" s="169"/>
      <c r="CV86" s="169"/>
      <c r="CW86" s="169"/>
      <c r="CX86" s="169"/>
      <c r="CY86" s="169"/>
      <c r="CZ86" s="169"/>
      <c r="DA86" s="169"/>
      <c r="DB86" s="169"/>
      <c r="DC86" s="169"/>
      <c r="DD86" s="169"/>
      <c r="DE86" s="169"/>
      <c r="DF86" s="169"/>
    </row>
    <row r="87" spans="2:110" x14ac:dyDescent="0.4">
      <c r="B87" s="485"/>
      <c r="C87" s="60">
        <v>113</v>
      </c>
      <c r="D87" s="327" t="s">
        <v>217</v>
      </c>
      <c r="E87" s="196">
        <v>45971</v>
      </c>
      <c r="F87" s="196">
        <v>46011</v>
      </c>
      <c r="G87" s="197">
        <f t="shared" si="17"/>
        <v>40</v>
      </c>
      <c r="H87" s="196">
        <f t="shared" si="36"/>
        <v>45971</v>
      </c>
      <c r="I87" s="196">
        <f t="shared" si="37"/>
        <v>46011</v>
      </c>
      <c r="J87" s="200" t="s">
        <v>2</v>
      </c>
      <c r="K87" s="201">
        <v>26</v>
      </c>
      <c r="L87" s="202"/>
      <c r="M87" s="202"/>
      <c r="N87" s="199" t="str">
        <f t="shared" si="38"/>
        <v/>
      </c>
      <c r="O87" s="203" t="str">
        <f t="shared" si="39"/>
        <v>-</v>
      </c>
      <c r="P87" s="206">
        <f t="shared" si="40"/>
        <v>0</v>
      </c>
      <c r="Q87" s="208">
        <f t="shared" si="41"/>
        <v>0</v>
      </c>
      <c r="R87" s="205">
        <f t="shared" si="42"/>
        <v>26</v>
      </c>
      <c r="S87" s="65">
        <f t="shared" si="43"/>
        <v>0</v>
      </c>
      <c r="T87" s="158">
        <f t="shared" si="34"/>
        <v>0</v>
      </c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169"/>
      <c r="BP87" s="169"/>
      <c r="BQ87" s="169"/>
      <c r="BR87" s="169"/>
      <c r="BS87" s="169"/>
      <c r="BT87" s="169"/>
      <c r="BU87" s="169"/>
      <c r="BV87" s="169"/>
      <c r="BW87" s="169"/>
      <c r="BX87" s="169"/>
      <c r="BY87" s="169"/>
      <c r="BZ87" s="169"/>
      <c r="CA87" s="169"/>
      <c r="CB87" s="169"/>
      <c r="CC87" s="169"/>
      <c r="CD87" s="169"/>
      <c r="CE87" s="169"/>
      <c r="CF87" s="169"/>
      <c r="CG87" s="169"/>
      <c r="CH87" s="169"/>
      <c r="CI87" s="169"/>
      <c r="CJ87" s="169"/>
      <c r="CK87" s="169"/>
      <c r="CL87" s="169"/>
      <c r="CM87" s="169"/>
      <c r="CN87" s="169"/>
      <c r="CO87" s="169"/>
      <c r="CP87" s="169"/>
      <c r="CQ87" s="169"/>
      <c r="CR87" s="169"/>
      <c r="CS87" s="169"/>
      <c r="CT87" s="169"/>
      <c r="CU87" s="169"/>
      <c r="CV87" s="169"/>
      <c r="CW87" s="169"/>
      <c r="CX87" s="169"/>
      <c r="CY87" s="169"/>
      <c r="CZ87" s="169"/>
      <c r="DA87" s="169"/>
      <c r="DB87" s="169"/>
      <c r="DC87" s="169"/>
      <c r="DD87" s="169"/>
      <c r="DE87" s="169"/>
      <c r="DF87" s="169"/>
    </row>
    <row r="88" spans="2:110" x14ac:dyDescent="0.4">
      <c r="B88" s="485"/>
      <c r="C88" s="60">
        <v>114</v>
      </c>
      <c r="D88" s="327" t="s">
        <v>218</v>
      </c>
      <c r="E88" s="196">
        <v>45971</v>
      </c>
      <c r="F88" s="196">
        <v>46011</v>
      </c>
      <c r="G88" s="197">
        <f t="shared" si="17"/>
        <v>40</v>
      </c>
      <c r="H88" s="196">
        <f t="shared" si="36"/>
        <v>45971</v>
      </c>
      <c r="I88" s="196">
        <f t="shared" si="37"/>
        <v>46011</v>
      </c>
      <c r="J88" s="200" t="s">
        <v>2</v>
      </c>
      <c r="K88" s="201">
        <v>26</v>
      </c>
      <c r="L88" s="202"/>
      <c r="M88" s="202"/>
      <c r="N88" s="199" t="str">
        <f t="shared" si="38"/>
        <v/>
      </c>
      <c r="O88" s="203" t="str">
        <f t="shared" si="39"/>
        <v>-</v>
      </c>
      <c r="P88" s="206">
        <f t="shared" si="40"/>
        <v>0</v>
      </c>
      <c r="Q88" s="208">
        <f t="shared" si="41"/>
        <v>0</v>
      </c>
      <c r="R88" s="205">
        <f t="shared" si="42"/>
        <v>26</v>
      </c>
      <c r="S88" s="65">
        <f t="shared" si="43"/>
        <v>0</v>
      </c>
      <c r="T88" s="158">
        <f t="shared" si="34"/>
        <v>0</v>
      </c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169"/>
      <c r="BP88" s="169"/>
      <c r="BQ88" s="169"/>
      <c r="BR88" s="169"/>
      <c r="BS88" s="169"/>
      <c r="BT88" s="169"/>
      <c r="BU88" s="169"/>
      <c r="BV88" s="169"/>
      <c r="BW88" s="169"/>
      <c r="BX88" s="169"/>
      <c r="BY88" s="169"/>
      <c r="BZ88" s="169"/>
      <c r="CA88" s="169"/>
      <c r="CB88" s="169"/>
      <c r="CC88" s="169"/>
      <c r="CD88" s="169"/>
      <c r="CE88" s="169"/>
      <c r="CF88" s="169"/>
      <c r="CG88" s="169"/>
      <c r="CH88" s="169"/>
      <c r="CI88" s="169"/>
      <c r="CJ88" s="169"/>
      <c r="CK88" s="169"/>
      <c r="CL88" s="169"/>
      <c r="CM88" s="169"/>
      <c r="CN88" s="169"/>
      <c r="CO88" s="169"/>
      <c r="CP88" s="169"/>
      <c r="CQ88" s="169"/>
      <c r="CR88" s="169"/>
      <c r="CS88" s="169"/>
      <c r="CT88" s="169"/>
      <c r="CU88" s="169"/>
      <c r="CV88" s="169"/>
      <c r="CW88" s="169"/>
      <c r="CX88" s="169"/>
      <c r="CY88" s="169"/>
      <c r="CZ88" s="169"/>
      <c r="DA88" s="169"/>
      <c r="DB88" s="169"/>
      <c r="DC88" s="169"/>
      <c r="DD88" s="169"/>
      <c r="DE88" s="169"/>
      <c r="DF88" s="169"/>
    </row>
    <row r="89" spans="2:110" x14ac:dyDescent="0.4">
      <c r="B89" s="485" t="s">
        <v>219</v>
      </c>
      <c r="C89" s="60">
        <v>115</v>
      </c>
      <c r="D89" s="327" t="s">
        <v>220</v>
      </c>
      <c r="E89" s="196">
        <f>E68+2</f>
        <v>46018</v>
      </c>
      <c r="F89" s="196">
        <f>F68+2</f>
        <v>46026</v>
      </c>
      <c r="G89" s="197">
        <f t="shared" si="17"/>
        <v>8</v>
      </c>
      <c r="H89" s="196">
        <f t="shared" si="36"/>
        <v>46018</v>
      </c>
      <c r="I89" s="196">
        <f t="shared" si="37"/>
        <v>46026</v>
      </c>
      <c r="J89" s="200" t="s">
        <v>11</v>
      </c>
      <c r="K89" s="201">
        <v>1</v>
      </c>
      <c r="L89" s="202"/>
      <c r="M89" s="202"/>
      <c r="N89" s="199" t="str">
        <f t="shared" si="38"/>
        <v/>
      </c>
      <c r="O89" s="203" t="str">
        <f t="shared" si="39"/>
        <v>-</v>
      </c>
      <c r="P89" s="206">
        <f t="shared" si="40"/>
        <v>0</v>
      </c>
      <c r="Q89" s="208">
        <f t="shared" si="41"/>
        <v>0</v>
      </c>
      <c r="R89" s="205">
        <f t="shared" si="42"/>
        <v>1</v>
      </c>
      <c r="S89" s="65">
        <f t="shared" si="43"/>
        <v>0</v>
      </c>
      <c r="T89" s="158">
        <f t="shared" si="34"/>
        <v>0</v>
      </c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169"/>
      <c r="BP89" s="169"/>
      <c r="BQ89" s="169"/>
      <c r="BR89" s="169"/>
      <c r="BS89" s="169"/>
      <c r="BT89" s="169"/>
      <c r="BU89" s="169"/>
      <c r="BV89" s="169"/>
      <c r="BW89" s="169"/>
      <c r="BX89" s="169"/>
      <c r="BY89" s="169"/>
      <c r="BZ89" s="169"/>
      <c r="CA89" s="169"/>
      <c r="CB89" s="169"/>
      <c r="CC89" s="169"/>
      <c r="CD89" s="169"/>
      <c r="CE89" s="169"/>
      <c r="CF89" s="169"/>
      <c r="CG89" s="169"/>
      <c r="CH89" s="169"/>
      <c r="CI89" s="169"/>
      <c r="CJ89" s="169"/>
      <c r="CK89" s="169"/>
      <c r="CL89" s="169"/>
      <c r="CM89" s="169"/>
      <c r="CN89" s="169"/>
      <c r="CO89" s="169"/>
      <c r="CP89" s="169"/>
      <c r="CQ89" s="169"/>
      <c r="CR89" s="169"/>
      <c r="CS89" s="169"/>
      <c r="CT89" s="169"/>
      <c r="CU89" s="169"/>
      <c r="CV89" s="169"/>
      <c r="CW89" s="169"/>
      <c r="CX89" s="169"/>
      <c r="CY89" s="169"/>
      <c r="CZ89" s="169"/>
      <c r="DA89" s="169"/>
      <c r="DB89" s="169"/>
      <c r="DC89" s="169"/>
      <c r="DD89" s="169"/>
      <c r="DE89" s="169"/>
      <c r="DF89" s="169"/>
    </row>
    <row r="90" spans="2:110" ht="29" x14ac:dyDescent="0.4">
      <c r="B90" s="485"/>
      <c r="C90" s="60">
        <v>116</v>
      </c>
      <c r="D90" s="327" t="s">
        <v>221</v>
      </c>
      <c r="E90" s="196">
        <f>E89</f>
        <v>46018</v>
      </c>
      <c r="F90" s="196">
        <f>F89</f>
        <v>46026</v>
      </c>
      <c r="G90" s="197">
        <f t="shared" si="17"/>
        <v>8</v>
      </c>
      <c r="H90" s="196">
        <f t="shared" si="36"/>
        <v>46018</v>
      </c>
      <c r="I90" s="196">
        <f t="shared" si="37"/>
        <v>46026</v>
      </c>
      <c r="J90" s="200" t="s">
        <v>11</v>
      </c>
      <c r="K90" s="201">
        <v>1</v>
      </c>
      <c r="L90" s="202"/>
      <c r="M90" s="202"/>
      <c r="N90" s="199" t="str">
        <f t="shared" si="38"/>
        <v/>
      </c>
      <c r="O90" s="203" t="str">
        <f t="shared" si="39"/>
        <v>-</v>
      </c>
      <c r="P90" s="206">
        <f t="shared" si="40"/>
        <v>0</v>
      </c>
      <c r="Q90" s="208">
        <f t="shared" si="41"/>
        <v>0</v>
      </c>
      <c r="R90" s="205">
        <f t="shared" si="42"/>
        <v>1</v>
      </c>
      <c r="S90" s="65">
        <f t="shared" si="43"/>
        <v>0</v>
      </c>
      <c r="T90" s="158">
        <f t="shared" si="34"/>
        <v>0</v>
      </c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169"/>
      <c r="BP90" s="169"/>
      <c r="BQ90" s="169"/>
      <c r="BR90" s="169"/>
      <c r="BS90" s="169"/>
      <c r="BT90" s="169"/>
      <c r="BU90" s="169"/>
      <c r="BV90" s="169"/>
      <c r="BW90" s="169"/>
      <c r="BX90" s="169"/>
      <c r="BY90" s="169"/>
      <c r="BZ90" s="169"/>
      <c r="CA90" s="169"/>
      <c r="CB90" s="169"/>
      <c r="CC90" s="169"/>
      <c r="CD90" s="169"/>
      <c r="CE90" s="169"/>
      <c r="CF90" s="169"/>
      <c r="CG90" s="169"/>
      <c r="CH90" s="169"/>
      <c r="CI90" s="169"/>
      <c r="CJ90" s="169"/>
      <c r="CK90" s="169"/>
      <c r="CL90" s="169"/>
      <c r="CM90" s="169"/>
      <c r="CN90" s="169"/>
      <c r="CO90" s="169"/>
      <c r="CP90" s="169"/>
      <c r="CQ90" s="169"/>
      <c r="CR90" s="169"/>
      <c r="CS90" s="169"/>
      <c r="CT90" s="169"/>
      <c r="CU90" s="169"/>
      <c r="CV90" s="169"/>
      <c r="CW90" s="169"/>
      <c r="CX90" s="169"/>
      <c r="CY90" s="169"/>
      <c r="CZ90" s="169"/>
      <c r="DA90" s="169"/>
      <c r="DB90" s="169"/>
      <c r="DC90" s="169"/>
      <c r="DD90" s="169"/>
      <c r="DE90" s="169"/>
      <c r="DF90" s="169"/>
    </row>
    <row r="91" spans="2:110" x14ac:dyDescent="0.4">
      <c r="B91" s="485"/>
      <c r="C91" s="60">
        <v>117</v>
      </c>
      <c r="D91" s="327" t="s">
        <v>222</v>
      </c>
      <c r="E91" s="196">
        <f>E90</f>
        <v>46018</v>
      </c>
      <c r="F91" s="196">
        <f>F90</f>
        <v>46026</v>
      </c>
      <c r="G91" s="197">
        <f t="shared" si="17"/>
        <v>8</v>
      </c>
      <c r="H91" s="196">
        <f t="shared" si="36"/>
        <v>46018</v>
      </c>
      <c r="I91" s="196">
        <f t="shared" si="37"/>
        <v>46026</v>
      </c>
      <c r="J91" s="200" t="s">
        <v>11</v>
      </c>
      <c r="K91" s="201">
        <v>1</v>
      </c>
      <c r="L91" s="202"/>
      <c r="M91" s="202"/>
      <c r="N91" s="199" t="str">
        <f t="shared" si="38"/>
        <v/>
      </c>
      <c r="O91" s="203" t="str">
        <f t="shared" si="39"/>
        <v>-</v>
      </c>
      <c r="P91" s="206">
        <f t="shared" si="40"/>
        <v>0</v>
      </c>
      <c r="Q91" s="208">
        <f t="shared" si="41"/>
        <v>0</v>
      </c>
      <c r="R91" s="205">
        <f t="shared" si="42"/>
        <v>1</v>
      </c>
      <c r="S91" s="65">
        <f t="shared" si="43"/>
        <v>0</v>
      </c>
      <c r="T91" s="158">
        <f t="shared" si="34"/>
        <v>0</v>
      </c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169"/>
      <c r="BP91" s="169"/>
      <c r="BQ91" s="169"/>
      <c r="BR91" s="169"/>
      <c r="BS91" s="169"/>
      <c r="BT91" s="169"/>
      <c r="BU91" s="169"/>
      <c r="BV91" s="169"/>
      <c r="BW91" s="169"/>
      <c r="BX91" s="169"/>
      <c r="BY91" s="169"/>
      <c r="BZ91" s="169"/>
      <c r="CA91" s="169"/>
      <c r="CB91" s="169"/>
      <c r="CC91" s="169"/>
      <c r="CD91" s="169"/>
      <c r="CE91" s="169"/>
      <c r="CF91" s="169"/>
      <c r="CG91" s="169"/>
      <c r="CH91" s="169"/>
      <c r="CI91" s="169"/>
      <c r="CJ91" s="169"/>
      <c r="CK91" s="169"/>
      <c r="CL91" s="169"/>
      <c r="CM91" s="169"/>
      <c r="CN91" s="169"/>
      <c r="CO91" s="169"/>
      <c r="CP91" s="169"/>
      <c r="CQ91" s="169"/>
      <c r="CR91" s="169"/>
      <c r="CS91" s="169"/>
      <c r="CT91" s="169"/>
      <c r="CU91" s="169"/>
      <c r="CV91" s="169"/>
      <c r="CW91" s="169"/>
      <c r="CX91" s="169"/>
      <c r="CY91" s="169"/>
      <c r="CZ91" s="169"/>
      <c r="DA91" s="169"/>
      <c r="DB91" s="169"/>
      <c r="DC91" s="169"/>
      <c r="DD91" s="169"/>
      <c r="DE91" s="169"/>
      <c r="DF91" s="169"/>
    </row>
    <row r="92" spans="2:110" x14ac:dyDescent="0.4">
      <c r="B92" s="485"/>
      <c r="C92" s="60">
        <v>118</v>
      </c>
      <c r="D92" s="327" t="s">
        <v>217</v>
      </c>
      <c r="E92" s="196">
        <v>45919</v>
      </c>
      <c r="F92" s="196">
        <v>46009</v>
      </c>
      <c r="G92" s="197">
        <f t="shared" ref="G92:G120" si="44">F92-E92</f>
        <v>90</v>
      </c>
      <c r="H92" s="196">
        <f>E92</f>
        <v>45919</v>
      </c>
      <c r="I92" s="196">
        <f>F92</f>
        <v>46009</v>
      </c>
      <c r="J92" s="200" t="s">
        <v>11</v>
      </c>
      <c r="K92" s="201">
        <v>1</v>
      </c>
      <c r="L92" s="202"/>
      <c r="M92" s="202"/>
      <c r="N92" s="199" t="str">
        <f t="shared" si="38"/>
        <v/>
      </c>
      <c r="O92" s="203" t="str">
        <f t="shared" si="39"/>
        <v>-</v>
      </c>
      <c r="P92" s="206">
        <f t="shared" si="40"/>
        <v>0</v>
      </c>
      <c r="Q92" s="208">
        <f t="shared" si="41"/>
        <v>0</v>
      </c>
      <c r="R92" s="205">
        <f t="shared" si="42"/>
        <v>1</v>
      </c>
      <c r="S92" s="65">
        <f t="shared" si="43"/>
        <v>0</v>
      </c>
      <c r="T92" s="158">
        <f t="shared" si="34"/>
        <v>0</v>
      </c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169"/>
      <c r="BP92" s="169"/>
      <c r="BQ92" s="169"/>
      <c r="BR92" s="169"/>
      <c r="BS92" s="169"/>
      <c r="BT92" s="169"/>
      <c r="BU92" s="169"/>
      <c r="BV92" s="169"/>
      <c r="BW92" s="169"/>
      <c r="BX92" s="169"/>
      <c r="BY92" s="169"/>
      <c r="BZ92" s="169"/>
      <c r="CA92" s="169"/>
      <c r="CB92" s="169"/>
      <c r="CC92" s="169"/>
      <c r="CD92" s="169"/>
      <c r="CE92" s="169"/>
      <c r="CF92" s="169"/>
      <c r="CG92" s="169"/>
      <c r="CH92" s="169"/>
      <c r="CI92" s="169"/>
      <c r="CJ92" s="169"/>
      <c r="CK92" s="169"/>
      <c r="CL92" s="169"/>
      <c r="CM92" s="169"/>
      <c r="CN92" s="169"/>
      <c r="CO92" s="169"/>
      <c r="CP92" s="169"/>
      <c r="CQ92" s="169"/>
      <c r="CR92" s="169"/>
      <c r="CS92" s="169"/>
      <c r="CT92" s="169"/>
      <c r="CU92" s="169"/>
      <c r="CV92" s="169"/>
      <c r="CW92" s="169"/>
      <c r="CX92" s="169"/>
      <c r="CY92" s="169"/>
      <c r="CZ92" s="169"/>
      <c r="DA92" s="169"/>
      <c r="DB92" s="169"/>
      <c r="DC92" s="169"/>
      <c r="DD92" s="169"/>
      <c r="DE92" s="169"/>
      <c r="DF92" s="169"/>
    </row>
    <row r="93" spans="2:110" x14ac:dyDescent="0.4">
      <c r="B93" s="485"/>
      <c r="C93" s="60">
        <v>119</v>
      </c>
      <c r="D93" s="327" t="s">
        <v>218</v>
      </c>
      <c r="E93" s="196">
        <v>45919</v>
      </c>
      <c r="F93" s="196">
        <v>46011</v>
      </c>
      <c r="G93" s="197">
        <f t="shared" si="44"/>
        <v>92</v>
      </c>
      <c r="H93" s="196">
        <f t="shared" ref="H93:H120" si="45">E93</f>
        <v>45919</v>
      </c>
      <c r="I93" s="196">
        <f t="shared" ref="I93:I120" si="46">F93</f>
        <v>46011</v>
      </c>
      <c r="J93" s="200" t="s">
        <v>11</v>
      </c>
      <c r="K93" s="201">
        <v>1</v>
      </c>
      <c r="L93" s="202"/>
      <c r="M93" s="202"/>
      <c r="N93" s="199" t="str">
        <f t="shared" si="38"/>
        <v/>
      </c>
      <c r="O93" s="203" t="str">
        <f t="shared" si="39"/>
        <v>-</v>
      </c>
      <c r="P93" s="206">
        <f t="shared" si="40"/>
        <v>0</v>
      </c>
      <c r="Q93" s="208">
        <f t="shared" si="41"/>
        <v>0</v>
      </c>
      <c r="R93" s="205">
        <f t="shared" si="42"/>
        <v>1</v>
      </c>
      <c r="S93" s="65">
        <f t="shared" si="43"/>
        <v>0</v>
      </c>
      <c r="T93" s="158">
        <f t="shared" si="34"/>
        <v>0</v>
      </c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169"/>
      <c r="BP93" s="169"/>
      <c r="BQ93" s="169"/>
      <c r="BR93" s="169"/>
      <c r="BS93" s="169"/>
      <c r="BT93" s="169"/>
      <c r="BU93" s="169"/>
      <c r="BV93" s="169"/>
      <c r="BW93" s="169"/>
      <c r="BX93" s="169"/>
      <c r="BY93" s="169"/>
      <c r="BZ93" s="169"/>
      <c r="CA93" s="169"/>
      <c r="CB93" s="169"/>
      <c r="CC93" s="169"/>
      <c r="CD93" s="169"/>
      <c r="CE93" s="169"/>
      <c r="CF93" s="169"/>
      <c r="CG93" s="169"/>
      <c r="CH93" s="169"/>
      <c r="CI93" s="169"/>
      <c r="CJ93" s="169"/>
      <c r="CK93" s="169"/>
      <c r="CL93" s="169"/>
      <c r="CM93" s="169"/>
      <c r="CN93" s="169"/>
      <c r="CO93" s="169"/>
      <c r="CP93" s="169"/>
      <c r="CQ93" s="169"/>
      <c r="CR93" s="169"/>
      <c r="CS93" s="169"/>
      <c r="CT93" s="169"/>
      <c r="CU93" s="169"/>
      <c r="CV93" s="169"/>
      <c r="CW93" s="169"/>
      <c r="CX93" s="169"/>
      <c r="CY93" s="169"/>
      <c r="CZ93" s="169"/>
      <c r="DA93" s="169"/>
      <c r="DB93" s="169"/>
      <c r="DC93" s="169"/>
      <c r="DD93" s="169"/>
      <c r="DE93" s="169"/>
      <c r="DF93" s="169"/>
    </row>
    <row r="94" spans="2:110" x14ac:dyDescent="0.4">
      <c r="B94" s="485" t="s">
        <v>223</v>
      </c>
      <c r="C94" s="60">
        <v>120</v>
      </c>
      <c r="D94" s="327" t="s">
        <v>224</v>
      </c>
      <c r="E94" s="196">
        <v>45940</v>
      </c>
      <c r="F94" s="196">
        <v>46006</v>
      </c>
      <c r="G94" s="197">
        <f t="shared" si="44"/>
        <v>66</v>
      </c>
      <c r="H94" s="196">
        <f t="shared" si="45"/>
        <v>45940</v>
      </c>
      <c r="I94" s="196">
        <f t="shared" si="46"/>
        <v>46006</v>
      </c>
      <c r="J94" s="200" t="s">
        <v>2</v>
      </c>
      <c r="K94" s="201">
        <v>26</v>
      </c>
      <c r="L94" s="202"/>
      <c r="M94" s="202"/>
      <c r="N94" s="199" t="str">
        <f t="shared" si="38"/>
        <v/>
      </c>
      <c r="O94" s="203" t="str">
        <f t="shared" si="39"/>
        <v>-</v>
      </c>
      <c r="P94" s="206">
        <f t="shared" si="40"/>
        <v>0</v>
      </c>
      <c r="Q94" s="208">
        <f t="shared" si="41"/>
        <v>0</v>
      </c>
      <c r="R94" s="205">
        <f t="shared" si="42"/>
        <v>26</v>
      </c>
      <c r="S94" s="65">
        <f t="shared" si="43"/>
        <v>0</v>
      </c>
      <c r="T94" s="158">
        <f t="shared" si="34"/>
        <v>0</v>
      </c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169"/>
      <c r="BP94" s="169"/>
      <c r="BQ94" s="169"/>
      <c r="BR94" s="169"/>
      <c r="BS94" s="169"/>
      <c r="BT94" s="169"/>
      <c r="BU94" s="169"/>
      <c r="BV94" s="169"/>
      <c r="BW94" s="169"/>
      <c r="BX94" s="169"/>
      <c r="BY94" s="169"/>
      <c r="BZ94" s="169"/>
      <c r="CA94" s="169"/>
      <c r="CB94" s="169"/>
      <c r="CC94" s="169"/>
      <c r="CD94" s="169"/>
      <c r="CE94" s="169"/>
      <c r="CF94" s="169"/>
      <c r="CG94" s="169"/>
      <c r="CH94" s="169"/>
      <c r="CI94" s="169"/>
      <c r="CJ94" s="169"/>
      <c r="CK94" s="169"/>
      <c r="CL94" s="169"/>
      <c r="CM94" s="169"/>
      <c r="CN94" s="169"/>
      <c r="CO94" s="169"/>
      <c r="CP94" s="169"/>
      <c r="CQ94" s="169"/>
      <c r="CR94" s="169"/>
      <c r="CS94" s="169"/>
      <c r="CT94" s="169"/>
      <c r="CU94" s="169"/>
      <c r="CV94" s="169"/>
      <c r="CW94" s="169"/>
      <c r="CX94" s="169"/>
      <c r="CY94" s="169"/>
      <c r="CZ94" s="169"/>
      <c r="DA94" s="169"/>
      <c r="DB94" s="169"/>
      <c r="DC94" s="169"/>
      <c r="DD94" s="169"/>
      <c r="DE94" s="169"/>
      <c r="DF94" s="169"/>
    </row>
    <row r="95" spans="2:110" x14ac:dyDescent="0.4">
      <c r="B95" s="485"/>
      <c r="C95" s="60">
        <v>121</v>
      </c>
      <c r="D95" s="327" t="s">
        <v>225</v>
      </c>
      <c r="E95" s="196">
        <v>45992</v>
      </c>
      <c r="F95" s="196">
        <v>46011</v>
      </c>
      <c r="G95" s="197">
        <f t="shared" si="44"/>
        <v>19</v>
      </c>
      <c r="H95" s="196">
        <f t="shared" si="45"/>
        <v>45992</v>
      </c>
      <c r="I95" s="196">
        <f t="shared" si="46"/>
        <v>46011</v>
      </c>
      <c r="J95" s="200" t="s">
        <v>2</v>
      </c>
      <c r="K95" s="201">
        <v>26</v>
      </c>
      <c r="L95" s="202"/>
      <c r="M95" s="202"/>
      <c r="N95" s="199" t="str">
        <f t="shared" si="38"/>
        <v/>
      </c>
      <c r="O95" s="203" t="str">
        <f t="shared" si="39"/>
        <v>-</v>
      </c>
      <c r="P95" s="206">
        <f t="shared" si="40"/>
        <v>0</v>
      </c>
      <c r="Q95" s="208">
        <f t="shared" si="41"/>
        <v>0</v>
      </c>
      <c r="R95" s="205">
        <f t="shared" si="42"/>
        <v>26</v>
      </c>
      <c r="S95" s="65">
        <f t="shared" si="43"/>
        <v>0</v>
      </c>
      <c r="T95" s="158">
        <f t="shared" si="34"/>
        <v>0</v>
      </c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169"/>
      <c r="BP95" s="169"/>
      <c r="BQ95" s="169"/>
      <c r="BR95" s="169"/>
      <c r="BS95" s="169"/>
      <c r="BT95" s="169"/>
      <c r="BU95" s="169"/>
      <c r="BV95" s="169"/>
      <c r="BW95" s="169"/>
      <c r="BX95" s="169"/>
      <c r="BY95" s="169"/>
      <c r="BZ95" s="169"/>
      <c r="CA95" s="169"/>
      <c r="CB95" s="169"/>
      <c r="CC95" s="169"/>
      <c r="CD95" s="169"/>
      <c r="CE95" s="169"/>
      <c r="CF95" s="169"/>
      <c r="CG95" s="169"/>
      <c r="CH95" s="169"/>
      <c r="CI95" s="169"/>
      <c r="CJ95" s="169"/>
      <c r="CK95" s="169"/>
      <c r="CL95" s="169"/>
      <c r="CM95" s="169"/>
      <c r="CN95" s="169"/>
      <c r="CO95" s="169"/>
      <c r="CP95" s="169"/>
      <c r="CQ95" s="169"/>
      <c r="CR95" s="169"/>
      <c r="CS95" s="169"/>
      <c r="CT95" s="169"/>
      <c r="CU95" s="169"/>
      <c r="CV95" s="169"/>
      <c r="CW95" s="169"/>
      <c r="CX95" s="169"/>
      <c r="CY95" s="169"/>
      <c r="CZ95" s="169"/>
      <c r="DA95" s="169"/>
      <c r="DB95" s="169"/>
      <c r="DC95" s="169"/>
      <c r="DD95" s="169"/>
      <c r="DE95" s="169"/>
      <c r="DF95" s="169"/>
    </row>
    <row r="96" spans="2:110" x14ac:dyDescent="0.4">
      <c r="B96" s="485"/>
      <c r="C96" s="60">
        <v>122</v>
      </c>
      <c r="D96" s="327" t="s">
        <v>431</v>
      </c>
      <c r="E96" s="196">
        <v>45962</v>
      </c>
      <c r="F96" s="196">
        <v>45996</v>
      </c>
      <c r="G96" s="197">
        <f t="shared" si="44"/>
        <v>34</v>
      </c>
      <c r="H96" s="196">
        <f t="shared" si="45"/>
        <v>45962</v>
      </c>
      <c r="I96" s="196">
        <f t="shared" si="46"/>
        <v>45996</v>
      </c>
      <c r="J96" s="200" t="s">
        <v>2</v>
      </c>
      <c r="K96" s="201">
        <v>26</v>
      </c>
      <c r="L96" s="202"/>
      <c r="M96" s="202"/>
      <c r="N96" s="199" t="str">
        <f t="shared" si="38"/>
        <v/>
      </c>
      <c r="O96" s="203" t="str">
        <f t="shared" si="39"/>
        <v>-</v>
      </c>
      <c r="P96" s="206">
        <f t="shared" si="40"/>
        <v>0</v>
      </c>
      <c r="Q96" s="208">
        <f t="shared" si="41"/>
        <v>0</v>
      </c>
      <c r="R96" s="205">
        <f t="shared" si="42"/>
        <v>26</v>
      </c>
      <c r="S96" s="65">
        <f t="shared" si="43"/>
        <v>0</v>
      </c>
      <c r="T96" s="158">
        <f t="shared" si="34"/>
        <v>0</v>
      </c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169"/>
      <c r="BP96" s="169"/>
      <c r="BQ96" s="169"/>
      <c r="BR96" s="169"/>
      <c r="BS96" s="169"/>
      <c r="BT96" s="169"/>
      <c r="BU96" s="169"/>
      <c r="BV96" s="169"/>
      <c r="BW96" s="169"/>
      <c r="BX96" s="169"/>
      <c r="BY96" s="169"/>
      <c r="BZ96" s="169"/>
      <c r="CA96" s="169"/>
      <c r="CB96" s="169"/>
      <c r="CC96" s="169"/>
      <c r="CD96" s="169"/>
      <c r="CE96" s="169"/>
      <c r="CF96" s="169"/>
      <c r="CG96" s="169"/>
      <c r="CH96" s="169"/>
      <c r="CI96" s="169"/>
      <c r="CJ96" s="169"/>
      <c r="CK96" s="169"/>
      <c r="CL96" s="169"/>
      <c r="CM96" s="169"/>
      <c r="CN96" s="169"/>
      <c r="CO96" s="169"/>
      <c r="CP96" s="169"/>
      <c r="CQ96" s="169"/>
      <c r="CR96" s="169"/>
      <c r="CS96" s="169"/>
      <c r="CT96" s="169"/>
      <c r="CU96" s="169"/>
      <c r="CV96" s="169"/>
      <c r="CW96" s="169"/>
      <c r="CX96" s="169"/>
      <c r="CY96" s="169"/>
      <c r="CZ96" s="169"/>
      <c r="DA96" s="169"/>
      <c r="DB96" s="169"/>
      <c r="DC96" s="169"/>
      <c r="DD96" s="169"/>
      <c r="DE96" s="169"/>
      <c r="DF96" s="169"/>
    </row>
    <row r="97" spans="2:110" x14ac:dyDescent="0.4">
      <c r="B97" s="499" t="s">
        <v>226</v>
      </c>
      <c r="C97" s="60">
        <v>123</v>
      </c>
      <c r="D97" s="327" t="s">
        <v>227</v>
      </c>
      <c r="E97" s="196">
        <v>45986</v>
      </c>
      <c r="F97" s="196">
        <v>46016</v>
      </c>
      <c r="G97" s="197">
        <f t="shared" si="44"/>
        <v>30</v>
      </c>
      <c r="H97" s="196">
        <f t="shared" si="45"/>
        <v>45986</v>
      </c>
      <c r="I97" s="196">
        <f t="shared" si="46"/>
        <v>46016</v>
      </c>
      <c r="J97" s="200" t="s">
        <v>2</v>
      </c>
      <c r="K97" s="201">
        <v>26</v>
      </c>
      <c r="L97" s="202"/>
      <c r="M97" s="202"/>
      <c r="N97" s="199" t="str">
        <f t="shared" si="38"/>
        <v/>
      </c>
      <c r="O97" s="203" t="str">
        <f t="shared" si="39"/>
        <v>-</v>
      </c>
      <c r="P97" s="206">
        <f t="shared" si="40"/>
        <v>0</v>
      </c>
      <c r="Q97" s="208">
        <f t="shared" si="41"/>
        <v>0</v>
      </c>
      <c r="R97" s="205">
        <f t="shared" si="42"/>
        <v>26</v>
      </c>
      <c r="S97" s="65">
        <f t="shared" si="43"/>
        <v>0</v>
      </c>
      <c r="T97" s="158">
        <f t="shared" si="34"/>
        <v>0</v>
      </c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169"/>
      <c r="BP97" s="169"/>
      <c r="BQ97" s="169"/>
      <c r="BR97" s="169"/>
      <c r="BS97" s="169"/>
      <c r="BT97" s="169"/>
      <c r="BU97" s="169"/>
      <c r="BV97" s="169"/>
      <c r="BW97" s="169"/>
      <c r="BX97" s="169"/>
      <c r="BY97" s="169"/>
      <c r="BZ97" s="169"/>
      <c r="CA97" s="169"/>
      <c r="CB97" s="169"/>
      <c r="CC97" s="169"/>
      <c r="CD97" s="169"/>
      <c r="CE97" s="169"/>
      <c r="CF97" s="169"/>
      <c r="CG97" s="169"/>
      <c r="CH97" s="169"/>
      <c r="CI97" s="169"/>
      <c r="CJ97" s="169"/>
      <c r="CK97" s="169"/>
      <c r="CL97" s="169"/>
      <c r="CM97" s="169"/>
      <c r="CN97" s="169"/>
      <c r="CO97" s="169"/>
      <c r="CP97" s="169"/>
      <c r="CQ97" s="169"/>
      <c r="CR97" s="169"/>
      <c r="CS97" s="169"/>
      <c r="CT97" s="169"/>
      <c r="CU97" s="169"/>
      <c r="CV97" s="169"/>
      <c r="CW97" s="169"/>
      <c r="CX97" s="169"/>
      <c r="CY97" s="169"/>
      <c r="CZ97" s="169"/>
      <c r="DA97" s="169"/>
      <c r="DB97" s="169"/>
      <c r="DC97" s="169"/>
      <c r="DD97" s="169"/>
      <c r="DE97" s="169"/>
      <c r="DF97" s="169"/>
    </row>
    <row r="98" spans="2:110" x14ac:dyDescent="0.4">
      <c r="B98" s="499"/>
      <c r="C98" s="60">
        <v>124</v>
      </c>
      <c r="D98" s="327" t="s">
        <v>228</v>
      </c>
      <c r="E98" s="196">
        <v>45984</v>
      </c>
      <c r="F98" s="196">
        <v>46008</v>
      </c>
      <c r="G98" s="197">
        <f t="shared" si="44"/>
        <v>24</v>
      </c>
      <c r="H98" s="196">
        <f t="shared" si="45"/>
        <v>45984</v>
      </c>
      <c r="I98" s="196">
        <f t="shared" si="46"/>
        <v>46008</v>
      </c>
      <c r="J98" s="200" t="s">
        <v>2</v>
      </c>
      <c r="K98" s="201">
        <v>26</v>
      </c>
      <c r="L98" s="202"/>
      <c r="M98" s="202"/>
      <c r="N98" s="199" t="str">
        <f t="shared" si="38"/>
        <v/>
      </c>
      <c r="O98" s="203" t="str">
        <f t="shared" si="39"/>
        <v>-</v>
      </c>
      <c r="P98" s="206">
        <f t="shared" si="40"/>
        <v>0</v>
      </c>
      <c r="Q98" s="208">
        <f t="shared" si="41"/>
        <v>0</v>
      </c>
      <c r="R98" s="205">
        <f t="shared" si="42"/>
        <v>26</v>
      </c>
      <c r="S98" s="65">
        <f t="shared" si="43"/>
        <v>0</v>
      </c>
      <c r="T98" s="158">
        <f t="shared" si="34"/>
        <v>0</v>
      </c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169"/>
      <c r="BP98" s="169"/>
      <c r="BQ98" s="169"/>
      <c r="BR98" s="169"/>
      <c r="BS98" s="169"/>
      <c r="BT98" s="169"/>
      <c r="BU98" s="169"/>
      <c r="BV98" s="169"/>
      <c r="BW98" s="169"/>
      <c r="BX98" s="169"/>
      <c r="BY98" s="169"/>
      <c r="BZ98" s="169"/>
      <c r="CA98" s="169"/>
      <c r="CB98" s="169"/>
      <c r="CC98" s="169"/>
      <c r="CD98" s="169"/>
      <c r="CE98" s="169"/>
      <c r="CF98" s="169"/>
      <c r="CG98" s="169"/>
      <c r="CH98" s="169"/>
      <c r="CI98" s="169"/>
      <c r="CJ98" s="169"/>
      <c r="CK98" s="169"/>
      <c r="CL98" s="169"/>
      <c r="CM98" s="169"/>
      <c r="CN98" s="169"/>
      <c r="CO98" s="169"/>
      <c r="CP98" s="169"/>
      <c r="CQ98" s="169"/>
      <c r="CR98" s="169"/>
      <c r="CS98" s="169"/>
      <c r="CT98" s="169"/>
      <c r="CU98" s="169"/>
      <c r="CV98" s="169"/>
      <c r="CW98" s="169"/>
      <c r="CX98" s="169"/>
      <c r="CY98" s="169"/>
      <c r="CZ98" s="169"/>
      <c r="DA98" s="169"/>
      <c r="DB98" s="169"/>
      <c r="DC98" s="169"/>
      <c r="DD98" s="169"/>
      <c r="DE98" s="169"/>
      <c r="DF98" s="169"/>
    </row>
    <row r="99" spans="2:110" x14ac:dyDescent="0.4">
      <c r="B99" s="499"/>
      <c r="C99" s="60">
        <v>125</v>
      </c>
      <c r="D99" s="327" t="s">
        <v>436</v>
      </c>
      <c r="E99" s="196">
        <v>45988</v>
      </c>
      <c r="F99" s="196">
        <v>46007</v>
      </c>
      <c r="G99" s="197">
        <f t="shared" si="44"/>
        <v>19</v>
      </c>
      <c r="H99" s="196">
        <f t="shared" si="45"/>
        <v>45988</v>
      </c>
      <c r="I99" s="196">
        <f t="shared" si="46"/>
        <v>46007</v>
      </c>
      <c r="J99" s="200" t="s">
        <v>2</v>
      </c>
      <c r="K99" s="201">
        <v>26</v>
      </c>
      <c r="L99" s="202"/>
      <c r="M99" s="202"/>
      <c r="N99" s="199" t="str">
        <f t="shared" si="38"/>
        <v/>
      </c>
      <c r="O99" s="203" t="str">
        <f t="shared" si="39"/>
        <v>-</v>
      </c>
      <c r="P99" s="206">
        <f t="shared" si="40"/>
        <v>0</v>
      </c>
      <c r="Q99" s="208">
        <f t="shared" si="41"/>
        <v>0</v>
      </c>
      <c r="R99" s="205">
        <f t="shared" si="42"/>
        <v>26</v>
      </c>
      <c r="S99" s="65">
        <f t="shared" si="43"/>
        <v>0</v>
      </c>
      <c r="T99" s="158">
        <f t="shared" si="34"/>
        <v>0</v>
      </c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169"/>
      <c r="BP99" s="169"/>
      <c r="BQ99" s="169"/>
      <c r="BR99" s="169"/>
      <c r="BS99" s="169"/>
      <c r="BT99" s="169"/>
      <c r="BU99" s="169"/>
      <c r="BV99" s="169"/>
      <c r="BW99" s="169"/>
      <c r="BX99" s="169"/>
      <c r="BY99" s="169"/>
      <c r="BZ99" s="169"/>
      <c r="CA99" s="169"/>
      <c r="CB99" s="169"/>
      <c r="CC99" s="169"/>
      <c r="CD99" s="169"/>
      <c r="CE99" s="169"/>
      <c r="CF99" s="169"/>
      <c r="CG99" s="169"/>
      <c r="CH99" s="169"/>
      <c r="CI99" s="169"/>
      <c r="CJ99" s="169"/>
      <c r="CK99" s="169"/>
      <c r="CL99" s="169"/>
      <c r="CM99" s="169"/>
      <c r="CN99" s="169"/>
      <c r="CO99" s="169"/>
      <c r="CP99" s="169"/>
      <c r="CQ99" s="169"/>
      <c r="CR99" s="169"/>
      <c r="CS99" s="169"/>
      <c r="CT99" s="169"/>
      <c r="CU99" s="169"/>
      <c r="CV99" s="169"/>
      <c r="CW99" s="169"/>
      <c r="CX99" s="169"/>
      <c r="CY99" s="169"/>
      <c r="CZ99" s="169"/>
      <c r="DA99" s="169"/>
      <c r="DB99" s="169"/>
      <c r="DC99" s="169"/>
      <c r="DD99" s="169"/>
      <c r="DE99" s="169"/>
      <c r="DF99" s="169"/>
    </row>
    <row r="100" spans="2:110" x14ac:dyDescent="0.4">
      <c r="B100" s="499"/>
      <c r="C100" s="60">
        <v>127</v>
      </c>
      <c r="D100" s="327" t="s">
        <v>231</v>
      </c>
      <c r="E100" s="196">
        <v>45978</v>
      </c>
      <c r="F100" s="196">
        <v>45984</v>
      </c>
      <c r="G100" s="197">
        <f t="shared" si="44"/>
        <v>6</v>
      </c>
      <c r="H100" s="196">
        <f t="shared" si="45"/>
        <v>45978</v>
      </c>
      <c r="I100" s="196">
        <f t="shared" si="46"/>
        <v>45984</v>
      </c>
      <c r="J100" s="200" t="s">
        <v>2</v>
      </c>
      <c r="K100" s="201">
        <v>26</v>
      </c>
      <c r="L100" s="202"/>
      <c r="M100" s="202"/>
      <c r="N100" s="199" t="str">
        <f t="shared" si="38"/>
        <v/>
      </c>
      <c r="O100" s="203" t="str">
        <f t="shared" si="39"/>
        <v>-</v>
      </c>
      <c r="P100" s="206">
        <f t="shared" si="40"/>
        <v>0</v>
      </c>
      <c r="Q100" s="208">
        <f t="shared" si="41"/>
        <v>0</v>
      </c>
      <c r="R100" s="205">
        <f t="shared" si="42"/>
        <v>26</v>
      </c>
      <c r="S100" s="65">
        <f t="shared" ref="S100:S120" si="47">SUM(U100:XFD100)</f>
        <v>0</v>
      </c>
      <c r="T100" s="158">
        <f t="shared" si="34"/>
        <v>0</v>
      </c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169"/>
      <c r="BP100" s="169"/>
      <c r="BQ100" s="169"/>
      <c r="BR100" s="169"/>
      <c r="BS100" s="169"/>
      <c r="BT100" s="169"/>
      <c r="BU100" s="169"/>
      <c r="BV100" s="169"/>
      <c r="BW100" s="169"/>
      <c r="BX100" s="169"/>
      <c r="BY100" s="169"/>
      <c r="BZ100" s="169"/>
      <c r="CA100" s="169"/>
      <c r="CB100" s="169"/>
      <c r="CC100" s="169"/>
      <c r="CD100" s="169"/>
      <c r="CE100" s="169"/>
      <c r="CF100" s="169"/>
      <c r="CG100" s="169"/>
      <c r="CH100" s="169"/>
      <c r="CI100" s="169"/>
      <c r="CJ100" s="169"/>
      <c r="CK100" s="169"/>
      <c r="CL100" s="169"/>
      <c r="CM100" s="169"/>
      <c r="CN100" s="169"/>
      <c r="CO100" s="169"/>
      <c r="CP100" s="169"/>
      <c r="CQ100" s="169"/>
      <c r="CR100" s="169"/>
      <c r="CS100" s="169"/>
      <c r="CT100" s="169"/>
      <c r="CU100" s="169"/>
      <c r="CV100" s="169"/>
      <c r="CW100" s="169"/>
      <c r="CX100" s="169"/>
      <c r="CY100" s="169"/>
      <c r="CZ100" s="169"/>
      <c r="DA100" s="169"/>
      <c r="DB100" s="169"/>
      <c r="DC100" s="169"/>
      <c r="DD100" s="169"/>
      <c r="DE100" s="169"/>
      <c r="DF100" s="169"/>
    </row>
    <row r="101" spans="2:110" x14ac:dyDescent="0.4">
      <c r="B101" s="499"/>
      <c r="C101" s="60">
        <v>128</v>
      </c>
      <c r="D101" s="327" t="s">
        <v>437</v>
      </c>
      <c r="E101" s="196">
        <v>45985</v>
      </c>
      <c r="F101" s="196">
        <v>45989</v>
      </c>
      <c r="G101" s="197">
        <f t="shared" si="44"/>
        <v>4</v>
      </c>
      <c r="H101" s="196">
        <f t="shared" si="45"/>
        <v>45985</v>
      </c>
      <c r="I101" s="196">
        <f t="shared" si="46"/>
        <v>45989</v>
      </c>
      <c r="J101" s="200" t="s">
        <v>2</v>
      </c>
      <c r="K101" s="201">
        <v>26</v>
      </c>
      <c r="L101" s="202"/>
      <c r="M101" s="202"/>
      <c r="N101" s="199" t="str">
        <f t="shared" si="38"/>
        <v/>
      </c>
      <c r="O101" s="203" t="str">
        <f t="shared" si="39"/>
        <v>-</v>
      </c>
      <c r="P101" s="206">
        <f t="shared" si="40"/>
        <v>0</v>
      </c>
      <c r="Q101" s="208">
        <f t="shared" si="41"/>
        <v>0</v>
      </c>
      <c r="R101" s="205">
        <f t="shared" si="42"/>
        <v>26</v>
      </c>
      <c r="S101" s="65">
        <f t="shared" si="47"/>
        <v>0</v>
      </c>
      <c r="T101" s="158">
        <f t="shared" si="34"/>
        <v>0</v>
      </c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169"/>
      <c r="BP101" s="169"/>
      <c r="BQ101" s="169"/>
      <c r="BR101" s="169"/>
      <c r="BS101" s="169"/>
      <c r="BT101" s="169"/>
      <c r="BU101" s="169"/>
      <c r="BV101" s="169"/>
      <c r="BW101" s="169"/>
      <c r="BX101" s="169"/>
      <c r="BY101" s="169"/>
      <c r="BZ101" s="169"/>
      <c r="CA101" s="169"/>
      <c r="CB101" s="169"/>
      <c r="CC101" s="169"/>
      <c r="CD101" s="169"/>
      <c r="CE101" s="169"/>
      <c r="CF101" s="169"/>
      <c r="CG101" s="169"/>
      <c r="CH101" s="169"/>
      <c r="CI101" s="169"/>
      <c r="CJ101" s="169"/>
      <c r="CK101" s="169"/>
      <c r="CL101" s="169"/>
      <c r="CM101" s="169"/>
      <c r="CN101" s="169"/>
      <c r="CO101" s="169"/>
      <c r="CP101" s="169"/>
      <c r="CQ101" s="169"/>
      <c r="CR101" s="169"/>
      <c r="CS101" s="169"/>
      <c r="CT101" s="169"/>
      <c r="CU101" s="169"/>
      <c r="CV101" s="169"/>
      <c r="CW101" s="169"/>
      <c r="CX101" s="169"/>
      <c r="CY101" s="169"/>
      <c r="CZ101" s="169"/>
      <c r="DA101" s="169"/>
      <c r="DB101" s="169"/>
      <c r="DC101" s="169"/>
      <c r="DD101" s="169"/>
      <c r="DE101" s="169"/>
      <c r="DF101" s="169"/>
    </row>
    <row r="102" spans="2:110" x14ac:dyDescent="0.4">
      <c r="B102" s="499"/>
      <c r="C102" s="60">
        <v>129</v>
      </c>
      <c r="D102" s="327" t="s">
        <v>438</v>
      </c>
      <c r="E102" s="196">
        <v>45985</v>
      </c>
      <c r="F102" s="196">
        <v>45992</v>
      </c>
      <c r="G102" s="197">
        <f t="shared" si="44"/>
        <v>7</v>
      </c>
      <c r="H102" s="196">
        <f t="shared" si="45"/>
        <v>45985</v>
      </c>
      <c r="I102" s="196">
        <f t="shared" si="46"/>
        <v>45992</v>
      </c>
      <c r="J102" s="200" t="s">
        <v>2</v>
      </c>
      <c r="K102" s="201">
        <v>26</v>
      </c>
      <c r="L102" s="202"/>
      <c r="M102" s="202"/>
      <c r="N102" s="199" t="str">
        <f t="shared" si="38"/>
        <v/>
      </c>
      <c r="O102" s="203" t="str">
        <f t="shared" si="39"/>
        <v>-</v>
      </c>
      <c r="P102" s="206">
        <f t="shared" si="40"/>
        <v>0</v>
      </c>
      <c r="Q102" s="208">
        <f t="shared" si="41"/>
        <v>0</v>
      </c>
      <c r="R102" s="205">
        <f t="shared" si="42"/>
        <v>26</v>
      </c>
      <c r="S102" s="65">
        <f t="shared" si="47"/>
        <v>0</v>
      </c>
      <c r="T102" s="158">
        <f t="shared" si="34"/>
        <v>0</v>
      </c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169"/>
      <c r="BP102" s="169"/>
      <c r="BQ102" s="169"/>
      <c r="BR102" s="169"/>
      <c r="BS102" s="169"/>
      <c r="BT102" s="169"/>
      <c r="BU102" s="169"/>
      <c r="BV102" s="169"/>
      <c r="BW102" s="169"/>
      <c r="BX102" s="169"/>
      <c r="BY102" s="169"/>
      <c r="BZ102" s="169"/>
      <c r="CA102" s="169"/>
      <c r="CB102" s="169"/>
      <c r="CC102" s="169"/>
      <c r="CD102" s="169"/>
      <c r="CE102" s="169"/>
      <c r="CF102" s="169"/>
      <c r="CG102" s="169"/>
      <c r="CH102" s="169"/>
      <c r="CI102" s="169"/>
      <c r="CJ102" s="169"/>
      <c r="CK102" s="169"/>
      <c r="CL102" s="169"/>
      <c r="CM102" s="169"/>
      <c r="CN102" s="169"/>
      <c r="CO102" s="169"/>
      <c r="CP102" s="169"/>
      <c r="CQ102" s="169"/>
      <c r="CR102" s="169"/>
      <c r="CS102" s="169"/>
      <c r="CT102" s="169"/>
      <c r="CU102" s="169"/>
      <c r="CV102" s="169"/>
      <c r="CW102" s="169"/>
      <c r="CX102" s="169"/>
      <c r="CY102" s="169"/>
      <c r="CZ102" s="169"/>
      <c r="DA102" s="169"/>
      <c r="DB102" s="169"/>
      <c r="DC102" s="169"/>
      <c r="DD102" s="169"/>
      <c r="DE102" s="169"/>
      <c r="DF102" s="169"/>
    </row>
    <row r="103" spans="2:110" x14ac:dyDescent="0.4">
      <c r="B103" s="499"/>
      <c r="C103" s="60">
        <v>130</v>
      </c>
      <c r="D103" s="327" t="s">
        <v>234</v>
      </c>
      <c r="E103" s="196">
        <v>45988</v>
      </c>
      <c r="F103" s="196">
        <v>46017</v>
      </c>
      <c r="G103" s="197">
        <f t="shared" si="44"/>
        <v>29</v>
      </c>
      <c r="H103" s="196">
        <f t="shared" si="45"/>
        <v>45988</v>
      </c>
      <c r="I103" s="196">
        <f t="shared" si="46"/>
        <v>46017</v>
      </c>
      <c r="J103" s="200" t="s">
        <v>2</v>
      </c>
      <c r="K103" s="201">
        <v>26</v>
      </c>
      <c r="L103" s="202"/>
      <c r="M103" s="202"/>
      <c r="N103" s="199" t="str">
        <f t="shared" si="38"/>
        <v/>
      </c>
      <c r="O103" s="203" t="str">
        <f t="shared" si="39"/>
        <v>-</v>
      </c>
      <c r="P103" s="206">
        <f t="shared" si="40"/>
        <v>0</v>
      </c>
      <c r="Q103" s="208">
        <f t="shared" si="41"/>
        <v>0</v>
      </c>
      <c r="R103" s="205">
        <f t="shared" si="42"/>
        <v>26</v>
      </c>
      <c r="S103" s="65">
        <f t="shared" si="47"/>
        <v>0</v>
      </c>
      <c r="T103" s="158">
        <f t="shared" si="34"/>
        <v>0</v>
      </c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169"/>
      <c r="BP103" s="169"/>
      <c r="BQ103" s="169"/>
      <c r="BR103" s="169"/>
      <c r="BS103" s="169"/>
      <c r="BT103" s="169"/>
      <c r="BU103" s="169"/>
      <c r="BV103" s="169"/>
      <c r="BW103" s="169"/>
      <c r="BX103" s="169"/>
      <c r="BY103" s="169"/>
      <c r="BZ103" s="169"/>
      <c r="CA103" s="169"/>
      <c r="CB103" s="169"/>
      <c r="CC103" s="169"/>
      <c r="CD103" s="169"/>
      <c r="CE103" s="169"/>
      <c r="CF103" s="169"/>
      <c r="CG103" s="169"/>
      <c r="CH103" s="169"/>
      <c r="CI103" s="169"/>
      <c r="CJ103" s="169"/>
      <c r="CK103" s="169"/>
      <c r="CL103" s="169"/>
      <c r="CM103" s="169"/>
      <c r="CN103" s="169"/>
      <c r="CO103" s="169"/>
      <c r="CP103" s="169"/>
      <c r="CQ103" s="169"/>
      <c r="CR103" s="169"/>
      <c r="CS103" s="169"/>
      <c r="CT103" s="169"/>
      <c r="CU103" s="169"/>
      <c r="CV103" s="169"/>
      <c r="CW103" s="169"/>
      <c r="CX103" s="169"/>
      <c r="CY103" s="169"/>
      <c r="CZ103" s="169"/>
      <c r="DA103" s="169"/>
      <c r="DB103" s="169"/>
      <c r="DC103" s="169"/>
      <c r="DD103" s="169"/>
      <c r="DE103" s="169"/>
      <c r="DF103" s="169"/>
    </row>
    <row r="104" spans="2:110" x14ac:dyDescent="0.4">
      <c r="B104" s="499"/>
      <c r="C104" s="60">
        <v>131</v>
      </c>
      <c r="D104" s="327" t="s">
        <v>432</v>
      </c>
      <c r="E104" s="196">
        <v>45997</v>
      </c>
      <c r="F104" s="196">
        <v>46028</v>
      </c>
      <c r="G104" s="197">
        <f t="shared" si="44"/>
        <v>31</v>
      </c>
      <c r="H104" s="196">
        <f t="shared" si="45"/>
        <v>45997</v>
      </c>
      <c r="I104" s="196">
        <f t="shared" si="46"/>
        <v>46028</v>
      </c>
      <c r="J104" s="200" t="s">
        <v>2</v>
      </c>
      <c r="K104" s="201">
        <v>26</v>
      </c>
      <c r="L104" s="202"/>
      <c r="M104" s="202"/>
      <c r="N104" s="199" t="str">
        <f t="shared" si="38"/>
        <v/>
      </c>
      <c r="O104" s="203" t="str">
        <f t="shared" si="39"/>
        <v>-</v>
      </c>
      <c r="P104" s="206">
        <f t="shared" si="40"/>
        <v>0</v>
      </c>
      <c r="Q104" s="208">
        <f t="shared" si="41"/>
        <v>0</v>
      </c>
      <c r="R104" s="205">
        <f t="shared" si="42"/>
        <v>26</v>
      </c>
      <c r="S104" s="65">
        <f t="shared" si="47"/>
        <v>0</v>
      </c>
      <c r="T104" s="158">
        <f t="shared" si="34"/>
        <v>0</v>
      </c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169"/>
      <c r="BP104" s="169"/>
      <c r="BQ104" s="169"/>
      <c r="BR104" s="169"/>
      <c r="BS104" s="169"/>
      <c r="BT104" s="169"/>
      <c r="BU104" s="169"/>
      <c r="BV104" s="169"/>
      <c r="BW104" s="169"/>
      <c r="BX104" s="169"/>
      <c r="BY104" s="169"/>
      <c r="BZ104" s="169"/>
      <c r="CA104" s="169"/>
      <c r="CB104" s="169"/>
      <c r="CC104" s="169"/>
      <c r="CD104" s="169"/>
      <c r="CE104" s="169"/>
      <c r="CF104" s="169"/>
      <c r="CG104" s="169"/>
      <c r="CH104" s="169"/>
      <c r="CI104" s="169"/>
      <c r="CJ104" s="169"/>
      <c r="CK104" s="169"/>
      <c r="CL104" s="169"/>
      <c r="CM104" s="169"/>
      <c r="CN104" s="169"/>
      <c r="CO104" s="169"/>
      <c r="CP104" s="169"/>
      <c r="CQ104" s="169"/>
      <c r="CR104" s="169"/>
      <c r="CS104" s="169"/>
      <c r="CT104" s="169"/>
      <c r="CU104" s="169"/>
      <c r="CV104" s="169"/>
      <c r="CW104" s="169"/>
      <c r="CX104" s="169"/>
      <c r="CY104" s="169"/>
      <c r="CZ104" s="169"/>
      <c r="DA104" s="169"/>
      <c r="DB104" s="169"/>
      <c r="DC104" s="169"/>
      <c r="DD104" s="169"/>
      <c r="DE104" s="169"/>
      <c r="DF104" s="169"/>
    </row>
    <row r="105" spans="2:110" x14ac:dyDescent="0.4">
      <c r="B105" s="499"/>
      <c r="C105" s="60">
        <v>132</v>
      </c>
      <c r="D105" s="327" t="s">
        <v>236</v>
      </c>
      <c r="E105" s="196">
        <v>46006</v>
      </c>
      <c r="F105" s="196">
        <v>46004</v>
      </c>
      <c r="G105" s="197">
        <f t="shared" si="44"/>
        <v>-2</v>
      </c>
      <c r="H105" s="196">
        <f t="shared" si="45"/>
        <v>46006</v>
      </c>
      <c r="I105" s="196">
        <f t="shared" si="46"/>
        <v>46004</v>
      </c>
      <c r="J105" s="200" t="s">
        <v>2</v>
      </c>
      <c r="K105" s="201">
        <v>26</v>
      </c>
      <c r="L105" s="202"/>
      <c r="M105" s="202"/>
      <c r="N105" s="199" t="str">
        <f t="shared" ref="N105:N120" si="48">IF(OR(M105="",L105=""),"",INT(M105-L105+1))</f>
        <v/>
      </c>
      <c r="O105" s="203" t="str">
        <f t="shared" ref="O105:O120" si="49">IFERROR(K105/N105,"-")</f>
        <v>-</v>
      </c>
      <c r="P105" s="206">
        <f t="shared" ref="P105:P120" si="50">IFERROR(SUMIF($U$2:$AT$2,"&lt;="&amp;$D$1,U105:BN105)/K105,"-")</f>
        <v>0</v>
      </c>
      <c r="Q105" s="208">
        <f t="shared" ref="Q105:Q120" si="51">SUMIF($U$2:$AT$2,"&lt;="&amp;$D$1,U105:AT105)</f>
        <v>0</v>
      </c>
      <c r="R105" s="205">
        <f t="shared" ref="R105:R115" si="52">K105-Q105</f>
        <v>26</v>
      </c>
      <c r="S105" s="65">
        <f t="shared" si="47"/>
        <v>0</v>
      </c>
      <c r="T105" s="158">
        <f t="shared" si="34"/>
        <v>0</v>
      </c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169"/>
      <c r="BP105" s="169"/>
      <c r="BQ105" s="169"/>
      <c r="BR105" s="169"/>
      <c r="BS105" s="169"/>
      <c r="BT105" s="169"/>
      <c r="BU105" s="169"/>
      <c r="BV105" s="169"/>
      <c r="BW105" s="169"/>
      <c r="BX105" s="169"/>
      <c r="BY105" s="169"/>
      <c r="BZ105" s="169"/>
      <c r="CA105" s="169"/>
      <c r="CB105" s="169"/>
      <c r="CC105" s="169"/>
      <c r="CD105" s="169"/>
      <c r="CE105" s="169"/>
      <c r="CF105" s="169"/>
      <c r="CG105" s="169"/>
      <c r="CH105" s="169"/>
      <c r="CI105" s="169"/>
      <c r="CJ105" s="169"/>
      <c r="CK105" s="169"/>
      <c r="CL105" s="169"/>
      <c r="CM105" s="169"/>
      <c r="CN105" s="169"/>
      <c r="CO105" s="169"/>
      <c r="CP105" s="169"/>
      <c r="CQ105" s="169"/>
      <c r="CR105" s="169"/>
      <c r="CS105" s="169"/>
      <c r="CT105" s="169"/>
      <c r="CU105" s="169"/>
      <c r="CV105" s="169"/>
      <c r="CW105" s="169"/>
      <c r="CX105" s="169"/>
      <c r="CY105" s="169"/>
      <c r="CZ105" s="169"/>
      <c r="DA105" s="169"/>
      <c r="DB105" s="169"/>
      <c r="DC105" s="169"/>
      <c r="DD105" s="169"/>
      <c r="DE105" s="169"/>
      <c r="DF105" s="169"/>
    </row>
    <row r="106" spans="2:110" x14ac:dyDescent="0.4">
      <c r="B106" s="499"/>
      <c r="C106" s="60">
        <v>133</v>
      </c>
      <c r="D106" s="327" t="s">
        <v>237</v>
      </c>
      <c r="E106" s="196">
        <v>46016</v>
      </c>
      <c r="F106" s="196">
        <v>46032</v>
      </c>
      <c r="G106" s="197">
        <f t="shared" si="44"/>
        <v>16</v>
      </c>
      <c r="H106" s="196">
        <f t="shared" si="45"/>
        <v>46016</v>
      </c>
      <c r="I106" s="196">
        <f t="shared" si="46"/>
        <v>46032</v>
      </c>
      <c r="J106" s="200" t="s">
        <v>2</v>
      </c>
      <c r="K106" s="201">
        <v>26</v>
      </c>
      <c r="L106" s="202"/>
      <c r="M106" s="202"/>
      <c r="N106" s="199" t="str">
        <f t="shared" si="48"/>
        <v/>
      </c>
      <c r="O106" s="203" t="str">
        <f t="shared" si="49"/>
        <v>-</v>
      </c>
      <c r="P106" s="206">
        <f t="shared" si="50"/>
        <v>0</v>
      </c>
      <c r="Q106" s="208">
        <f t="shared" si="51"/>
        <v>0</v>
      </c>
      <c r="R106" s="205">
        <f t="shared" si="52"/>
        <v>26</v>
      </c>
      <c r="S106" s="65">
        <f t="shared" si="47"/>
        <v>0</v>
      </c>
      <c r="T106" s="158">
        <f t="shared" si="34"/>
        <v>0</v>
      </c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169"/>
      <c r="BP106" s="169"/>
      <c r="BQ106" s="169"/>
      <c r="BR106" s="169"/>
      <c r="BS106" s="169"/>
      <c r="BT106" s="169"/>
      <c r="BU106" s="169"/>
      <c r="BV106" s="169"/>
      <c r="BW106" s="169"/>
      <c r="BX106" s="169"/>
      <c r="BY106" s="169"/>
      <c r="BZ106" s="169"/>
      <c r="CA106" s="169"/>
      <c r="CB106" s="169"/>
      <c r="CC106" s="169"/>
      <c r="CD106" s="169"/>
      <c r="CE106" s="169"/>
      <c r="CF106" s="169"/>
      <c r="CG106" s="169"/>
      <c r="CH106" s="169"/>
      <c r="CI106" s="169"/>
      <c r="CJ106" s="169"/>
      <c r="CK106" s="169"/>
      <c r="CL106" s="169"/>
      <c r="CM106" s="169"/>
      <c r="CN106" s="169"/>
      <c r="CO106" s="169"/>
      <c r="CP106" s="169"/>
      <c r="CQ106" s="169"/>
      <c r="CR106" s="169"/>
      <c r="CS106" s="169"/>
      <c r="CT106" s="169"/>
      <c r="CU106" s="169"/>
      <c r="CV106" s="169"/>
      <c r="CW106" s="169"/>
      <c r="CX106" s="169"/>
      <c r="CY106" s="169"/>
      <c r="CZ106" s="169"/>
      <c r="DA106" s="169"/>
      <c r="DB106" s="169"/>
      <c r="DC106" s="169"/>
      <c r="DD106" s="169"/>
      <c r="DE106" s="169"/>
      <c r="DF106" s="169"/>
    </row>
    <row r="107" spans="2:110" x14ac:dyDescent="0.4">
      <c r="B107" s="499" t="s">
        <v>238</v>
      </c>
      <c r="C107" s="60">
        <v>134</v>
      </c>
      <c r="D107" s="327" t="s">
        <v>239</v>
      </c>
      <c r="E107" s="196">
        <v>45914</v>
      </c>
      <c r="F107" s="196">
        <v>45966</v>
      </c>
      <c r="G107" s="197">
        <f t="shared" si="44"/>
        <v>52</v>
      </c>
      <c r="H107" s="196">
        <f t="shared" si="45"/>
        <v>45914</v>
      </c>
      <c r="I107" s="196">
        <f t="shared" si="46"/>
        <v>45966</v>
      </c>
      <c r="J107" s="210" t="s">
        <v>13</v>
      </c>
      <c r="K107" s="201">
        <v>1173</v>
      </c>
      <c r="L107" s="202"/>
      <c r="M107" s="202"/>
      <c r="N107" s="199" t="str">
        <f t="shared" si="48"/>
        <v/>
      </c>
      <c r="O107" s="203" t="str">
        <f t="shared" si="49"/>
        <v>-</v>
      </c>
      <c r="P107" s="206">
        <f t="shared" si="50"/>
        <v>0</v>
      </c>
      <c r="Q107" s="208">
        <f t="shared" si="51"/>
        <v>0</v>
      </c>
      <c r="R107" s="205">
        <f t="shared" si="52"/>
        <v>1173</v>
      </c>
      <c r="S107" s="65">
        <f t="shared" si="47"/>
        <v>0</v>
      </c>
      <c r="T107" s="158">
        <f t="shared" si="34"/>
        <v>0</v>
      </c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169"/>
      <c r="BP107" s="169"/>
      <c r="BQ107" s="169"/>
      <c r="BR107" s="169"/>
      <c r="BS107" s="169"/>
      <c r="BT107" s="169"/>
      <c r="BU107" s="169"/>
      <c r="BV107" s="169"/>
      <c r="BW107" s="169"/>
      <c r="BX107" s="169"/>
      <c r="BY107" s="169"/>
      <c r="BZ107" s="169"/>
      <c r="CA107" s="169"/>
      <c r="CB107" s="169"/>
      <c r="CC107" s="169"/>
      <c r="CD107" s="169"/>
      <c r="CE107" s="169"/>
      <c r="CF107" s="169"/>
      <c r="CG107" s="169"/>
      <c r="CH107" s="169"/>
      <c r="CI107" s="169"/>
      <c r="CJ107" s="169"/>
      <c r="CK107" s="169"/>
      <c r="CL107" s="169"/>
      <c r="CM107" s="169"/>
      <c r="CN107" s="169"/>
      <c r="CO107" s="169"/>
      <c r="CP107" s="169"/>
      <c r="CQ107" s="169"/>
      <c r="CR107" s="169"/>
      <c r="CS107" s="169"/>
      <c r="CT107" s="169"/>
      <c r="CU107" s="169"/>
      <c r="CV107" s="169"/>
      <c r="CW107" s="169"/>
      <c r="CX107" s="169"/>
      <c r="CY107" s="169"/>
      <c r="CZ107" s="169"/>
      <c r="DA107" s="169"/>
      <c r="DB107" s="169"/>
      <c r="DC107" s="169"/>
      <c r="DD107" s="169"/>
      <c r="DE107" s="169"/>
      <c r="DF107" s="169"/>
    </row>
    <row r="108" spans="2:110" x14ac:dyDescent="0.4">
      <c r="B108" s="499"/>
      <c r="C108" s="60">
        <v>135</v>
      </c>
      <c r="D108" s="327" t="s">
        <v>240</v>
      </c>
      <c r="E108" s="196">
        <v>45935</v>
      </c>
      <c r="F108" s="196">
        <v>45974</v>
      </c>
      <c r="G108" s="197">
        <f t="shared" si="44"/>
        <v>39</v>
      </c>
      <c r="H108" s="196">
        <f t="shared" si="45"/>
        <v>45935</v>
      </c>
      <c r="I108" s="196">
        <f t="shared" si="46"/>
        <v>45974</v>
      </c>
      <c r="J108" s="210" t="s">
        <v>13</v>
      </c>
      <c r="K108" s="201">
        <v>1173</v>
      </c>
      <c r="L108" s="202"/>
      <c r="M108" s="202"/>
      <c r="N108" s="199" t="str">
        <f t="shared" si="48"/>
        <v/>
      </c>
      <c r="O108" s="203" t="str">
        <f t="shared" si="49"/>
        <v>-</v>
      </c>
      <c r="P108" s="206">
        <f t="shared" si="50"/>
        <v>0</v>
      </c>
      <c r="Q108" s="208">
        <f t="shared" si="51"/>
        <v>0</v>
      </c>
      <c r="R108" s="205">
        <f t="shared" si="52"/>
        <v>1173</v>
      </c>
      <c r="S108" s="65">
        <f t="shared" si="47"/>
        <v>0</v>
      </c>
      <c r="T108" s="158">
        <f t="shared" si="34"/>
        <v>0</v>
      </c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169"/>
      <c r="BP108" s="169"/>
      <c r="BQ108" s="169"/>
      <c r="BR108" s="169"/>
      <c r="BS108" s="169"/>
      <c r="BT108" s="169"/>
      <c r="BU108" s="169"/>
      <c r="BV108" s="169"/>
      <c r="BW108" s="169"/>
      <c r="BX108" s="169"/>
      <c r="BY108" s="169"/>
      <c r="BZ108" s="169"/>
      <c r="CA108" s="169"/>
      <c r="CB108" s="169"/>
      <c r="CC108" s="169"/>
      <c r="CD108" s="169"/>
      <c r="CE108" s="169"/>
      <c r="CF108" s="169"/>
      <c r="CG108" s="169"/>
      <c r="CH108" s="169"/>
      <c r="CI108" s="169"/>
      <c r="CJ108" s="169"/>
      <c r="CK108" s="169"/>
      <c r="CL108" s="169"/>
      <c r="CM108" s="169"/>
      <c r="CN108" s="169"/>
      <c r="CO108" s="169"/>
      <c r="CP108" s="169"/>
      <c r="CQ108" s="169"/>
      <c r="CR108" s="169"/>
      <c r="CS108" s="169"/>
      <c r="CT108" s="169"/>
      <c r="CU108" s="169"/>
      <c r="CV108" s="169"/>
      <c r="CW108" s="169"/>
      <c r="CX108" s="169"/>
      <c r="CY108" s="169"/>
      <c r="CZ108" s="169"/>
      <c r="DA108" s="169"/>
      <c r="DB108" s="169"/>
      <c r="DC108" s="169"/>
      <c r="DD108" s="169"/>
      <c r="DE108" s="169"/>
      <c r="DF108" s="169"/>
    </row>
    <row r="109" spans="2:110" x14ac:dyDescent="0.4">
      <c r="B109" s="499"/>
      <c r="C109" s="60">
        <v>136</v>
      </c>
      <c r="D109" s="327" t="s">
        <v>241</v>
      </c>
      <c r="E109" s="196">
        <v>45976</v>
      </c>
      <c r="F109" s="196">
        <v>45996</v>
      </c>
      <c r="G109" s="197">
        <f t="shared" si="44"/>
        <v>20</v>
      </c>
      <c r="H109" s="196">
        <f t="shared" si="45"/>
        <v>45976</v>
      </c>
      <c r="I109" s="196">
        <f t="shared" si="46"/>
        <v>45996</v>
      </c>
      <c r="J109" s="210" t="s">
        <v>13</v>
      </c>
      <c r="K109" s="201">
        <v>1173</v>
      </c>
      <c r="L109" s="202"/>
      <c r="M109" s="202"/>
      <c r="N109" s="199" t="str">
        <f t="shared" si="48"/>
        <v/>
      </c>
      <c r="O109" s="203" t="str">
        <f t="shared" si="49"/>
        <v>-</v>
      </c>
      <c r="P109" s="206">
        <f t="shared" si="50"/>
        <v>0</v>
      </c>
      <c r="Q109" s="208">
        <f t="shared" si="51"/>
        <v>0</v>
      </c>
      <c r="R109" s="205">
        <f t="shared" si="52"/>
        <v>1173</v>
      </c>
      <c r="S109" s="65">
        <f t="shared" si="47"/>
        <v>0</v>
      </c>
      <c r="T109" s="158">
        <f t="shared" si="34"/>
        <v>0</v>
      </c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169"/>
      <c r="BP109" s="169"/>
      <c r="BQ109" s="169"/>
      <c r="BR109" s="169"/>
      <c r="BS109" s="169"/>
      <c r="BT109" s="169"/>
      <c r="BU109" s="169"/>
      <c r="BV109" s="169"/>
      <c r="BW109" s="169"/>
      <c r="BX109" s="169"/>
      <c r="BY109" s="169"/>
      <c r="BZ109" s="169"/>
      <c r="CA109" s="169"/>
      <c r="CB109" s="169"/>
      <c r="CC109" s="169"/>
      <c r="CD109" s="169"/>
      <c r="CE109" s="169"/>
      <c r="CF109" s="169"/>
      <c r="CG109" s="169"/>
      <c r="CH109" s="169"/>
      <c r="CI109" s="169"/>
      <c r="CJ109" s="169"/>
      <c r="CK109" s="169"/>
      <c r="CL109" s="169"/>
      <c r="CM109" s="169"/>
      <c r="CN109" s="169"/>
      <c r="CO109" s="169"/>
      <c r="CP109" s="169"/>
      <c r="CQ109" s="169"/>
      <c r="CR109" s="169"/>
      <c r="CS109" s="169"/>
      <c r="CT109" s="169"/>
      <c r="CU109" s="169"/>
      <c r="CV109" s="169"/>
      <c r="CW109" s="169"/>
      <c r="CX109" s="169"/>
      <c r="CY109" s="169"/>
      <c r="CZ109" s="169"/>
      <c r="DA109" s="169"/>
      <c r="DB109" s="169"/>
      <c r="DC109" s="169"/>
      <c r="DD109" s="169"/>
      <c r="DE109" s="169"/>
      <c r="DF109" s="169"/>
    </row>
    <row r="110" spans="2:110" x14ac:dyDescent="0.4">
      <c r="B110" s="499"/>
      <c r="C110" s="60">
        <v>137</v>
      </c>
      <c r="D110" s="327" t="s">
        <v>242</v>
      </c>
      <c r="E110" s="196">
        <v>45979</v>
      </c>
      <c r="F110" s="196">
        <v>46001</v>
      </c>
      <c r="G110" s="197">
        <f t="shared" si="44"/>
        <v>22</v>
      </c>
      <c r="H110" s="196">
        <f t="shared" si="45"/>
        <v>45979</v>
      </c>
      <c r="I110" s="196">
        <f t="shared" si="46"/>
        <v>46001</v>
      </c>
      <c r="J110" s="210" t="s">
        <v>13</v>
      </c>
      <c r="K110" s="201">
        <v>1173</v>
      </c>
      <c r="L110" s="202"/>
      <c r="M110" s="202"/>
      <c r="N110" s="199" t="str">
        <f t="shared" si="48"/>
        <v/>
      </c>
      <c r="O110" s="203" t="str">
        <f t="shared" si="49"/>
        <v>-</v>
      </c>
      <c r="P110" s="206">
        <f t="shared" si="50"/>
        <v>0</v>
      </c>
      <c r="Q110" s="208">
        <f t="shared" si="51"/>
        <v>0</v>
      </c>
      <c r="R110" s="205">
        <f t="shared" si="52"/>
        <v>1173</v>
      </c>
      <c r="S110" s="65">
        <f t="shared" si="47"/>
        <v>0</v>
      </c>
      <c r="T110" s="158">
        <f t="shared" si="34"/>
        <v>0</v>
      </c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169"/>
      <c r="BP110" s="169"/>
      <c r="BQ110" s="169"/>
      <c r="BR110" s="169"/>
      <c r="BS110" s="169"/>
      <c r="BT110" s="169"/>
      <c r="BU110" s="169"/>
      <c r="BV110" s="169"/>
      <c r="BW110" s="169"/>
      <c r="BX110" s="169"/>
      <c r="BY110" s="169"/>
      <c r="BZ110" s="169"/>
      <c r="CA110" s="169"/>
      <c r="CB110" s="169"/>
      <c r="CC110" s="169"/>
      <c r="CD110" s="169"/>
      <c r="CE110" s="169"/>
      <c r="CF110" s="169"/>
      <c r="CG110" s="169"/>
      <c r="CH110" s="169"/>
      <c r="CI110" s="169"/>
      <c r="CJ110" s="169"/>
      <c r="CK110" s="169"/>
      <c r="CL110" s="169"/>
      <c r="CM110" s="169"/>
      <c r="CN110" s="169"/>
      <c r="CO110" s="169"/>
      <c r="CP110" s="169"/>
      <c r="CQ110" s="169"/>
      <c r="CR110" s="169"/>
      <c r="CS110" s="169"/>
      <c r="CT110" s="169"/>
      <c r="CU110" s="169"/>
      <c r="CV110" s="169"/>
      <c r="CW110" s="169"/>
      <c r="CX110" s="169"/>
      <c r="CY110" s="169"/>
      <c r="CZ110" s="169"/>
      <c r="DA110" s="169"/>
      <c r="DB110" s="169"/>
      <c r="DC110" s="169"/>
      <c r="DD110" s="169"/>
      <c r="DE110" s="169"/>
      <c r="DF110" s="169"/>
    </row>
    <row r="111" spans="2:110" x14ac:dyDescent="0.4">
      <c r="B111" s="499"/>
      <c r="C111" s="60">
        <v>138</v>
      </c>
      <c r="D111" s="327" t="s">
        <v>243</v>
      </c>
      <c r="E111" s="196">
        <v>45986</v>
      </c>
      <c r="F111" s="196">
        <v>45981</v>
      </c>
      <c r="G111" s="197">
        <f t="shared" si="44"/>
        <v>-5</v>
      </c>
      <c r="H111" s="196">
        <f t="shared" si="45"/>
        <v>45986</v>
      </c>
      <c r="I111" s="196">
        <f t="shared" si="46"/>
        <v>45981</v>
      </c>
      <c r="J111" s="210" t="s">
        <v>13</v>
      </c>
      <c r="K111" s="201">
        <v>1173</v>
      </c>
      <c r="L111" s="202"/>
      <c r="M111" s="202"/>
      <c r="N111" s="199" t="str">
        <f t="shared" si="48"/>
        <v/>
      </c>
      <c r="O111" s="203" t="str">
        <f t="shared" si="49"/>
        <v>-</v>
      </c>
      <c r="P111" s="206">
        <f t="shared" si="50"/>
        <v>0</v>
      </c>
      <c r="Q111" s="208">
        <f t="shared" si="51"/>
        <v>0</v>
      </c>
      <c r="R111" s="205">
        <f t="shared" si="52"/>
        <v>1173</v>
      </c>
      <c r="S111" s="65">
        <f t="shared" si="47"/>
        <v>0</v>
      </c>
      <c r="T111" s="158">
        <f t="shared" si="34"/>
        <v>0</v>
      </c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169"/>
      <c r="BP111" s="169"/>
      <c r="BQ111" s="169"/>
      <c r="BR111" s="169"/>
      <c r="BS111" s="169"/>
      <c r="BT111" s="169"/>
      <c r="BU111" s="169"/>
      <c r="BV111" s="169"/>
      <c r="BW111" s="169"/>
      <c r="BX111" s="169"/>
      <c r="BY111" s="169"/>
      <c r="BZ111" s="169"/>
      <c r="CA111" s="169"/>
      <c r="CB111" s="169"/>
      <c r="CC111" s="169"/>
      <c r="CD111" s="169"/>
      <c r="CE111" s="169"/>
      <c r="CF111" s="169"/>
      <c r="CG111" s="169"/>
      <c r="CH111" s="169"/>
      <c r="CI111" s="169"/>
      <c r="CJ111" s="169"/>
      <c r="CK111" s="169"/>
      <c r="CL111" s="169"/>
      <c r="CM111" s="169"/>
      <c r="CN111" s="169"/>
      <c r="CO111" s="169"/>
      <c r="CP111" s="169"/>
      <c r="CQ111" s="169"/>
      <c r="CR111" s="169"/>
      <c r="CS111" s="169"/>
      <c r="CT111" s="169"/>
      <c r="CU111" s="169"/>
      <c r="CV111" s="169"/>
      <c r="CW111" s="169"/>
      <c r="CX111" s="169"/>
      <c r="CY111" s="169"/>
      <c r="CZ111" s="169"/>
      <c r="DA111" s="169"/>
      <c r="DB111" s="169"/>
      <c r="DC111" s="169"/>
      <c r="DD111" s="169"/>
      <c r="DE111" s="169"/>
      <c r="DF111" s="169"/>
    </row>
    <row r="112" spans="2:110" x14ac:dyDescent="0.4">
      <c r="B112" s="499"/>
      <c r="C112" s="60">
        <v>139</v>
      </c>
      <c r="D112" s="327" t="s">
        <v>244</v>
      </c>
      <c r="E112" s="196">
        <v>45859</v>
      </c>
      <c r="F112" s="196">
        <v>46021</v>
      </c>
      <c r="G112" s="197">
        <f t="shared" si="44"/>
        <v>162</v>
      </c>
      <c r="H112" s="196">
        <f t="shared" si="45"/>
        <v>45859</v>
      </c>
      <c r="I112" s="196">
        <f t="shared" si="46"/>
        <v>46021</v>
      </c>
      <c r="J112" s="200" t="s">
        <v>2</v>
      </c>
      <c r="K112" s="201">
        <v>26</v>
      </c>
      <c r="L112" s="202"/>
      <c r="M112" s="202"/>
      <c r="N112" s="199" t="str">
        <f t="shared" si="48"/>
        <v/>
      </c>
      <c r="O112" s="203" t="str">
        <f t="shared" si="49"/>
        <v>-</v>
      </c>
      <c r="P112" s="206">
        <f t="shared" si="50"/>
        <v>0</v>
      </c>
      <c r="Q112" s="208">
        <f t="shared" si="51"/>
        <v>0</v>
      </c>
      <c r="R112" s="205">
        <f t="shared" si="52"/>
        <v>26</v>
      </c>
      <c r="S112" s="65">
        <f t="shared" si="47"/>
        <v>0</v>
      </c>
      <c r="T112" s="158">
        <f t="shared" si="34"/>
        <v>0</v>
      </c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169"/>
      <c r="BP112" s="169"/>
      <c r="BQ112" s="169"/>
      <c r="BR112" s="169"/>
      <c r="BS112" s="169"/>
      <c r="BT112" s="169"/>
      <c r="BU112" s="169"/>
      <c r="BV112" s="169"/>
      <c r="BW112" s="169"/>
      <c r="BX112" s="169"/>
      <c r="BY112" s="169"/>
      <c r="BZ112" s="169"/>
      <c r="CA112" s="169"/>
      <c r="CB112" s="169"/>
      <c r="CC112" s="169"/>
      <c r="CD112" s="169"/>
      <c r="CE112" s="169"/>
      <c r="CF112" s="169"/>
      <c r="CG112" s="169"/>
      <c r="CH112" s="169"/>
      <c r="CI112" s="169"/>
      <c r="CJ112" s="169"/>
      <c r="CK112" s="169"/>
      <c r="CL112" s="169"/>
      <c r="CM112" s="169"/>
      <c r="CN112" s="169"/>
      <c r="CO112" s="169"/>
      <c r="CP112" s="169"/>
      <c r="CQ112" s="169"/>
      <c r="CR112" s="169"/>
      <c r="CS112" s="169"/>
      <c r="CT112" s="169"/>
      <c r="CU112" s="169"/>
      <c r="CV112" s="169"/>
      <c r="CW112" s="169"/>
      <c r="CX112" s="169"/>
      <c r="CY112" s="169"/>
      <c r="CZ112" s="169"/>
      <c r="DA112" s="169"/>
      <c r="DB112" s="169"/>
      <c r="DC112" s="169"/>
      <c r="DD112" s="169"/>
      <c r="DE112" s="169"/>
      <c r="DF112" s="169"/>
    </row>
    <row r="113" spans="2:110" x14ac:dyDescent="0.4">
      <c r="B113" s="499" t="s">
        <v>245</v>
      </c>
      <c r="C113" s="60">
        <v>140</v>
      </c>
      <c r="D113" s="327" t="s">
        <v>268</v>
      </c>
      <c r="E113" s="196">
        <v>45926</v>
      </c>
      <c r="F113" s="196">
        <v>45941</v>
      </c>
      <c r="G113" s="197">
        <f t="shared" si="44"/>
        <v>15</v>
      </c>
      <c r="H113" s="196">
        <f t="shared" si="45"/>
        <v>45926</v>
      </c>
      <c r="I113" s="196">
        <f t="shared" si="46"/>
        <v>45941</v>
      </c>
      <c r="J113" s="200" t="s">
        <v>2</v>
      </c>
      <c r="K113" s="201">
        <v>26</v>
      </c>
      <c r="L113" s="202"/>
      <c r="M113" s="202"/>
      <c r="N113" s="199" t="str">
        <f t="shared" si="48"/>
        <v/>
      </c>
      <c r="O113" s="203" t="str">
        <f t="shared" si="49"/>
        <v>-</v>
      </c>
      <c r="P113" s="206">
        <f t="shared" si="50"/>
        <v>0</v>
      </c>
      <c r="Q113" s="208">
        <f t="shared" si="51"/>
        <v>0</v>
      </c>
      <c r="R113" s="205">
        <f t="shared" si="52"/>
        <v>26</v>
      </c>
      <c r="S113" s="65">
        <f t="shared" si="47"/>
        <v>0</v>
      </c>
      <c r="T113" s="158">
        <f t="shared" si="34"/>
        <v>0</v>
      </c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169"/>
      <c r="BP113" s="169"/>
      <c r="BQ113" s="169"/>
      <c r="BR113" s="169"/>
      <c r="BS113" s="169"/>
      <c r="BT113" s="169"/>
      <c r="BU113" s="169"/>
      <c r="BV113" s="169"/>
      <c r="BW113" s="169"/>
      <c r="BX113" s="169"/>
      <c r="BY113" s="169"/>
      <c r="BZ113" s="169"/>
      <c r="CA113" s="169"/>
      <c r="CB113" s="169"/>
      <c r="CC113" s="169"/>
      <c r="CD113" s="169"/>
      <c r="CE113" s="169"/>
      <c r="CF113" s="169"/>
      <c r="CG113" s="169"/>
      <c r="CH113" s="169"/>
      <c r="CI113" s="169"/>
      <c r="CJ113" s="169"/>
      <c r="CK113" s="169"/>
      <c r="CL113" s="169"/>
      <c r="CM113" s="169"/>
      <c r="CN113" s="169"/>
      <c r="CO113" s="169"/>
      <c r="CP113" s="169"/>
      <c r="CQ113" s="169"/>
      <c r="CR113" s="169"/>
      <c r="CS113" s="169"/>
      <c r="CT113" s="169"/>
      <c r="CU113" s="169"/>
      <c r="CV113" s="169"/>
      <c r="CW113" s="169"/>
      <c r="CX113" s="169"/>
      <c r="CY113" s="169"/>
      <c r="CZ113" s="169"/>
      <c r="DA113" s="169"/>
      <c r="DB113" s="169"/>
      <c r="DC113" s="169"/>
      <c r="DD113" s="169"/>
      <c r="DE113" s="169"/>
      <c r="DF113" s="169"/>
    </row>
    <row r="114" spans="2:110" ht="29" x14ac:dyDescent="0.4">
      <c r="B114" s="499"/>
      <c r="C114" s="60">
        <v>141</v>
      </c>
      <c r="D114" s="327" t="s">
        <v>267</v>
      </c>
      <c r="E114" s="196">
        <v>45929</v>
      </c>
      <c r="F114" s="196">
        <v>46029</v>
      </c>
      <c r="G114" s="197">
        <f t="shared" si="44"/>
        <v>100</v>
      </c>
      <c r="H114" s="196">
        <f t="shared" si="45"/>
        <v>45929</v>
      </c>
      <c r="I114" s="196">
        <f t="shared" si="46"/>
        <v>46029</v>
      </c>
      <c r="J114" s="200" t="s">
        <v>2</v>
      </c>
      <c r="K114" s="201">
        <v>26</v>
      </c>
      <c r="L114" s="202"/>
      <c r="M114" s="202"/>
      <c r="N114" s="199" t="str">
        <f t="shared" si="48"/>
        <v/>
      </c>
      <c r="O114" s="203" t="str">
        <f t="shared" si="49"/>
        <v>-</v>
      </c>
      <c r="P114" s="206">
        <f t="shared" si="50"/>
        <v>0</v>
      </c>
      <c r="Q114" s="208">
        <f t="shared" si="51"/>
        <v>0</v>
      </c>
      <c r="R114" s="205">
        <f t="shared" si="52"/>
        <v>26</v>
      </c>
      <c r="S114" s="65">
        <f t="shared" si="47"/>
        <v>0</v>
      </c>
      <c r="T114" s="158">
        <f t="shared" si="34"/>
        <v>0</v>
      </c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169"/>
      <c r="BP114" s="169"/>
      <c r="BQ114" s="169"/>
      <c r="BR114" s="169"/>
      <c r="BS114" s="169"/>
      <c r="BT114" s="169"/>
      <c r="BU114" s="169"/>
      <c r="BV114" s="169"/>
      <c r="BW114" s="169"/>
      <c r="BX114" s="169"/>
      <c r="BY114" s="169"/>
      <c r="BZ114" s="169"/>
      <c r="CA114" s="169"/>
      <c r="CB114" s="169"/>
      <c r="CC114" s="169"/>
      <c r="CD114" s="169"/>
      <c r="CE114" s="169"/>
      <c r="CF114" s="169"/>
      <c r="CG114" s="169"/>
      <c r="CH114" s="169"/>
      <c r="CI114" s="169"/>
      <c r="CJ114" s="169"/>
      <c r="CK114" s="169"/>
      <c r="CL114" s="169"/>
      <c r="CM114" s="169"/>
      <c r="CN114" s="169"/>
      <c r="CO114" s="169"/>
      <c r="CP114" s="169"/>
      <c r="CQ114" s="169"/>
      <c r="CR114" s="169"/>
      <c r="CS114" s="169"/>
      <c r="CT114" s="169"/>
      <c r="CU114" s="169"/>
      <c r="CV114" s="169"/>
      <c r="CW114" s="169"/>
      <c r="CX114" s="169"/>
      <c r="CY114" s="169"/>
      <c r="CZ114" s="169"/>
      <c r="DA114" s="169"/>
      <c r="DB114" s="169"/>
      <c r="DC114" s="169"/>
      <c r="DD114" s="169"/>
      <c r="DE114" s="169"/>
      <c r="DF114" s="169"/>
    </row>
    <row r="115" spans="2:110" x14ac:dyDescent="0.4">
      <c r="B115" s="499"/>
      <c r="C115" s="60">
        <v>143</v>
      </c>
      <c r="D115" s="327" t="s">
        <v>42</v>
      </c>
      <c r="E115" s="196">
        <v>45940</v>
      </c>
      <c r="F115" s="196">
        <v>46042</v>
      </c>
      <c r="G115" s="197">
        <f t="shared" si="44"/>
        <v>102</v>
      </c>
      <c r="H115" s="196">
        <f t="shared" si="45"/>
        <v>45940</v>
      </c>
      <c r="I115" s="196">
        <f t="shared" si="46"/>
        <v>46042</v>
      </c>
      <c r="J115" s="200" t="s">
        <v>2</v>
      </c>
      <c r="K115" s="201">
        <v>26</v>
      </c>
      <c r="L115" s="202"/>
      <c r="M115" s="202"/>
      <c r="N115" s="199" t="str">
        <f t="shared" si="48"/>
        <v/>
      </c>
      <c r="O115" s="203" t="str">
        <f t="shared" si="49"/>
        <v>-</v>
      </c>
      <c r="P115" s="206">
        <f t="shared" si="50"/>
        <v>0</v>
      </c>
      <c r="Q115" s="208">
        <f t="shared" si="51"/>
        <v>0</v>
      </c>
      <c r="R115" s="205">
        <f t="shared" si="52"/>
        <v>26</v>
      </c>
      <c r="S115" s="65">
        <f t="shared" si="47"/>
        <v>0</v>
      </c>
      <c r="T115" s="158">
        <f t="shared" si="34"/>
        <v>0</v>
      </c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169"/>
      <c r="BP115" s="169"/>
      <c r="BQ115" s="169"/>
      <c r="BR115" s="169"/>
      <c r="BS115" s="169"/>
      <c r="BT115" s="169"/>
      <c r="BU115" s="169"/>
      <c r="BV115" s="169"/>
      <c r="BW115" s="169"/>
      <c r="BX115" s="169"/>
      <c r="BY115" s="169"/>
      <c r="BZ115" s="169"/>
      <c r="CA115" s="169"/>
      <c r="CB115" s="169"/>
      <c r="CC115" s="169"/>
      <c r="CD115" s="169"/>
      <c r="CE115" s="169"/>
      <c r="CF115" s="169"/>
      <c r="CG115" s="169"/>
      <c r="CH115" s="169"/>
      <c r="CI115" s="169"/>
      <c r="CJ115" s="169"/>
      <c r="CK115" s="169"/>
      <c r="CL115" s="169"/>
      <c r="CM115" s="169"/>
      <c r="CN115" s="169"/>
      <c r="CO115" s="169"/>
      <c r="CP115" s="169"/>
      <c r="CQ115" s="169"/>
      <c r="CR115" s="169"/>
      <c r="CS115" s="169"/>
      <c r="CT115" s="169"/>
      <c r="CU115" s="169"/>
      <c r="CV115" s="169"/>
      <c r="CW115" s="169"/>
      <c r="CX115" s="169"/>
      <c r="CY115" s="169"/>
      <c r="CZ115" s="169"/>
      <c r="DA115" s="169"/>
      <c r="DB115" s="169"/>
      <c r="DC115" s="169"/>
      <c r="DD115" s="169"/>
      <c r="DE115" s="169"/>
      <c r="DF115" s="169"/>
    </row>
    <row r="116" spans="2:110" x14ac:dyDescent="0.4">
      <c r="B116" s="499" t="s">
        <v>247</v>
      </c>
      <c r="C116" s="60">
        <v>144</v>
      </c>
      <c r="D116" s="327" t="s">
        <v>248</v>
      </c>
      <c r="E116" s="196">
        <v>45966</v>
      </c>
      <c r="F116" s="196">
        <v>46032</v>
      </c>
      <c r="G116" s="197">
        <f t="shared" si="44"/>
        <v>66</v>
      </c>
      <c r="H116" s="196">
        <f t="shared" si="45"/>
        <v>45966</v>
      </c>
      <c r="I116" s="196">
        <f t="shared" si="46"/>
        <v>46032</v>
      </c>
      <c r="J116" s="200" t="s">
        <v>12</v>
      </c>
      <c r="K116" s="201">
        <v>100</v>
      </c>
      <c r="L116" s="202"/>
      <c r="M116" s="202"/>
      <c r="N116" s="199" t="str">
        <f t="shared" si="48"/>
        <v/>
      </c>
      <c r="O116" s="203" t="str">
        <f t="shared" si="49"/>
        <v>-</v>
      </c>
      <c r="P116" s="206">
        <f t="shared" si="50"/>
        <v>0</v>
      </c>
      <c r="Q116" s="208">
        <f t="shared" si="51"/>
        <v>0</v>
      </c>
      <c r="R116" s="205">
        <f>K116-Q116%</f>
        <v>100</v>
      </c>
      <c r="S116" s="65">
        <f t="shared" si="47"/>
        <v>0</v>
      </c>
      <c r="T116" s="158">
        <f t="shared" si="34"/>
        <v>0</v>
      </c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169"/>
      <c r="BP116" s="169"/>
      <c r="BQ116" s="169"/>
      <c r="BR116" s="169"/>
      <c r="BS116" s="169"/>
      <c r="BT116" s="169"/>
      <c r="BU116" s="169"/>
      <c r="BV116" s="169"/>
      <c r="BW116" s="169"/>
      <c r="BX116" s="169"/>
      <c r="BY116" s="169"/>
      <c r="BZ116" s="169"/>
      <c r="CA116" s="169"/>
      <c r="CB116" s="169"/>
      <c r="CC116" s="169"/>
      <c r="CD116" s="169"/>
      <c r="CE116" s="169"/>
      <c r="CF116" s="169"/>
      <c r="CG116" s="169"/>
      <c r="CH116" s="169"/>
      <c r="CI116" s="169"/>
      <c r="CJ116" s="169"/>
      <c r="CK116" s="169"/>
      <c r="CL116" s="169"/>
      <c r="CM116" s="169"/>
      <c r="CN116" s="169"/>
      <c r="CO116" s="169"/>
      <c r="CP116" s="169"/>
      <c r="CQ116" s="169"/>
      <c r="CR116" s="169"/>
      <c r="CS116" s="169"/>
      <c r="CT116" s="169"/>
      <c r="CU116" s="169"/>
      <c r="CV116" s="169"/>
      <c r="CW116" s="169"/>
      <c r="CX116" s="169"/>
      <c r="CY116" s="169"/>
      <c r="CZ116" s="169"/>
      <c r="DA116" s="169"/>
      <c r="DB116" s="169"/>
      <c r="DC116" s="169"/>
      <c r="DD116" s="169"/>
      <c r="DE116" s="169"/>
      <c r="DF116" s="169"/>
    </row>
    <row r="117" spans="2:110" x14ac:dyDescent="0.4">
      <c r="B117" s="499"/>
      <c r="C117" s="60">
        <v>145</v>
      </c>
      <c r="D117" s="327" t="s">
        <v>435</v>
      </c>
      <c r="E117" s="196">
        <v>46011</v>
      </c>
      <c r="F117" s="196">
        <v>46040</v>
      </c>
      <c r="G117" s="197">
        <f t="shared" si="44"/>
        <v>29</v>
      </c>
      <c r="H117" s="196">
        <f t="shared" si="45"/>
        <v>46011</v>
      </c>
      <c r="I117" s="196">
        <f t="shared" si="46"/>
        <v>46040</v>
      </c>
      <c r="J117" s="200" t="s">
        <v>12</v>
      </c>
      <c r="K117" s="201">
        <v>100</v>
      </c>
      <c r="L117" s="202"/>
      <c r="M117" s="202"/>
      <c r="N117" s="199" t="str">
        <f t="shared" si="48"/>
        <v/>
      </c>
      <c r="O117" s="203" t="str">
        <f t="shared" si="49"/>
        <v>-</v>
      </c>
      <c r="P117" s="206">
        <f t="shared" si="50"/>
        <v>0</v>
      </c>
      <c r="Q117" s="208">
        <f t="shared" si="51"/>
        <v>0</v>
      </c>
      <c r="R117" s="205">
        <f>K117-Q117</f>
        <v>100</v>
      </c>
      <c r="S117" s="65">
        <f t="shared" si="47"/>
        <v>0</v>
      </c>
      <c r="T117" s="158">
        <f t="shared" si="34"/>
        <v>0</v>
      </c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169"/>
      <c r="BP117" s="169"/>
      <c r="BQ117" s="169"/>
      <c r="BR117" s="169"/>
      <c r="BS117" s="169"/>
      <c r="BT117" s="169"/>
      <c r="BU117" s="169"/>
      <c r="BV117" s="169"/>
      <c r="BW117" s="169"/>
      <c r="BX117" s="169"/>
      <c r="BY117" s="169"/>
      <c r="BZ117" s="169"/>
      <c r="CA117" s="169"/>
      <c r="CB117" s="169"/>
      <c r="CC117" s="169"/>
      <c r="CD117" s="169"/>
      <c r="CE117" s="169"/>
      <c r="CF117" s="169"/>
      <c r="CG117" s="169"/>
      <c r="CH117" s="169"/>
      <c r="CI117" s="169"/>
      <c r="CJ117" s="169"/>
      <c r="CK117" s="169"/>
      <c r="CL117" s="169"/>
      <c r="CM117" s="169"/>
      <c r="CN117" s="169"/>
      <c r="CO117" s="169"/>
      <c r="CP117" s="169"/>
      <c r="CQ117" s="169"/>
      <c r="CR117" s="169"/>
      <c r="CS117" s="169"/>
      <c r="CT117" s="169"/>
      <c r="CU117" s="169"/>
      <c r="CV117" s="169"/>
      <c r="CW117" s="169"/>
      <c r="CX117" s="169"/>
      <c r="CY117" s="169"/>
      <c r="CZ117" s="169"/>
      <c r="DA117" s="169"/>
      <c r="DB117" s="169"/>
      <c r="DC117" s="169"/>
      <c r="DD117" s="169"/>
      <c r="DE117" s="169"/>
      <c r="DF117" s="169"/>
    </row>
    <row r="118" spans="2:110" x14ac:dyDescent="0.4">
      <c r="B118" s="499"/>
      <c r="C118" s="60">
        <v>146</v>
      </c>
      <c r="D118" s="327" t="s">
        <v>250</v>
      </c>
      <c r="E118" s="196">
        <v>46012</v>
      </c>
      <c r="F118" s="196">
        <v>46031</v>
      </c>
      <c r="G118" s="197">
        <f t="shared" si="44"/>
        <v>19</v>
      </c>
      <c r="H118" s="196">
        <f t="shared" si="45"/>
        <v>46012</v>
      </c>
      <c r="I118" s="196">
        <f t="shared" si="46"/>
        <v>46031</v>
      </c>
      <c r="J118" s="200" t="s">
        <v>12</v>
      </c>
      <c r="K118" s="201">
        <v>100</v>
      </c>
      <c r="L118" s="202"/>
      <c r="M118" s="202"/>
      <c r="N118" s="199" t="str">
        <f t="shared" si="48"/>
        <v/>
      </c>
      <c r="O118" s="203" t="str">
        <f t="shared" si="49"/>
        <v>-</v>
      </c>
      <c r="P118" s="206">
        <f t="shared" si="50"/>
        <v>0</v>
      </c>
      <c r="Q118" s="208">
        <f t="shared" si="51"/>
        <v>0</v>
      </c>
      <c r="R118" s="205">
        <f>K118-Q118</f>
        <v>100</v>
      </c>
      <c r="S118" s="65">
        <f t="shared" si="47"/>
        <v>0</v>
      </c>
      <c r="T118" s="158">
        <f t="shared" si="34"/>
        <v>0</v>
      </c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169"/>
      <c r="BP118" s="169"/>
      <c r="BQ118" s="169"/>
      <c r="BR118" s="169"/>
      <c r="BS118" s="169"/>
      <c r="BT118" s="169"/>
      <c r="BU118" s="169"/>
      <c r="BV118" s="169"/>
      <c r="BW118" s="169"/>
      <c r="BX118" s="169"/>
      <c r="BY118" s="169"/>
      <c r="BZ118" s="169"/>
      <c r="CA118" s="169"/>
      <c r="CB118" s="169"/>
      <c r="CC118" s="169"/>
      <c r="CD118" s="169"/>
      <c r="CE118" s="169"/>
      <c r="CF118" s="169"/>
      <c r="CG118" s="169"/>
      <c r="CH118" s="169"/>
      <c r="CI118" s="169"/>
      <c r="CJ118" s="169"/>
      <c r="CK118" s="169"/>
      <c r="CL118" s="169"/>
      <c r="CM118" s="169"/>
      <c r="CN118" s="169"/>
      <c r="CO118" s="169"/>
      <c r="CP118" s="169"/>
      <c r="CQ118" s="169"/>
      <c r="CR118" s="169"/>
      <c r="CS118" s="169"/>
      <c r="CT118" s="169"/>
      <c r="CU118" s="169"/>
      <c r="CV118" s="169"/>
      <c r="CW118" s="169"/>
      <c r="CX118" s="169"/>
      <c r="CY118" s="169"/>
      <c r="CZ118" s="169"/>
      <c r="DA118" s="169"/>
      <c r="DB118" s="169"/>
      <c r="DC118" s="169"/>
      <c r="DD118" s="169"/>
      <c r="DE118" s="169"/>
      <c r="DF118" s="169"/>
    </row>
    <row r="119" spans="2:110" x14ac:dyDescent="0.4">
      <c r="B119" s="499"/>
      <c r="C119" s="60">
        <v>147</v>
      </c>
      <c r="D119" s="327" t="s">
        <v>251</v>
      </c>
      <c r="E119" s="196">
        <v>46032</v>
      </c>
      <c r="F119" s="196">
        <v>46047</v>
      </c>
      <c r="G119" s="197">
        <f t="shared" si="44"/>
        <v>15</v>
      </c>
      <c r="H119" s="196">
        <f t="shared" si="45"/>
        <v>46032</v>
      </c>
      <c r="I119" s="196">
        <f t="shared" si="46"/>
        <v>46047</v>
      </c>
      <c r="J119" s="200" t="s">
        <v>12</v>
      </c>
      <c r="K119" s="201">
        <v>100</v>
      </c>
      <c r="L119" s="202"/>
      <c r="M119" s="202"/>
      <c r="N119" s="199" t="str">
        <f t="shared" si="48"/>
        <v/>
      </c>
      <c r="O119" s="203" t="str">
        <f t="shared" si="49"/>
        <v>-</v>
      </c>
      <c r="P119" s="206">
        <f t="shared" si="50"/>
        <v>0</v>
      </c>
      <c r="Q119" s="208">
        <f t="shared" si="51"/>
        <v>0</v>
      </c>
      <c r="R119" s="205">
        <f>K119-Q119</f>
        <v>100</v>
      </c>
      <c r="S119" s="65">
        <f t="shared" si="47"/>
        <v>0</v>
      </c>
      <c r="T119" s="158">
        <f t="shared" ref="T119:T120" si="53">SUM(U119:CB119)</f>
        <v>0</v>
      </c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169"/>
      <c r="BP119" s="169"/>
      <c r="BQ119" s="169"/>
      <c r="BR119" s="169"/>
      <c r="BS119" s="169"/>
      <c r="BT119" s="169"/>
      <c r="BU119" s="169"/>
      <c r="BV119" s="169"/>
      <c r="BW119" s="169"/>
      <c r="BX119" s="169"/>
      <c r="BY119" s="169"/>
      <c r="BZ119" s="169"/>
      <c r="CA119" s="169"/>
      <c r="CB119" s="169"/>
      <c r="CC119" s="169"/>
      <c r="CD119" s="169"/>
      <c r="CE119" s="169"/>
      <c r="CF119" s="169"/>
      <c r="CG119" s="169"/>
      <c r="CH119" s="169"/>
      <c r="CI119" s="169"/>
      <c r="CJ119" s="169"/>
      <c r="CK119" s="169"/>
      <c r="CL119" s="169"/>
      <c r="CM119" s="169"/>
      <c r="CN119" s="169"/>
      <c r="CO119" s="169"/>
      <c r="CP119" s="169"/>
      <c r="CQ119" s="169"/>
      <c r="CR119" s="169"/>
      <c r="CS119" s="169"/>
      <c r="CT119" s="169"/>
      <c r="CU119" s="169"/>
      <c r="CV119" s="169"/>
      <c r="CW119" s="169"/>
      <c r="CX119" s="169"/>
      <c r="CY119" s="169"/>
      <c r="CZ119" s="169"/>
      <c r="DA119" s="169"/>
      <c r="DB119" s="169"/>
      <c r="DC119" s="169"/>
      <c r="DD119" s="169"/>
      <c r="DE119" s="169"/>
      <c r="DF119" s="169"/>
    </row>
    <row r="120" spans="2:110" x14ac:dyDescent="0.4">
      <c r="B120" s="499"/>
      <c r="C120" s="60">
        <v>148</v>
      </c>
      <c r="D120" s="327" t="s">
        <v>54</v>
      </c>
      <c r="E120" s="196">
        <v>46048</v>
      </c>
      <c r="F120" s="196">
        <v>46058</v>
      </c>
      <c r="G120" s="197">
        <f t="shared" si="44"/>
        <v>10</v>
      </c>
      <c r="H120" s="196">
        <f t="shared" si="45"/>
        <v>46048</v>
      </c>
      <c r="I120" s="196">
        <f t="shared" si="46"/>
        <v>46058</v>
      </c>
      <c r="J120" s="200" t="s">
        <v>12</v>
      </c>
      <c r="K120" s="201">
        <v>100</v>
      </c>
      <c r="L120" s="202"/>
      <c r="M120" s="202"/>
      <c r="N120" s="199" t="str">
        <f t="shared" si="48"/>
        <v/>
      </c>
      <c r="O120" s="203" t="str">
        <f t="shared" si="49"/>
        <v>-</v>
      </c>
      <c r="P120" s="206">
        <f t="shared" si="50"/>
        <v>0</v>
      </c>
      <c r="Q120" s="208">
        <f t="shared" si="51"/>
        <v>0</v>
      </c>
      <c r="R120" s="205">
        <f>K120-Q120</f>
        <v>100</v>
      </c>
      <c r="S120" s="65">
        <f t="shared" si="47"/>
        <v>0</v>
      </c>
      <c r="T120" s="158">
        <f t="shared" si="53"/>
        <v>0</v>
      </c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</row>
    <row r="121" spans="2:110" x14ac:dyDescent="0.4">
      <c r="B121" s="490"/>
    </row>
    <row r="122" spans="2:110" x14ac:dyDescent="0.4">
      <c r="B122" s="491"/>
    </row>
    <row r="123" spans="2:110" x14ac:dyDescent="0.4">
      <c r="B123" s="491"/>
    </row>
    <row r="124" spans="2:110" x14ac:dyDescent="0.4">
      <c r="B124" s="491"/>
    </row>
    <row r="125" spans="2:110" x14ac:dyDescent="0.4">
      <c r="B125" s="491"/>
    </row>
    <row r="126" spans="2:110" x14ac:dyDescent="0.4">
      <c r="B126" s="491"/>
    </row>
    <row r="127" spans="2:110" x14ac:dyDescent="0.4">
      <c r="B127" s="491"/>
    </row>
    <row r="128" spans="2:110" x14ac:dyDescent="0.4">
      <c r="B128" s="491"/>
      <c r="K128" s="151"/>
    </row>
    <row r="129" spans="11:11" x14ac:dyDescent="0.4">
      <c r="K129" s="151"/>
    </row>
  </sheetData>
  <mergeCells count="37">
    <mergeCell ref="B121:B128"/>
    <mergeCell ref="M2:M3"/>
    <mergeCell ref="G2:G3"/>
    <mergeCell ref="B28:B40"/>
    <mergeCell ref="T2:T3"/>
    <mergeCell ref="B116:B120"/>
    <mergeCell ref="B113:B115"/>
    <mergeCell ref="B107:B112"/>
    <mergeCell ref="B97:B106"/>
    <mergeCell ref="B94:B96"/>
    <mergeCell ref="B51:B62"/>
    <mergeCell ref="B41:B50"/>
    <mergeCell ref="B16:B27"/>
    <mergeCell ref="B89:B93"/>
    <mergeCell ref="B82:B88"/>
    <mergeCell ref="B79:B81"/>
    <mergeCell ref="B76:B78"/>
    <mergeCell ref="B63:B75"/>
    <mergeCell ref="L2:L3"/>
    <mergeCell ref="E2:E3"/>
    <mergeCell ref="F2:F3"/>
    <mergeCell ref="I2:I3"/>
    <mergeCell ref="B12:B15"/>
    <mergeCell ref="B6:B11"/>
    <mergeCell ref="H2:H3"/>
    <mergeCell ref="B2:B3"/>
    <mergeCell ref="C2:C3"/>
    <mergeCell ref="D2:D3"/>
    <mergeCell ref="J2:J3"/>
    <mergeCell ref="K2:K3"/>
    <mergeCell ref="B4:B5"/>
    <mergeCell ref="R2:R3"/>
    <mergeCell ref="S2:S3"/>
    <mergeCell ref="N2:N3"/>
    <mergeCell ref="O2:O3"/>
    <mergeCell ref="P2:P3"/>
    <mergeCell ref="Q2:Q3"/>
  </mergeCells>
  <conditionalFormatting sqref="P4:P120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{67C3A4DF-597E-4419-BCC2-74FC41D6F633}</x14:id>
        </ext>
      </extLst>
    </cfRule>
  </conditionalFormatting>
  <conditionalFormatting sqref="P121:P1048576 P1:P3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{447EB8CD-3741-46F8-B605-A73A8014A6F4}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C3A4DF-597E-4419-BCC2-74FC41D6F6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P4:P120</xm:sqref>
        </x14:conditionalFormatting>
        <x14:conditionalFormatting xmlns:xm="http://schemas.microsoft.com/office/excel/2006/main">
          <x14:cfRule type="dataBar" id="{447EB8CD-3741-46F8-B605-A73A8014A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P121:P1048576 P1:P3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77CF-CF38-4C84-8730-A452AEA15100}">
  <dimension ref="A1:X207"/>
  <sheetViews>
    <sheetView zoomScale="85" zoomScaleNormal="85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G10" sqref="G10"/>
    </sheetView>
  </sheetViews>
  <sheetFormatPr defaultColWidth="9" defaultRowHeight="14" x14ac:dyDescent="0.3"/>
  <cols>
    <col min="1" max="1" width="6.453125" style="291" customWidth="1"/>
    <col min="2" max="2" width="17.7265625" style="291" hidden="1" customWidth="1"/>
    <col min="3" max="3" width="31.54296875" style="291" customWidth="1"/>
    <col min="4" max="4" width="32.26953125" style="294" customWidth="1"/>
    <col min="5" max="5" width="24.1796875" style="290" customWidth="1"/>
    <col min="6" max="6" width="13.81640625" style="218" bestFit="1" customWidth="1"/>
    <col min="7" max="8" width="11.81640625" style="290" customWidth="1"/>
    <col min="9" max="9" width="24.1796875" style="290" hidden="1" customWidth="1"/>
    <col min="10" max="10" width="13.453125" style="218" hidden="1" customWidth="1"/>
    <col min="11" max="11" width="14.1796875" style="290" bestFit="1" customWidth="1"/>
    <col min="12" max="12" width="21.81640625" style="293" bestFit="1" customWidth="1"/>
    <col min="13" max="13" width="14.81640625" style="293" bestFit="1" customWidth="1"/>
    <col min="14" max="14" width="25.26953125" style="290" bestFit="1" customWidth="1"/>
    <col min="15" max="16" width="14.81640625" style="290" customWidth="1"/>
    <col min="17" max="17" width="19" style="290" bestFit="1" customWidth="1"/>
    <col min="18" max="18" width="18.54296875" style="290" customWidth="1"/>
    <col min="19" max="19" width="14.81640625" style="290" bestFit="1" customWidth="1"/>
    <col min="20" max="20" width="26.453125" style="290" bestFit="1" customWidth="1"/>
    <col min="21" max="21" width="26" style="290" bestFit="1" customWidth="1"/>
    <col min="22" max="23" width="9" style="218"/>
    <col min="24" max="24" width="23.81640625" style="218" bestFit="1" customWidth="1"/>
    <col min="25" max="27" width="9" style="218"/>
    <col min="28" max="28" width="23.81640625" style="218" bestFit="1" customWidth="1"/>
    <col min="29" max="16384" width="9" style="218"/>
  </cols>
  <sheetData>
    <row r="1" spans="1:24" ht="27.5" x14ac:dyDescent="0.3">
      <c r="A1" s="386" t="s">
        <v>446</v>
      </c>
      <c r="B1" s="386"/>
      <c r="C1" s="386"/>
      <c r="D1" s="386"/>
      <c r="E1" s="386"/>
      <c r="F1" s="386"/>
      <c r="G1" s="386"/>
      <c r="H1" s="212"/>
      <c r="I1" s="213"/>
      <c r="J1" s="214"/>
      <c r="K1" s="215"/>
      <c r="L1" s="215"/>
      <c r="M1" s="215"/>
      <c r="N1" s="216"/>
      <c r="O1" s="216">
        <f ca="1">TODAY()</f>
        <v>45845</v>
      </c>
      <c r="P1" s="215"/>
      <c r="Q1" s="215"/>
      <c r="R1" s="215"/>
      <c r="S1" s="215"/>
      <c r="T1" s="215"/>
      <c r="U1" s="217">
        <f ca="1">TODAY()</f>
        <v>45845</v>
      </c>
    </row>
    <row r="2" spans="1:24" ht="56" x14ac:dyDescent="0.3">
      <c r="A2" s="219" t="s">
        <v>447</v>
      </c>
      <c r="B2" s="219" t="s">
        <v>448</v>
      </c>
      <c r="C2" s="219" t="s">
        <v>448</v>
      </c>
      <c r="D2" s="219" t="s">
        <v>449</v>
      </c>
      <c r="E2" s="220" t="s">
        <v>450</v>
      </c>
      <c r="F2" s="220" t="s">
        <v>451</v>
      </c>
      <c r="G2" s="220" t="s">
        <v>452</v>
      </c>
      <c r="H2" s="220" t="s">
        <v>841</v>
      </c>
      <c r="I2" s="220" t="s">
        <v>453</v>
      </c>
      <c r="J2" s="220" t="s">
        <v>454</v>
      </c>
      <c r="K2" s="220" t="s">
        <v>455</v>
      </c>
      <c r="L2" s="220" t="s">
        <v>456</v>
      </c>
      <c r="M2" s="220" t="s">
        <v>457</v>
      </c>
      <c r="N2" s="220" t="s">
        <v>458</v>
      </c>
      <c r="O2" s="220" t="s">
        <v>459</v>
      </c>
      <c r="P2" s="220" t="s">
        <v>460</v>
      </c>
      <c r="Q2" s="220" t="s">
        <v>461</v>
      </c>
      <c r="R2" s="220" t="s">
        <v>462</v>
      </c>
      <c r="S2" s="220" t="s">
        <v>463</v>
      </c>
      <c r="T2" s="220" t="s">
        <v>319</v>
      </c>
      <c r="U2" s="220" t="s">
        <v>464</v>
      </c>
    </row>
    <row r="3" spans="1:24" x14ac:dyDescent="0.3">
      <c r="A3" s="387">
        <v>1</v>
      </c>
      <c r="B3" s="387" t="s">
        <v>465</v>
      </c>
      <c r="C3" s="388" t="s">
        <v>466</v>
      </c>
      <c r="D3" s="389" t="s">
        <v>467</v>
      </c>
      <c r="E3" s="385" t="s">
        <v>468</v>
      </c>
      <c r="F3" s="385" t="s">
        <v>469</v>
      </c>
      <c r="G3" s="384">
        <v>45698</v>
      </c>
      <c r="H3" s="384">
        <v>45698</v>
      </c>
      <c r="I3" s="226"/>
      <c r="J3" s="227"/>
      <c r="K3" s="224" t="s">
        <v>470</v>
      </c>
      <c r="L3" s="225">
        <v>45698</v>
      </c>
      <c r="M3" s="225"/>
      <c r="N3" s="224"/>
      <c r="O3" s="224"/>
      <c r="P3" s="224"/>
      <c r="Q3" s="385"/>
      <c r="R3" s="385" t="s">
        <v>399</v>
      </c>
      <c r="S3" s="385" t="s">
        <v>471</v>
      </c>
      <c r="T3" s="385" t="s">
        <v>399</v>
      </c>
      <c r="U3" s="385"/>
    </row>
    <row r="4" spans="1:24" x14ac:dyDescent="0.3">
      <c r="A4" s="387"/>
      <c r="B4" s="387"/>
      <c r="C4" s="388"/>
      <c r="D4" s="389"/>
      <c r="E4" s="385"/>
      <c r="F4" s="385"/>
      <c r="G4" s="384"/>
      <c r="H4" s="384"/>
      <c r="I4" s="226"/>
      <c r="J4" s="227"/>
      <c r="K4" s="224" t="s">
        <v>472</v>
      </c>
      <c r="L4" s="225">
        <v>45700</v>
      </c>
      <c r="M4" s="225">
        <v>45700</v>
      </c>
      <c r="N4" s="224"/>
      <c r="O4" s="224">
        <f>M4-L4</f>
        <v>0</v>
      </c>
      <c r="P4" s="224">
        <f>L5-M4</f>
        <v>2</v>
      </c>
      <c r="Q4" s="385"/>
      <c r="R4" s="385"/>
      <c r="S4" s="385"/>
      <c r="T4" s="385"/>
      <c r="U4" s="385"/>
      <c r="X4" s="228" t="s">
        <v>473</v>
      </c>
    </row>
    <row r="5" spans="1:24" x14ac:dyDescent="0.3">
      <c r="A5" s="387"/>
      <c r="B5" s="387"/>
      <c r="C5" s="388"/>
      <c r="D5" s="389"/>
      <c r="E5" s="385"/>
      <c r="F5" s="385"/>
      <c r="G5" s="384"/>
      <c r="H5" s="384"/>
      <c r="I5" s="226"/>
      <c r="J5" s="227"/>
      <c r="K5" s="224" t="s">
        <v>474</v>
      </c>
      <c r="L5" s="225">
        <v>45702</v>
      </c>
      <c r="M5" s="225">
        <v>45705</v>
      </c>
      <c r="N5" s="224"/>
      <c r="O5" s="224">
        <f>M5-L5</f>
        <v>3</v>
      </c>
      <c r="P5" s="224">
        <f>L6-M5</f>
        <v>2</v>
      </c>
      <c r="Q5" s="385"/>
      <c r="R5" s="385"/>
      <c r="S5" s="385"/>
      <c r="T5" s="385"/>
      <c r="U5" s="385"/>
      <c r="X5" s="229" t="s">
        <v>399</v>
      </c>
    </row>
    <row r="6" spans="1:24" x14ac:dyDescent="0.3">
      <c r="A6" s="387"/>
      <c r="B6" s="387"/>
      <c r="C6" s="388"/>
      <c r="D6" s="389"/>
      <c r="E6" s="385"/>
      <c r="F6" s="385"/>
      <c r="G6" s="384"/>
      <c r="H6" s="384"/>
      <c r="I6" s="226"/>
      <c r="J6" s="227"/>
      <c r="K6" s="224" t="s">
        <v>475</v>
      </c>
      <c r="L6" s="225">
        <v>45707</v>
      </c>
      <c r="M6" s="225"/>
      <c r="N6" s="224"/>
      <c r="O6" s="224"/>
      <c r="P6" s="224"/>
      <c r="Q6" s="385"/>
      <c r="R6" s="385"/>
      <c r="S6" s="385"/>
      <c r="T6" s="385"/>
      <c r="U6" s="385"/>
      <c r="X6" s="229" t="s">
        <v>476</v>
      </c>
    </row>
    <row r="7" spans="1:24" x14ac:dyDescent="0.3">
      <c r="A7" s="387">
        <v>2</v>
      </c>
      <c r="B7" s="387" t="s">
        <v>465</v>
      </c>
      <c r="C7" s="388" t="s">
        <v>466</v>
      </c>
      <c r="D7" s="389" t="s">
        <v>477</v>
      </c>
      <c r="E7" s="385" t="s">
        <v>478</v>
      </c>
      <c r="F7" s="385" t="s">
        <v>479</v>
      </c>
      <c r="G7" s="384">
        <v>45740</v>
      </c>
      <c r="H7" s="384">
        <v>45740</v>
      </c>
      <c r="I7" s="226"/>
      <c r="J7" s="227"/>
      <c r="K7" s="224" t="s">
        <v>470</v>
      </c>
      <c r="L7" s="225">
        <v>45740</v>
      </c>
      <c r="M7" s="225">
        <v>45743</v>
      </c>
      <c r="N7" s="224" t="s">
        <v>480</v>
      </c>
      <c r="O7" s="224">
        <f>M7-L7</f>
        <v>3</v>
      </c>
      <c r="P7" s="224">
        <f>L8-M7</f>
        <v>6</v>
      </c>
      <c r="Q7" s="402">
        <f>M8</f>
        <v>45755</v>
      </c>
      <c r="R7" s="385" t="str">
        <f>T7</f>
        <v>Approved</v>
      </c>
      <c r="S7" s="385" t="str">
        <f>N8</f>
        <v>CAT -IV</v>
      </c>
      <c r="T7" s="385" t="s">
        <v>399</v>
      </c>
      <c r="U7" s="385">
        <f>M8-L8</f>
        <v>6</v>
      </c>
      <c r="X7" s="229" t="s">
        <v>481</v>
      </c>
    </row>
    <row r="8" spans="1:24" x14ac:dyDescent="0.3">
      <c r="A8" s="387"/>
      <c r="B8" s="387"/>
      <c r="C8" s="388"/>
      <c r="D8" s="389"/>
      <c r="E8" s="385"/>
      <c r="F8" s="385"/>
      <c r="G8" s="384"/>
      <c r="H8" s="384"/>
      <c r="I8" s="226"/>
      <c r="J8" s="227"/>
      <c r="K8" s="224" t="s">
        <v>472</v>
      </c>
      <c r="L8" s="225">
        <v>45749</v>
      </c>
      <c r="M8" s="225">
        <v>45755</v>
      </c>
      <c r="N8" s="224" t="s">
        <v>482</v>
      </c>
      <c r="O8" s="224">
        <f>M8-L8</f>
        <v>6</v>
      </c>
      <c r="P8" s="224"/>
      <c r="Q8" s="402"/>
      <c r="R8" s="385"/>
      <c r="S8" s="385"/>
      <c r="T8" s="385"/>
      <c r="U8" s="385"/>
    </row>
    <row r="9" spans="1:24" ht="28" x14ac:dyDescent="0.3">
      <c r="A9" s="231">
        <v>3</v>
      </c>
      <c r="B9" s="231" t="s">
        <v>465</v>
      </c>
      <c r="C9" s="232" t="s">
        <v>466</v>
      </c>
      <c r="D9" s="233" t="s">
        <v>483</v>
      </c>
      <c r="E9" s="213" t="s">
        <v>484</v>
      </c>
      <c r="F9" s="213" t="s">
        <v>469</v>
      </c>
      <c r="G9" s="234"/>
      <c r="H9" s="225"/>
      <c r="I9" s="235"/>
      <c r="J9" s="236"/>
      <c r="K9" s="213" t="s">
        <v>470</v>
      </c>
      <c r="L9" s="234"/>
      <c r="M9" s="234"/>
      <c r="N9" s="213"/>
      <c r="O9" s="213"/>
      <c r="P9" s="213"/>
      <c r="Q9" s="213"/>
      <c r="R9" s="213"/>
      <c r="S9" s="213" t="s">
        <v>485</v>
      </c>
      <c r="T9" s="213" t="s">
        <v>399</v>
      </c>
      <c r="U9" s="213"/>
    </row>
    <row r="10" spans="1:24" ht="42" x14ac:dyDescent="0.3">
      <c r="A10" s="221">
        <v>4</v>
      </c>
      <c r="B10" s="221" t="s">
        <v>465</v>
      </c>
      <c r="C10" s="222" t="s">
        <v>466</v>
      </c>
      <c r="D10" s="223" t="s">
        <v>486</v>
      </c>
      <c r="E10" s="224" t="s">
        <v>487</v>
      </c>
      <c r="F10" s="224" t="s">
        <v>479</v>
      </c>
      <c r="G10" s="225">
        <v>45768</v>
      </c>
      <c r="H10" s="225">
        <v>45768</v>
      </c>
      <c r="I10" s="226"/>
      <c r="J10" s="227"/>
      <c r="K10" s="224" t="s">
        <v>470</v>
      </c>
      <c r="L10" s="225">
        <v>45768</v>
      </c>
      <c r="M10" s="225">
        <v>45776</v>
      </c>
      <c r="N10" s="224" t="s">
        <v>480</v>
      </c>
      <c r="O10" s="224">
        <f>M10-L10</f>
        <v>8</v>
      </c>
      <c r="P10" s="224"/>
      <c r="Q10" s="230">
        <f>M10</f>
        <v>45776</v>
      </c>
      <c r="R10" s="224" t="s">
        <v>399</v>
      </c>
      <c r="S10" s="224" t="str">
        <f>N10</f>
        <v>CAT -IV R</v>
      </c>
      <c r="T10" s="224" t="s">
        <v>399</v>
      </c>
      <c r="U10" s="224"/>
    </row>
    <row r="11" spans="1:24" ht="28" x14ac:dyDescent="0.3">
      <c r="A11" s="237">
        <v>5</v>
      </c>
      <c r="B11" s="238" t="s">
        <v>465</v>
      </c>
      <c r="C11" s="239" t="s">
        <v>466</v>
      </c>
      <c r="D11" s="240" t="s">
        <v>488</v>
      </c>
      <c r="E11" s="215" t="s">
        <v>489</v>
      </c>
      <c r="F11" s="213" t="s">
        <v>479</v>
      </c>
      <c r="G11" s="234">
        <v>45814</v>
      </c>
      <c r="H11" s="234">
        <v>45820</v>
      </c>
      <c r="I11" s="235"/>
      <c r="J11" s="241"/>
      <c r="K11" s="215"/>
      <c r="L11" s="242"/>
      <c r="M11" s="242"/>
      <c r="N11" s="215"/>
      <c r="O11" s="215"/>
      <c r="P11" s="215"/>
      <c r="Q11" s="215"/>
      <c r="R11" s="215" t="s">
        <v>495</v>
      </c>
      <c r="S11" s="215"/>
      <c r="T11" s="215" t="s">
        <v>473</v>
      </c>
      <c r="U11" s="215"/>
    </row>
    <row r="12" spans="1:24" x14ac:dyDescent="0.3">
      <c r="A12" s="237">
        <v>6</v>
      </c>
      <c r="B12" s="238" t="s">
        <v>465</v>
      </c>
      <c r="C12" s="239" t="s">
        <v>466</v>
      </c>
      <c r="D12" s="240" t="s">
        <v>490</v>
      </c>
      <c r="E12" s="215" t="s">
        <v>491</v>
      </c>
      <c r="F12" s="215" t="s">
        <v>479</v>
      </c>
      <c r="G12" s="242">
        <v>45814</v>
      </c>
      <c r="H12" s="242">
        <v>45820</v>
      </c>
      <c r="I12" s="243"/>
      <c r="J12" s="241"/>
      <c r="K12" s="215"/>
      <c r="L12" s="242"/>
      <c r="M12" s="242"/>
      <c r="N12" s="215"/>
      <c r="O12" s="215"/>
      <c r="P12" s="215"/>
      <c r="Q12" s="215"/>
      <c r="R12" s="215"/>
      <c r="S12" s="215"/>
      <c r="T12" s="215"/>
      <c r="U12" s="215"/>
    </row>
    <row r="13" spans="1:24" x14ac:dyDescent="0.3">
      <c r="A13" s="403">
        <v>7</v>
      </c>
      <c r="B13" s="404" t="s">
        <v>465</v>
      </c>
      <c r="C13" s="405" t="s">
        <v>466</v>
      </c>
      <c r="D13" s="406" t="s">
        <v>492</v>
      </c>
      <c r="E13" s="407" t="s">
        <v>493</v>
      </c>
      <c r="F13" s="407" t="s">
        <v>469</v>
      </c>
      <c r="G13" s="408">
        <v>45742</v>
      </c>
      <c r="H13" s="408">
        <v>45742</v>
      </c>
      <c r="I13" s="243"/>
      <c r="J13" s="241"/>
      <c r="K13" s="215" t="s">
        <v>470</v>
      </c>
      <c r="L13" s="242">
        <v>45742</v>
      </c>
      <c r="M13" s="242">
        <v>45751</v>
      </c>
      <c r="N13" s="215" t="s">
        <v>494</v>
      </c>
      <c r="O13" s="215">
        <f>M13-L13</f>
        <v>9</v>
      </c>
      <c r="P13" s="215">
        <f>L14-M13</f>
        <v>0</v>
      </c>
      <c r="Q13" s="215"/>
      <c r="R13" s="407" t="s">
        <v>495</v>
      </c>
      <c r="S13" s="407" t="str">
        <f>N13</f>
        <v>CAT - II</v>
      </c>
      <c r="T13" s="407" t="s">
        <v>473</v>
      </c>
      <c r="U13" s="407">
        <f ca="1">U1-L14</f>
        <v>94</v>
      </c>
    </row>
    <row r="14" spans="1:24" x14ac:dyDescent="0.3">
      <c r="A14" s="403"/>
      <c r="B14" s="404"/>
      <c r="C14" s="405"/>
      <c r="D14" s="406"/>
      <c r="E14" s="407"/>
      <c r="F14" s="407"/>
      <c r="G14" s="408"/>
      <c r="H14" s="408"/>
      <c r="I14" s="243"/>
      <c r="J14" s="241"/>
      <c r="K14" s="215" t="s">
        <v>472</v>
      </c>
      <c r="L14" s="242">
        <v>45751</v>
      </c>
      <c r="M14" s="242"/>
      <c r="N14" s="215"/>
      <c r="O14" s="215">
        <f ca="1">O1-L14</f>
        <v>94</v>
      </c>
      <c r="P14" s="215"/>
      <c r="Q14" s="215"/>
      <c r="R14" s="407"/>
      <c r="S14" s="407"/>
      <c r="T14" s="407"/>
      <c r="U14" s="407"/>
    </row>
    <row r="15" spans="1:24" x14ac:dyDescent="0.3">
      <c r="A15" s="237">
        <v>8</v>
      </c>
      <c r="B15" s="238" t="s">
        <v>465</v>
      </c>
      <c r="C15" s="239" t="s">
        <v>466</v>
      </c>
      <c r="D15" s="240" t="s">
        <v>496</v>
      </c>
      <c r="E15" s="215" t="s">
        <v>497</v>
      </c>
      <c r="F15" s="215" t="s">
        <v>479</v>
      </c>
      <c r="G15" s="242">
        <v>45771</v>
      </c>
      <c r="H15" s="242">
        <v>45771</v>
      </c>
      <c r="I15" s="243"/>
      <c r="J15" s="241"/>
      <c r="K15" s="215" t="s">
        <v>470</v>
      </c>
      <c r="L15" s="242">
        <v>45772</v>
      </c>
      <c r="M15" s="242"/>
      <c r="N15" s="215"/>
      <c r="O15" s="215">
        <f ca="1">O1-L15</f>
        <v>73</v>
      </c>
      <c r="P15" s="215"/>
      <c r="Q15" s="215"/>
      <c r="R15" s="215" t="s">
        <v>495</v>
      </c>
      <c r="S15" s="215"/>
      <c r="T15" s="215" t="s">
        <v>473</v>
      </c>
      <c r="U15" s="215">
        <f ca="1">U1-L15</f>
        <v>73</v>
      </c>
    </row>
    <row r="16" spans="1:24" x14ac:dyDescent="0.3">
      <c r="A16" s="221">
        <v>9</v>
      </c>
      <c r="B16" s="221" t="s">
        <v>465</v>
      </c>
      <c r="C16" s="222" t="s">
        <v>466</v>
      </c>
      <c r="D16" s="223" t="s">
        <v>498</v>
      </c>
      <c r="E16" s="224" t="s">
        <v>499</v>
      </c>
      <c r="F16" s="224" t="s">
        <v>479</v>
      </c>
      <c r="G16" s="225"/>
      <c r="H16" s="225"/>
      <c r="I16" s="226"/>
      <c r="J16" s="227"/>
      <c r="K16" s="224" t="s">
        <v>470</v>
      </c>
      <c r="L16" s="225"/>
      <c r="M16" s="225"/>
      <c r="N16" s="224"/>
      <c r="O16" s="224"/>
      <c r="P16" s="224"/>
      <c r="Q16" s="224"/>
      <c r="R16" s="224" t="s">
        <v>399</v>
      </c>
      <c r="S16" s="224" t="s">
        <v>485</v>
      </c>
      <c r="T16" s="224" t="s">
        <v>399</v>
      </c>
      <c r="U16" s="224"/>
    </row>
    <row r="17" spans="1:21" x14ac:dyDescent="0.3">
      <c r="A17" s="237">
        <v>10</v>
      </c>
      <c r="B17" s="238" t="s">
        <v>465</v>
      </c>
      <c r="C17" s="239" t="s">
        <v>466</v>
      </c>
      <c r="D17" s="240" t="s">
        <v>500</v>
      </c>
      <c r="E17" s="215" t="s">
        <v>501</v>
      </c>
      <c r="F17" s="213" t="s">
        <v>479</v>
      </c>
      <c r="G17" s="234">
        <v>45772</v>
      </c>
      <c r="H17" s="234">
        <v>45772</v>
      </c>
      <c r="I17" s="235"/>
      <c r="J17" s="241"/>
      <c r="K17" s="215" t="s">
        <v>470</v>
      </c>
      <c r="L17" s="242">
        <v>45772</v>
      </c>
      <c r="M17" s="242">
        <v>45778</v>
      </c>
      <c r="N17" s="215" t="s">
        <v>480</v>
      </c>
      <c r="O17" s="215">
        <f>M17-L17</f>
        <v>6</v>
      </c>
      <c r="P17" s="215"/>
      <c r="Q17" s="215"/>
      <c r="R17" s="215" t="s">
        <v>502</v>
      </c>
      <c r="S17" s="215" t="str">
        <f>N17</f>
        <v>CAT -IV R</v>
      </c>
      <c r="T17" s="215" t="s">
        <v>476</v>
      </c>
      <c r="U17" s="215">
        <f ca="1">U1-M17</f>
        <v>67</v>
      </c>
    </row>
    <row r="18" spans="1:21" x14ac:dyDescent="0.3">
      <c r="A18" s="387">
        <v>11</v>
      </c>
      <c r="B18" s="387" t="s">
        <v>465</v>
      </c>
      <c r="C18" s="388" t="s">
        <v>466</v>
      </c>
      <c r="D18" s="389" t="s">
        <v>503</v>
      </c>
      <c r="E18" s="385" t="s">
        <v>504</v>
      </c>
      <c r="F18" s="385" t="s">
        <v>469</v>
      </c>
      <c r="G18" s="384">
        <v>45769</v>
      </c>
      <c r="H18" s="384">
        <f>L18</f>
        <v>45769</v>
      </c>
      <c r="I18" s="226"/>
      <c r="J18" s="227"/>
      <c r="K18" s="224" t="s">
        <v>470</v>
      </c>
      <c r="L18" s="225">
        <v>45769</v>
      </c>
      <c r="M18" s="225">
        <v>45771</v>
      </c>
      <c r="N18" s="224" t="s">
        <v>471</v>
      </c>
      <c r="O18" s="224">
        <f>M18-L18</f>
        <v>2</v>
      </c>
      <c r="P18" s="224">
        <f>L19-M18</f>
        <v>6</v>
      </c>
      <c r="Q18" s="402">
        <f>M20</f>
        <v>45793</v>
      </c>
      <c r="R18" s="385" t="s">
        <v>495</v>
      </c>
      <c r="S18" s="385" t="str">
        <f>N20</f>
        <v>CAT - I</v>
      </c>
      <c r="T18" s="385" t="s">
        <v>399</v>
      </c>
      <c r="U18" s="385">
        <f>M20-L20</f>
        <v>7</v>
      </c>
    </row>
    <row r="19" spans="1:21" x14ac:dyDescent="0.3">
      <c r="A19" s="387"/>
      <c r="B19" s="387"/>
      <c r="C19" s="388"/>
      <c r="D19" s="389"/>
      <c r="E19" s="385"/>
      <c r="F19" s="385"/>
      <c r="G19" s="384"/>
      <c r="H19" s="384"/>
      <c r="I19" s="226"/>
      <c r="J19" s="227"/>
      <c r="K19" s="224" t="s">
        <v>472</v>
      </c>
      <c r="L19" s="225">
        <v>45777</v>
      </c>
      <c r="M19" s="225">
        <v>45778</v>
      </c>
      <c r="N19" s="224" t="s">
        <v>494</v>
      </c>
      <c r="O19" s="224">
        <f>M19-L19</f>
        <v>1</v>
      </c>
      <c r="P19" s="224">
        <f>L20-M19</f>
        <v>8</v>
      </c>
      <c r="Q19" s="402"/>
      <c r="R19" s="385"/>
      <c r="S19" s="385"/>
      <c r="T19" s="385"/>
      <c r="U19" s="385"/>
    </row>
    <row r="20" spans="1:21" x14ac:dyDescent="0.3">
      <c r="A20" s="387"/>
      <c r="B20" s="387"/>
      <c r="C20" s="388"/>
      <c r="D20" s="389"/>
      <c r="E20" s="385"/>
      <c r="F20" s="385"/>
      <c r="G20" s="384"/>
      <c r="H20" s="384"/>
      <c r="I20" s="226"/>
      <c r="J20" s="227"/>
      <c r="K20" s="224" t="s">
        <v>474</v>
      </c>
      <c r="L20" s="225">
        <v>45786</v>
      </c>
      <c r="M20" s="225">
        <v>45793</v>
      </c>
      <c r="N20" s="224" t="s">
        <v>485</v>
      </c>
      <c r="O20" s="224">
        <f>M20-L20</f>
        <v>7</v>
      </c>
      <c r="P20" s="224"/>
      <c r="Q20" s="402"/>
      <c r="R20" s="385"/>
      <c r="S20" s="385"/>
      <c r="T20" s="385"/>
      <c r="U20" s="385"/>
    </row>
    <row r="21" spans="1:21" x14ac:dyDescent="0.3">
      <c r="A21" s="237">
        <v>12</v>
      </c>
      <c r="B21" s="238" t="s">
        <v>465</v>
      </c>
      <c r="C21" s="239" t="s">
        <v>466</v>
      </c>
      <c r="D21" s="240" t="s">
        <v>505</v>
      </c>
      <c r="E21" s="215" t="s">
        <v>506</v>
      </c>
      <c r="F21" s="213" t="s">
        <v>479</v>
      </c>
      <c r="G21" s="234">
        <v>45801</v>
      </c>
      <c r="H21" s="234">
        <v>45843</v>
      </c>
      <c r="I21" s="235"/>
      <c r="J21" s="241"/>
      <c r="K21" s="215"/>
      <c r="L21" s="242"/>
      <c r="M21" s="242"/>
      <c r="N21" s="215"/>
      <c r="O21" s="215"/>
      <c r="P21" s="215"/>
      <c r="Q21" s="215"/>
      <c r="R21" s="215"/>
      <c r="S21" s="215"/>
      <c r="T21" s="215"/>
      <c r="U21" s="215"/>
    </row>
    <row r="22" spans="1:21" s="249" customFormat="1" x14ac:dyDescent="0.3">
      <c r="A22" s="237">
        <v>13</v>
      </c>
      <c r="B22" s="238" t="s">
        <v>465</v>
      </c>
      <c r="C22" s="239" t="s">
        <v>466</v>
      </c>
      <c r="D22" s="240" t="s">
        <v>507</v>
      </c>
      <c r="E22" s="215" t="s">
        <v>508</v>
      </c>
      <c r="F22" s="244" t="s">
        <v>479</v>
      </c>
      <c r="G22" s="245"/>
      <c r="H22" s="245"/>
      <c r="I22" s="246"/>
      <c r="J22" s="247"/>
      <c r="K22" s="248"/>
      <c r="L22" s="242"/>
      <c r="M22" s="242"/>
      <c r="N22" s="248"/>
      <c r="O22" s="215"/>
      <c r="P22" s="215"/>
      <c r="Q22" s="248"/>
      <c r="R22" s="248"/>
      <c r="S22" s="248"/>
      <c r="T22" s="248"/>
      <c r="U22" s="248"/>
    </row>
    <row r="23" spans="1:21" ht="28" x14ac:dyDescent="0.3">
      <c r="A23" s="237">
        <v>14</v>
      </c>
      <c r="B23" s="238" t="s">
        <v>465</v>
      </c>
      <c r="C23" s="239" t="s">
        <v>466</v>
      </c>
      <c r="D23" s="240" t="s">
        <v>509</v>
      </c>
      <c r="E23" s="215" t="s">
        <v>510</v>
      </c>
      <c r="F23" s="213" t="s">
        <v>469</v>
      </c>
      <c r="G23" s="234"/>
      <c r="H23" s="234"/>
      <c r="I23" s="235"/>
      <c r="J23" s="241"/>
      <c r="K23" s="215"/>
      <c r="L23" s="242"/>
      <c r="M23" s="242"/>
      <c r="N23" s="215"/>
      <c r="O23" s="215"/>
      <c r="P23" s="215"/>
      <c r="Q23" s="215"/>
      <c r="R23" s="215"/>
      <c r="S23" s="215"/>
      <c r="T23" s="215"/>
      <c r="U23" s="215"/>
    </row>
    <row r="24" spans="1:21" x14ac:dyDescent="0.3">
      <c r="A24" s="390">
        <v>1</v>
      </c>
      <c r="B24" s="390" t="s">
        <v>6</v>
      </c>
      <c r="C24" s="392" t="s">
        <v>511</v>
      </c>
      <c r="D24" s="409" t="s">
        <v>512</v>
      </c>
      <c r="E24" s="396" t="s">
        <v>513</v>
      </c>
      <c r="F24" s="396" t="s">
        <v>469</v>
      </c>
      <c r="G24" s="398">
        <v>45727</v>
      </c>
      <c r="H24" s="398">
        <f>L24</f>
        <v>45727</v>
      </c>
      <c r="I24" s="250"/>
      <c r="J24" s="227"/>
      <c r="K24" s="224" t="s">
        <v>470</v>
      </c>
      <c r="L24" s="225">
        <v>45727</v>
      </c>
      <c r="M24" s="225">
        <v>45736</v>
      </c>
      <c r="N24" s="224" t="s">
        <v>471</v>
      </c>
      <c r="O24" s="224">
        <f>M24-L24</f>
        <v>9</v>
      </c>
      <c r="P24" s="224">
        <f>L25-M24</f>
        <v>19</v>
      </c>
      <c r="Q24" s="396"/>
      <c r="R24" s="396" t="s">
        <v>399</v>
      </c>
      <c r="S24" s="396" t="str">
        <f>N26</f>
        <v>CAT - I</v>
      </c>
      <c r="T24" s="396" t="s">
        <v>399</v>
      </c>
      <c r="U24" s="396">
        <f ca="1">U1-L26</f>
        <v>40</v>
      </c>
    </row>
    <row r="25" spans="1:21" x14ac:dyDescent="0.3">
      <c r="A25" s="390"/>
      <c r="B25" s="390"/>
      <c r="C25" s="392"/>
      <c r="D25" s="409"/>
      <c r="E25" s="396"/>
      <c r="F25" s="396"/>
      <c r="G25" s="398"/>
      <c r="H25" s="398"/>
      <c r="I25" s="251"/>
      <c r="J25" s="227"/>
      <c r="K25" s="224" t="s">
        <v>472</v>
      </c>
      <c r="L25" s="225">
        <v>45755</v>
      </c>
      <c r="M25" s="225">
        <v>45758</v>
      </c>
      <c r="N25" s="224" t="s">
        <v>494</v>
      </c>
      <c r="O25" s="224">
        <f>M25-L25</f>
        <v>3</v>
      </c>
      <c r="P25" s="224">
        <f>L26-M25</f>
        <v>47</v>
      </c>
      <c r="Q25" s="396"/>
      <c r="R25" s="396"/>
      <c r="S25" s="396"/>
      <c r="T25" s="396"/>
      <c r="U25" s="396"/>
    </row>
    <row r="26" spans="1:21" x14ac:dyDescent="0.3">
      <c r="A26" s="390"/>
      <c r="B26" s="390"/>
      <c r="C26" s="392"/>
      <c r="D26" s="409"/>
      <c r="E26" s="396"/>
      <c r="F26" s="396"/>
      <c r="G26" s="398"/>
      <c r="H26" s="398"/>
      <c r="I26" s="252"/>
      <c r="J26" s="227"/>
      <c r="K26" s="224" t="s">
        <v>474</v>
      </c>
      <c r="L26" s="225">
        <v>45805</v>
      </c>
      <c r="M26" s="225">
        <v>45810</v>
      </c>
      <c r="N26" s="224" t="s">
        <v>485</v>
      </c>
      <c r="O26" s="224">
        <f>M26-L26</f>
        <v>5</v>
      </c>
      <c r="P26" s="224"/>
      <c r="Q26" s="396"/>
      <c r="R26" s="396"/>
      <c r="S26" s="396"/>
      <c r="T26" s="396"/>
      <c r="U26" s="396"/>
    </row>
    <row r="27" spans="1:21" s="259" customFormat="1" ht="28" x14ac:dyDescent="0.3">
      <c r="A27" s="253">
        <v>2</v>
      </c>
      <c r="B27" s="254" t="s">
        <v>6</v>
      </c>
      <c r="C27" s="255" t="s">
        <v>511</v>
      </c>
      <c r="D27" s="256" t="s">
        <v>842</v>
      </c>
      <c r="E27" s="215" t="s">
        <v>514</v>
      </c>
      <c r="F27" s="213" t="s">
        <v>469</v>
      </c>
      <c r="G27" s="234">
        <v>45805</v>
      </c>
      <c r="H27" s="245">
        <f>L27</f>
        <v>45811</v>
      </c>
      <c r="I27" s="257"/>
      <c r="J27" s="258"/>
      <c r="K27" s="215" t="s">
        <v>470</v>
      </c>
      <c r="L27" s="242">
        <v>45811</v>
      </c>
      <c r="M27" s="242">
        <v>45818</v>
      </c>
      <c r="N27" s="215" t="s">
        <v>471</v>
      </c>
      <c r="O27" s="215">
        <f ca="1">O1-L27</f>
        <v>34</v>
      </c>
      <c r="P27" s="215"/>
      <c r="Q27" s="215"/>
      <c r="R27" s="215" t="s">
        <v>502</v>
      </c>
      <c r="S27" s="215" t="str">
        <f>N27</f>
        <v>CAT - III</v>
      </c>
      <c r="T27" s="215" t="s">
        <v>476</v>
      </c>
      <c r="U27" s="215">
        <f ca="1">U1-L27</f>
        <v>34</v>
      </c>
    </row>
    <row r="28" spans="1:21" ht="28" x14ac:dyDescent="0.3">
      <c r="A28" s="237">
        <v>3</v>
      </c>
      <c r="B28" s="238" t="s">
        <v>6</v>
      </c>
      <c r="C28" s="239" t="s">
        <v>511</v>
      </c>
      <c r="D28" s="240" t="s">
        <v>515</v>
      </c>
      <c r="E28" s="215" t="s">
        <v>516</v>
      </c>
      <c r="F28" s="213" t="s">
        <v>469</v>
      </c>
      <c r="G28" s="234">
        <v>45795</v>
      </c>
      <c r="H28" s="234">
        <f>L28</f>
        <v>45786</v>
      </c>
      <c r="I28" s="235"/>
      <c r="J28" s="241"/>
      <c r="K28" s="215" t="s">
        <v>470</v>
      </c>
      <c r="L28" s="242">
        <v>45786</v>
      </c>
      <c r="M28" s="242"/>
      <c r="N28" s="215"/>
      <c r="O28" s="215">
        <f ca="1">O1-L28</f>
        <v>59</v>
      </c>
      <c r="P28" s="215"/>
      <c r="Q28" s="215"/>
      <c r="R28" s="215" t="s">
        <v>495</v>
      </c>
      <c r="S28" s="215"/>
      <c r="T28" s="215" t="s">
        <v>473</v>
      </c>
      <c r="U28" s="215">
        <f ca="1">U1-L28</f>
        <v>59</v>
      </c>
    </row>
    <row r="29" spans="1:21" x14ac:dyDescent="0.3">
      <c r="A29" s="390">
        <v>4</v>
      </c>
      <c r="B29" s="390" t="s">
        <v>6</v>
      </c>
      <c r="C29" s="392" t="s">
        <v>511</v>
      </c>
      <c r="D29" s="409" t="s">
        <v>517</v>
      </c>
      <c r="E29" s="396" t="s">
        <v>518</v>
      </c>
      <c r="F29" s="396" t="s">
        <v>469</v>
      </c>
      <c r="G29" s="398">
        <v>45751</v>
      </c>
      <c r="H29" s="398">
        <f>L29</f>
        <v>45727</v>
      </c>
      <c r="I29" s="250"/>
      <c r="J29" s="227"/>
      <c r="K29" s="224" t="s">
        <v>470</v>
      </c>
      <c r="L29" s="225">
        <v>45727</v>
      </c>
      <c r="M29" s="225">
        <v>45736</v>
      </c>
      <c r="N29" s="224" t="s">
        <v>494</v>
      </c>
      <c r="O29" s="224">
        <f>M29-L29</f>
        <v>9</v>
      </c>
      <c r="P29" s="224">
        <f>L30-M29</f>
        <v>19</v>
      </c>
      <c r="Q29" s="414">
        <f>M31</f>
        <v>45784</v>
      </c>
      <c r="R29" s="396" t="s">
        <v>502</v>
      </c>
      <c r="S29" s="396" t="str">
        <f>N32</f>
        <v>CAT - II</v>
      </c>
      <c r="T29" s="396" t="s">
        <v>476</v>
      </c>
      <c r="U29" s="396">
        <f>M31-L31</f>
        <v>1</v>
      </c>
    </row>
    <row r="30" spans="1:21" ht="14.15" customHeight="1" x14ac:dyDescent="0.3">
      <c r="A30" s="410"/>
      <c r="B30" s="410"/>
      <c r="C30" s="411"/>
      <c r="D30" s="418"/>
      <c r="E30" s="413"/>
      <c r="F30" s="413"/>
      <c r="G30" s="417"/>
      <c r="H30" s="417"/>
      <c r="I30" s="251"/>
      <c r="J30" s="227"/>
      <c r="K30" s="224" t="s">
        <v>472</v>
      </c>
      <c r="L30" s="225">
        <v>45755</v>
      </c>
      <c r="M30" s="225">
        <v>45758</v>
      </c>
      <c r="N30" s="224" t="s">
        <v>485</v>
      </c>
      <c r="O30" s="224">
        <f>M30-L30</f>
        <v>3</v>
      </c>
      <c r="P30" s="224">
        <f>L31-M30</f>
        <v>25</v>
      </c>
      <c r="Q30" s="415"/>
      <c r="R30" s="413"/>
      <c r="S30" s="413"/>
      <c r="T30" s="413"/>
      <c r="U30" s="413"/>
    </row>
    <row r="31" spans="1:21" ht="14.15" customHeight="1" x14ac:dyDescent="0.3">
      <c r="A31" s="410"/>
      <c r="B31" s="410"/>
      <c r="C31" s="411"/>
      <c r="D31" s="418"/>
      <c r="E31" s="413"/>
      <c r="F31" s="413"/>
      <c r="G31" s="417"/>
      <c r="H31" s="417"/>
      <c r="I31" s="251"/>
      <c r="J31" s="227"/>
      <c r="K31" s="224" t="s">
        <v>474</v>
      </c>
      <c r="L31" s="225">
        <v>45783</v>
      </c>
      <c r="M31" s="225">
        <v>45784</v>
      </c>
      <c r="N31" s="224" t="s">
        <v>485</v>
      </c>
      <c r="O31" s="224">
        <f>M31-L31</f>
        <v>1</v>
      </c>
      <c r="P31" s="224">
        <f>L32-M31</f>
        <v>21</v>
      </c>
      <c r="Q31" s="415"/>
      <c r="R31" s="413"/>
      <c r="S31" s="413"/>
      <c r="T31" s="413"/>
      <c r="U31" s="413"/>
    </row>
    <row r="32" spans="1:21" ht="14.15" customHeight="1" x14ac:dyDescent="0.3">
      <c r="A32" s="391"/>
      <c r="B32" s="391"/>
      <c r="C32" s="393"/>
      <c r="D32" s="419"/>
      <c r="E32" s="397"/>
      <c r="F32" s="397"/>
      <c r="G32" s="399"/>
      <c r="H32" s="399"/>
      <c r="I32" s="252"/>
      <c r="J32" s="227"/>
      <c r="K32" s="224" t="s">
        <v>475</v>
      </c>
      <c r="L32" s="225">
        <v>45805</v>
      </c>
      <c r="M32" s="225">
        <v>45807</v>
      </c>
      <c r="N32" s="224" t="s">
        <v>494</v>
      </c>
      <c r="O32" s="224">
        <f>M32-L32</f>
        <v>2</v>
      </c>
      <c r="P32" s="224"/>
      <c r="Q32" s="416"/>
      <c r="R32" s="397"/>
      <c r="S32" s="397"/>
      <c r="T32" s="397"/>
      <c r="U32" s="397"/>
    </row>
    <row r="33" spans="1:21" ht="28" x14ac:dyDescent="0.3">
      <c r="A33" s="260">
        <v>5</v>
      </c>
      <c r="B33" s="260" t="s">
        <v>6</v>
      </c>
      <c r="C33" s="261" t="s">
        <v>511</v>
      </c>
      <c r="D33" s="262" t="s">
        <v>519</v>
      </c>
      <c r="E33" s="215" t="s">
        <v>520</v>
      </c>
      <c r="F33" s="215" t="s">
        <v>469</v>
      </c>
      <c r="G33" s="242">
        <v>45811</v>
      </c>
      <c r="H33" s="242">
        <f>L33</f>
        <v>45811</v>
      </c>
      <c r="I33" s="243"/>
      <c r="J33" s="241"/>
      <c r="K33" s="215" t="s">
        <v>470</v>
      </c>
      <c r="L33" s="242">
        <v>45811</v>
      </c>
      <c r="M33" s="242">
        <v>45818</v>
      </c>
      <c r="N33" s="215" t="s">
        <v>471</v>
      </c>
      <c r="O33" s="215">
        <f ca="1">O1-L33</f>
        <v>34</v>
      </c>
      <c r="P33" s="215"/>
      <c r="Q33" s="215"/>
      <c r="R33" s="215" t="s">
        <v>502</v>
      </c>
      <c r="S33" s="215" t="str">
        <f>N33</f>
        <v>CAT - III</v>
      </c>
      <c r="T33" s="215" t="s">
        <v>476</v>
      </c>
      <c r="U33" s="215">
        <f ca="1">U1-L33</f>
        <v>34</v>
      </c>
    </row>
    <row r="34" spans="1:21" x14ac:dyDescent="0.3">
      <c r="A34" s="387">
        <v>6</v>
      </c>
      <c r="B34" s="387" t="s">
        <v>6</v>
      </c>
      <c r="C34" s="388" t="s">
        <v>511</v>
      </c>
      <c r="D34" s="389" t="s">
        <v>521</v>
      </c>
      <c r="E34" s="385" t="s">
        <v>522</v>
      </c>
      <c r="F34" s="385" t="s">
        <v>469</v>
      </c>
      <c r="G34" s="384">
        <v>45751</v>
      </c>
      <c r="H34" s="384">
        <f>L34</f>
        <v>45727</v>
      </c>
      <c r="I34" s="226"/>
      <c r="J34" s="227"/>
      <c r="K34" s="224" t="s">
        <v>470</v>
      </c>
      <c r="L34" s="225">
        <v>45727</v>
      </c>
      <c r="M34" s="225">
        <v>45736</v>
      </c>
      <c r="N34" s="224" t="s">
        <v>471</v>
      </c>
      <c r="O34" s="224">
        <f>M34-L34</f>
        <v>9</v>
      </c>
      <c r="P34" s="224">
        <f>L35-M34</f>
        <v>19</v>
      </c>
      <c r="Q34" s="424">
        <v>45758</v>
      </c>
      <c r="R34" s="385" t="s">
        <v>502</v>
      </c>
      <c r="S34" s="385" t="str">
        <f>N35</f>
        <v>CAT - I</v>
      </c>
      <c r="T34" s="385" t="s">
        <v>476</v>
      </c>
      <c r="U34" s="385"/>
    </row>
    <row r="35" spans="1:21" x14ac:dyDescent="0.3">
      <c r="A35" s="387"/>
      <c r="B35" s="387"/>
      <c r="C35" s="388"/>
      <c r="D35" s="389"/>
      <c r="E35" s="385"/>
      <c r="F35" s="385"/>
      <c r="G35" s="384"/>
      <c r="H35" s="384"/>
      <c r="I35" s="226"/>
      <c r="J35" s="227"/>
      <c r="K35" s="224" t="s">
        <v>472</v>
      </c>
      <c r="L35" s="225">
        <v>45755</v>
      </c>
      <c r="M35" s="225">
        <v>45758</v>
      </c>
      <c r="N35" s="224" t="s">
        <v>485</v>
      </c>
      <c r="O35" s="224">
        <f>M35-L35</f>
        <v>3</v>
      </c>
      <c r="P35" s="224"/>
      <c r="Q35" s="385"/>
      <c r="R35" s="385"/>
      <c r="S35" s="385"/>
      <c r="T35" s="385"/>
      <c r="U35" s="385"/>
    </row>
    <row r="36" spans="1:21" x14ac:dyDescent="0.3">
      <c r="A36" s="390">
        <v>7</v>
      </c>
      <c r="B36" s="390" t="s">
        <v>6</v>
      </c>
      <c r="C36" s="392" t="s">
        <v>511</v>
      </c>
      <c r="D36" s="409" t="s">
        <v>523</v>
      </c>
      <c r="E36" s="396" t="s">
        <v>524</v>
      </c>
      <c r="F36" s="396" t="s">
        <v>479</v>
      </c>
      <c r="G36" s="398">
        <v>45769</v>
      </c>
      <c r="H36" s="398">
        <f>L36</f>
        <v>45769</v>
      </c>
      <c r="I36" s="250"/>
      <c r="J36" s="227"/>
      <c r="K36" s="224" t="s">
        <v>470</v>
      </c>
      <c r="L36" s="225">
        <v>45769</v>
      </c>
      <c r="M36" s="225">
        <v>45779</v>
      </c>
      <c r="N36" s="224" t="s">
        <v>525</v>
      </c>
      <c r="O36" s="224">
        <f>M36-L36</f>
        <v>10</v>
      </c>
      <c r="P36" s="224">
        <f>L37-M36</f>
        <v>3</v>
      </c>
      <c r="Q36" s="400">
        <f>M36</f>
        <v>45779</v>
      </c>
      <c r="R36" s="396" t="s">
        <v>502</v>
      </c>
      <c r="S36" s="396" t="str">
        <f>N37</f>
        <v xml:space="preserve">CAT -IV </v>
      </c>
      <c r="T36" s="396" t="s">
        <v>476</v>
      </c>
      <c r="U36" s="396">
        <f ca="1">U1-M38</f>
        <v>38</v>
      </c>
    </row>
    <row r="37" spans="1:21" x14ac:dyDescent="0.3">
      <c r="A37" s="410"/>
      <c r="B37" s="410"/>
      <c r="C37" s="411"/>
      <c r="D37" s="418"/>
      <c r="E37" s="413"/>
      <c r="F37" s="413"/>
      <c r="G37" s="417"/>
      <c r="H37" s="417"/>
      <c r="I37" s="251"/>
      <c r="J37" s="227"/>
      <c r="K37" s="224" t="s">
        <v>472</v>
      </c>
      <c r="L37" s="225">
        <v>45782</v>
      </c>
      <c r="M37" s="225">
        <v>45784</v>
      </c>
      <c r="N37" s="224" t="s">
        <v>525</v>
      </c>
      <c r="O37" s="224">
        <f>M37-L37</f>
        <v>2</v>
      </c>
      <c r="P37" s="224">
        <f>L38-M37</f>
        <v>21</v>
      </c>
      <c r="Q37" s="420"/>
      <c r="R37" s="413"/>
      <c r="S37" s="413"/>
      <c r="T37" s="413"/>
      <c r="U37" s="413"/>
    </row>
    <row r="38" spans="1:21" x14ac:dyDescent="0.3">
      <c r="A38" s="391"/>
      <c r="B38" s="391"/>
      <c r="C38" s="393"/>
      <c r="D38" s="419"/>
      <c r="E38" s="397"/>
      <c r="F38" s="397"/>
      <c r="G38" s="399"/>
      <c r="H38" s="399"/>
      <c r="I38" s="252"/>
      <c r="J38" s="227"/>
      <c r="K38" s="224" t="s">
        <v>474</v>
      </c>
      <c r="L38" s="225">
        <v>45805</v>
      </c>
      <c r="M38" s="225">
        <v>45807</v>
      </c>
      <c r="N38" s="224" t="s">
        <v>525</v>
      </c>
      <c r="O38" s="224">
        <f>M38-L38</f>
        <v>2</v>
      </c>
      <c r="P38" s="224"/>
      <c r="Q38" s="401"/>
      <c r="R38" s="397"/>
      <c r="S38" s="397"/>
      <c r="T38" s="397"/>
      <c r="U38" s="397"/>
    </row>
    <row r="39" spans="1:21" ht="28" x14ac:dyDescent="0.3">
      <c r="A39" s="237">
        <v>8</v>
      </c>
      <c r="B39" s="237" t="s">
        <v>6</v>
      </c>
      <c r="C39" s="239" t="s">
        <v>511</v>
      </c>
      <c r="D39" s="263" t="s">
        <v>526</v>
      </c>
      <c r="E39" s="215" t="s">
        <v>527</v>
      </c>
      <c r="F39" s="213" t="s">
        <v>479</v>
      </c>
      <c r="G39" s="234">
        <v>45811</v>
      </c>
      <c r="H39" s="234">
        <f>L39</f>
        <v>45811</v>
      </c>
      <c r="I39" s="235"/>
      <c r="J39" s="241"/>
      <c r="K39" s="215" t="s">
        <v>470</v>
      </c>
      <c r="L39" s="242">
        <v>45811</v>
      </c>
      <c r="M39" s="242">
        <v>45818</v>
      </c>
      <c r="N39" s="215" t="s">
        <v>480</v>
      </c>
      <c r="O39" s="215">
        <f ca="1">O1-L39</f>
        <v>34</v>
      </c>
      <c r="P39" s="215"/>
      <c r="Q39" s="215"/>
      <c r="R39" s="215" t="s">
        <v>502</v>
      </c>
      <c r="S39" s="215" t="str">
        <f>N39</f>
        <v>CAT -IV R</v>
      </c>
      <c r="T39" s="215" t="s">
        <v>476</v>
      </c>
      <c r="U39" s="215"/>
    </row>
    <row r="40" spans="1:21" ht="28" x14ac:dyDescent="0.3">
      <c r="A40" s="237">
        <v>9</v>
      </c>
      <c r="B40" s="237" t="s">
        <v>6</v>
      </c>
      <c r="C40" s="239" t="s">
        <v>511</v>
      </c>
      <c r="D40" s="264" t="s">
        <v>528</v>
      </c>
      <c r="E40" s="215" t="s">
        <v>529</v>
      </c>
      <c r="F40" s="213" t="s">
        <v>479</v>
      </c>
      <c r="G40" s="234">
        <v>45824</v>
      </c>
      <c r="H40" s="234">
        <v>45823</v>
      </c>
      <c r="I40" s="235"/>
      <c r="J40" s="241"/>
      <c r="K40" s="215"/>
      <c r="L40" s="265"/>
      <c r="M40" s="242"/>
      <c r="N40" s="215"/>
      <c r="O40" s="215"/>
      <c r="P40" s="215"/>
      <c r="Q40" s="215"/>
      <c r="R40" s="215"/>
      <c r="S40" s="215"/>
      <c r="T40" s="215"/>
      <c r="U40" s="215"/>
    </row>
    <row r="41" spans="1:21" ht="14.15" customHeight="1" x14ac:dyDescent="0.3">
      <c r="A41" s="428">
        <v>1</v>
      </c>
      <c r="B41" s="404" t="s">
        <v>6</v>
      </c>
      <c r="C41" s="405" t="s">
        <v>530</v>
      </c>
      <c r="D41" s="431" t="s">
        <v>531</v>
      </c>
      <c r="E41" s="407" t="s">
        <v>532</v>
      </c>
      <c r="F41" s="407" t="s">
        <v>469</v>
      </c>
      <c r="G41" s="421">
        <v>45763</v>
      </c>
      <c r="H41" s="421">
        <f>L41</f>
        <v>45763</v>
      </c>
      <c r="I41" s="243"/>
      <c r="J41" s="241"/>
      <c r="K41" s="215" t="s">
        <v>470</v>
      </c>
      <c r="L41" s="242">
        <v>45763</v>
      </c>
      <c r="M41" s="242">
        <v>45784</v>
      </c>
      <c r="N41" s="215" t="s">
        <v>471</v>
      </c>
      <c r="O41" s="215">
        <f>M41-L41</f>
        <v>21</v>
      </c>
      <c r="P41" s="215">
        <f>L42-M41</f>
        <v>7</v>
      </c>
      <c r="Q41" s="215"/>
      <c r="R41" s="425" t="s">
        <v>495</v>
      </c>
      <c r="S41" s="425" t="str">
        <f>N41</f>
        <v>CAT - III</v>
      </c>
      <c r="T41" s="425" t="s">
        <v>473</v>
      </c>
      <c r="U41" s="425"/>
    </row>
    <row r="42" spans="1:21" x14ac:dyDescent="0.3">
      <c r="A42" s="430"/>
      <c r="B42" s="404"/>
      <c r="C42" s="405"/>
      <c r="D42" s="431"/>
      <c r="E42" s="407"/>
      <c r="F42" s="407"/>
      <c r="G42" s="423"/>
      <c r="H42" s="423"/>
      <c r="I42" s="243"/>
      <c r="J42" s="241"/>
      <c r="K42" s="215" t="s">
        <v>472</v>
      </c>
      <c r="L42" s="242">
        <v>45791</v>
      </c>
      <c r="M42" s="242"/>
      <c r="N42" s="215"/>
      <c r="O42" s="215">
        <f ca="1">O1-L42</f>
        <v>54</v>
      </c>
      <c r="P42" s="215"/>
      <c r="Q42" s="215"/>
      <c r="R42" s="427"/>
      <c r="S42" s="427"/>
      <c r="T42" s="427"/>
      <c r="U42" s="427"/>
    </row>
    <row r="43" spans="1:21" ht="28" x14ac:dyDescent="0.3">
      <c r="A43" s="237">
        <v>2</v>
      </c>
      <c r="B43" s="238" t="s">
        <v>6</v>
      </c>
      <c r="C43" s="239" t="s">
        <v>530</v>
      </c>
      <c r="D43" s="240" t="s">
        <v>533</v>
      </c>
      <c r="E43" s="215" t="s">
        <v>534</v>
      </c>
      <c r="F43" s="213" t="s">
        <v>469</v>
      </c>
      <c r="G43" s="234">
        <v>45868</v>
      </c>
      <c r="H43" s="234">
        <f t="shared" ref="H43:H50" si="0">G43</f>
        <v>45868</v>
      </c>
      <c r="I43" s="235" t="s">
        <v>535</v>
      </c>
      <c r="J43" s="241"/>
      <c r="K43" s="215"/>
      <c r="L43" s="242"/>
      <c r="M43" s="242"/>
      <c r="N43" s="215"/>
      <c r="O43" s="215"/>
      <c r="P43" s="215"/>
      <c r="Q43" s="215"/>
      <c r="R43" s="215"/>
      <c r="S43" s="215"/>
      <c r="T43" s="215"/>
      <c r="U43" s="215"/>
    </row>
    <row r="44" spans="1:21" ht="28" x14ac:dyDescent="0.3">
      <c r="A44" s="237">
        <v>3</v>
      </c>
      <c r="B44" s="238" t="s">
        <v>6</v>
      </c>
      <c r="C44" s="239" t="s">
        <v>530</v>
      </c>
      <c r="D44" s="240" t="s">
        <v>536</v>
      </c>
      <c r="E44" s="215" t="s">
        <v>537</v>
      </c>
      <c r="F44" s="215" t="s">
        <v>469</v>
      </c>
      <c r="G44" s="242">
        <v>45843</v>
      </c>
      <c r="H44" s="242">
        <f t="shared" si="0"/>
        <v>45843</v>
      </c>
      <c r="I44" s="243"/>
      <c r="J44" s="241"/>
      <c r="K44" s="215"/>
      <c r="L44" s="242"/>
      <c r="M44" s="242"/>
      <c r="N44" s="215"/>
      <c r="O44" s="215"/>
      <c r="P44" s="215"/>
      <c r="Q44" s="215"/>
      <c r="R44" s="215"/>
      <c r="S44" s="215"/>
      <c r="T44" s="215"/>
      <c r="U44" s="215"/>
    </row>
    <row r="45" spans="1:21" ht="28" x14ac:dyDescent="0.3">
      <c r="A45" s="237">
        <v>4</v>
      </c>
      <c r="B45" s="238" t="s">
        <v>6</v>
      </c>
      <c r="C45" s="239" t="s">
        <v>530</v>
      </c>
      <c r="D45" s="240" t="s">
        <v>538</v>
      </c>
      <c r="E45" s="215" t="s">
        <v>539</v>
      </c>
      <c r="F45" s="215" t="s">
        <v>469</v>
      </c>
      <c r="G45" s="242">
        <v>45838</v>
      </c>
      <c r="H45" s="242">
        <f t="shared" si="0"/>
        <v>45838</v>
      </c>
      <c r="I45" s="243"/>
      <c r="J45" s="241"/>
      <c r="K45" s="215"/>
      <c r="L45" s="242"/>
      <c r="M45" s="242"/>
      <c r="N45" s="215"/>
      <c r="O45" s="215"/>
      <c r="P45" s="215"/>
      <c r="Q45" s="215"/>
      <c r="R45" s="215"/>
      <c r="S45" s="215"/>
      <c r="T45" s="215"/>
      <c r="U45" s="215"/>
    </row>
    <row r="46" spans="1:21" ht="42" x14ac:dyDescent="0.3">
      <c r="A46" s="237">
        <v>5</v>
      </c>
      <c r="B46" s="238" t="s">
        <v>6</v>
      </c>
      <c r="C46" s="239" t="s">
        <v>530</v>
      </c>
      <c r="D46" s="240" t="s">
        <v>540</v>
      </c>
      <c r="E46" s="215" t="s">
        <v>541</v>
      </c>
      <c r="F46" s="215" t="s">
        <v>469</v>
      </c>
      <c r="G46" s="242">
        <v>45874</v>
      </c>
      <c r="H46" s="242">
        <f t="shared" si="0"/>
        <v>45874</v>
      </c>
      <c r="I46" s="243"/>
      <c r="J46" s="241"/>
      <c r="K46" s="215"/>
      <c r="L46" s="242"/>
      <c r="M46" s="242"/>
      <c r="N46" s="215"/>
      <c r="O46" s="215"/>
      <c r="P46" s="215"/>
      <c r="Q46" s="215"/>
      <c r="R46" s="215"/>
      <c r="S46" s="215"/>
      <c r="T46" s="215"/>
      <c r="U46" s="215"/>
    </row>
    <row r="47" spans="1:21" x14ac:dyDescent="0.3">
      <c r="A47" s="237">
        <v>6</v>
      </c>
      <c r="B47" s="238" t="s">
        <v>6</v>
      </c>
      <c r="C47" s="239" t="s">
        <v>530</v>
      </c>
      <c r="D47" s="240" t="s">
        <v>542</v>
      </c>
      <c r="E47" s="215" t="s">
        <v>543</v>
      </c>
      <c r="F47" s="215" t="s">
        <v>469</v>
      </c>
      <c r="G47" s="242">
        <v>45905</v>
      </c>
      <c r="H47" s="242">
        <f t="shared" si="0"/>
        <v>45905</v>
      </c>
      <c r="I47" s="243"/>
      <c r="J47" s="241"/>
      <c r="K47" s="215"/>
      <c r="L47" s="242"/>
      <c r="M47" s="242"/>
      <c r="N47" s="215"/>
      <c r="O47" s="215"/>
      <c r="P47" s="215"/>
      <c r="Q47" s="215"/>
      <c r="R47" s="215"/>
      <c r="S47" s="215"/>
      <c r="T47" s="215"/>
      <c r="U47" s="215"/>
    </row>
    <row r="48" spans="1:21" x14ac:dyDescent="0.3">
      <c r="A48" s="237">
        <v>7</v>
      </c>
      <c r="B48" s="238" t="s">
        <v>6</v>
      </c>
      <c r="C48" s="239" t="s">
        <v>530</v>
      </c>
      <c r="D48" s="240" t="s">
        <v>544</v>
      </c>
      <c r="E48" s="215" t="s">
        <v>545</v>
      </c>
      <c r="F48" s="215" t="s">
        <v>469</v>
      </c>
      <c r="G48" s="242">
        <v>45908</v>
      </c>
      <c r="H48" s="242">
        <f t="shared" si="0"/>
        <v>45908</v>
      </c>
      <c r="I48" s="243"/>
      <c r="J48" s="241"/>
      <c r="K48" s="215"/>
      <c r="L48" s="242"/>
      <c r="M48" s="242"/>
      <c r="N48" s="215"/>
      <c r="O48" s="215"/>
      <c r="P48" s="215"/>
      <c r="Q48" s="215"/>
      <c r="R48" s="215"/>
      <c r="S48" s="215"/>
      <c r="T48" s="215"/>
      <c r="U48" s="215"/>
    </row>
    <row r="49" spans="1:21" ht="28" x14ac:dyDescent="0.3">
      <c r="A49" s="237">
        <v>8</v>
      </c>
      <c r="B49" s="238" t="s">
        <v>6</v>
      </c>
      <c r="C49" s="239" t="s">
        <v>530</v>
      </c>
      <c r="D49" s="240" t="s">
        <v>546</v>
      </c>
      <c r="E49" s="215" t="s">
        <v>547</v>
      </c>
      <c r="F49" s="215" t="s">
        <v>469</v>
      </c>
      <c r="G49" s="242">
        <v>45858</v>
      </c>
      <c r="H49" s="242">
        <f t="shared" si="0"/>
        <v>45858</v>
      </c>
      <c r="I49" s="243"/>
      <c r="J49" s="241"/>
      <c r="K49" s="215"/>
      <c r="L49" s="242"/>
      <c r="M49" s="242"/>
      <c r="N49" s="215"/>
      <c r="O49" s="215"/>
      <c r="P49" s="215"/>
      <c r="Q49" s="215"/>
      <c r="R49" s="215"/>
      <c r="S49" s="215"/>
      <c r="T49" s="215"/>
      <c r="U49" s="215"/>
    </row>
    <row r="50" spans="1:21" ht="28" x14ac:dyDescent="0.3">
      <c r="A50" s="237">
        <v>9</v>
      </c>
      <c r="B50" s="238" t="s">
        <v>6</v>
      </c>
      <c r="C50" s="239" t="s">
        <v>530</v>
      </c>
      <c r="D50" s="240" t="s">
        <v>548</v>
      </c>
      <c r="E50" s="215" t="s">
        <v>549</v>
      </c>
      <c r="F50" s="215" t="s">
        <v>469</v>
      </c>
      <c r="G50" s="242">
        <v>45868</v>
      </c>
      <c r="H50" s="242">
        <f t="shared" si="0"/>
        <v>45868</v>
      </c>
      <c r="I50" s="243"/>
      <c r="J50" s="241"/>
      <c r="K50" s="215"/>
      <c r="L50" s="242"/>
      <c r="M50" s="242"/>
      <c r="N50" s="215"/>
      <c r="O50" s="215"/>
      <c r="P50" s="215"/>
      <c r="Q50" s="215"/>
      <c r="R50" s="215"/>
      <c r="S50" s="215"/>
      <c r="T50" s="215"/>
      <c r="U50" s="215"/>
    </row>
    <row r="51" spans="1:21" x14ac:dyDescent="0.3">
      <c r="A51" s="237">
        <v>1</v>
      </c>
      <c r="B51" s="238" t="s">
        <v>6</v>
      </c>
      <c r="C51" s="239" t="s">
        <v>550</v>
      </c>
      <c r="D51" s="240" t="s">
        <v>551</v>
      </c>
      <c r="E51" s="215" t="s">
        <v>552</v>
      </c>
      <c r="F51" s="215" t="s">
        <v>469</v>
      </c>
      <c r="G51" s="242">
        <v>45818</v>
      </c>
      <c r="H51" s="242">
        <v>45825</v>
      </c>
      <c r="I51" s="243"/>
      <c r="J51" s="241"/>
      <c r="K51" s="215"/>
      <c r="L51" s="242"/>
      <c r="M51" s="242"/>
      <c r="N51" s="215"/>
      <c r="O51" s="215"/>
      <c r="P51" s="215"/>
      <c r="Q51" s="215"/>
      <c r="R51" s="215"/>
      <c r="S51" s="215"/>
      <c r="T51" s="215"/>
      <c r="U51" s="215"/>
    </row>
    <row r="52" spans="1:21" ht="28" x14ac:dyDescent="0.3">
      <c r="A52" s="237">
        <v>2</v>
      </c>
      <c r="B52" s="238" t="s">
        <v>6</v>
      </c>
      <c r="C52" s="239" t="s">
        <v>550</v>
      </c>
      <c r="D52" s="240" t="s">
        <v>553</v>
      </c>
      <c r="E52" s="215" t="s">
        <v>554</v>
      </c>
      <c r="F52" s="215" t="s">
        <v>469</v>
      </c>
      <c r="G52" s="242">
        <v>45823</v>
      </c>
      <c r="H52" s="242">
        <v>45825</v>
      </c>
      <c r="I52" s="243"/>
      <c r="J52" s="241"/>
      <c r="K52" s="215"/>
      <c r="L52" s="242"/>
      <c r="M52" s="242"/>
      <c r="N52" s="215"/>
      <c r="O52" s="215"/>
      <c r="P52" s="215"/>
      <c r="Q52" s="215"/>
      <c r="R52" s="215"/>
      <c r="S52" s="215"/>
      <c r="T52" s="215"/>
      <c r="U52" s="215"/>
    </row>
    <row r="53" spans="1:21" ht="28" x14ac:dyDescent="0.3">
      <c r="A53" s="237">
        <v>3</v>
      </c>
      <c r="B53" s="238" t="s">
        <v>6</v>
      </c>
      <c r="C53" s="239" t="s">
        <v>550</v>
      </c>
      <c r="D53" s="240" t="s">
        <v>555</v>
      </c>
      <c r="E53" s="215" t="s">
        <v>556</v>
      </c>
      <c r="F53" s="215" t="s">
        <v>469</v>
      </c>
      <c r="G53" s="242">
        <v>45828</v>
      </c>
      <c r="H53" s="242">
        <v>45825</v>
      </c>
      <c r="I53" s="243"/>
      <c r="J53" s="241"/>
      <c r="K53" s="215"/>
      <c r="L53" s="242"/>
      <c r="M53" s="242"/>
      <c r="N53" s="215"/>
      <c r="O53" s="215"/>
      <c r="P53" s="215"/>
      <c r="Q53" s="215"/>
      <c r="R53" s="215"/>
      <c r="S53" s="215"/>
      <c r="T53" s="215"/>
      <c r="U53" s="215"/>
    </row>
    <row r="54" spans="1:21" ht="28" x14ac:dyDescent="0.3">
      <c r="A54" s="237">
        <v>4</v>
      </c>
      <c r="B54" s="238" t="s">
        <v>6</v>
      </c>
      <c r="C54" s="239" t="s">
        <v>550</v>
      </c>
      <c r="D54" s="240" t="s">
        <v>557</v>
      </c>
      <c r="E54" s="215" t="s">
        <v>558</v>
      </c>
      <c r="F54" s="215" t="s">
        <v>469</v>
      </c>
      <c r="G54" s="242">
        <v>45823</v>
      </c>
      <c r="H54" s="242">
        <v>45820</v>
      </c>
      <c r="I54" s="243"/>
      <c r="J54" s="241"/>
      <c r="K54" s="215"/>
      <c r="L54" s="242"/>
      <c r="M54" s="242"/>
      <c r="N54" s="215"/>
      <c r="O54" s="215"/>
      <c r="P54" s="215"/>
      <c r="Q54" s="215"/>
      <c r="R54" s="215"/>
      <c r="S54" s="215"/>
      <c r="T54" s="215"/>
      <c r="U54" s="215"/>
    </row>
    <row r="55" spans="1:21" ht="28" x14ac:dyDescent="0.3">
      <c r="A55" s="237">
        <v>5</v>
      </c>
      <c r="B55" s="238" t="s">
        <v>6</v>
      </c>
      <c r="C55" s="239" t="s">
        <v>550</v>
      </c>
      <c r="D55" s="240" t="s">
        <v>559</v>
      </c>
      <c r="E55" s="215" t="s">
        <v>560</v>
      </c>
      <c r="F55" s="215" t="s">
        <v>469</v>
      </c>
      <c r="G55" s="242">
        <v>45833</v>
      </c>
      <c r="H55" s="242">
        <v>45820</v>
      </c>
      <c r="I55" s="243"/>
      <c r="J55" s="241"/>
      <c r="K55" s="215"/>
      <c r="L55" s="242"/>
      <c r="M55" s="242"/>
      <c r="N55" s="215"/>
      <c r="O55" s="215"/>
      <c r="P55" s="215"/>
      <c r="Q55" s="215"/>
      <c r="R55" s="215"/>
      <c r="S55" s="215"/>
      <c r="T55" s="215"/>
      <c r="U55" s="215"/>
    </row>
    <row r="56" spans="1:21" ht="28" x14ac:dyDescent="0.3">
      <c r="A56" s="237">
        <v>6</v>
      </c>
      <c r="B56" s="238" t="s">
        <v>6</v>
      </c>
      <c r="C56" s="239" t="s">
        <v>550</v>
      </c>
      <c r="D56" s="240" t="s">
        <v>561</v>
      </c>
      <c r="E56" s="215" t="s">
        <v>562</v>
      </c>
      <c r="F56" s="215" t="s">
        <v>469</v>
      </c>
      <c r="G56" s="242">
        <v>45840</v>
      </c>
      <c r="H56" s="268">
        <v>45822</v>
      </c>
      <c r="I56" s="243"/>
      <c r="J56" s="241"/>
      <c r="K56" s="215"/>
      <c r="L56" s="242"/>
      <c r="M56" s="242"/>
      <c r="N56" s="215"/>
      <c r="O56" s="215"/>
      <c r="P56" s="215"/>
      <c r="Q56" s="215"/>
      <c r="R56" s="215"/>
      <c r="S56" s="215"/>
      <c r="T56" s="215"/>
      <c r="U56" s="215"/>
    </row>
    <row r="57" spans="1:21" ht="28" x14ac:dyDescent="0.3">
      <c r="A57" s="237">
        <v>7</v>
      </c>
      <c r="B57" s="237" t="s">
        <v>6</v>
      </c>
      <c r="C57" s="239" t="s">
        <v>550</v>
      </c>
      <c r="D57" s="263" t="s">
        <v>563</v>
      </c>
      <c r="E57" s="215" t="s">
        <v>564</v>
      </c>
      <c r="F57" s="213" t="s">
        <v>469</v>
      </c>
      <c r="G57" s="234">
        <v>45836</v>
      </c>
      <c r="H57" s="268">
        <v>45822</v>
      </c>
      <c r="I57" s="235"/>
      <c r="J57" s="241"/>
      <c r="K57" s="215"/>
      <c r="L57" s="242"/>
      <c r="M57" s="242"/>
      <c r="N57" s="215"/>
      <c r="O57" s="215"/>
      <c r="P57" s="215"/>
      <c r="Q57" s="215"/>
      <c r="R57" s="215"/>
      <c r="S57" s="215"/>
      <c r="T57" s="215"/>
      <c r="U57" s="215"/>
    </row>
    <row r="58" spans="1:21" ht="28" x14ac:dyDescent="0.3">
      <c r="A58" s="269">
        <v>8</v>
      </c>
      <c r="B58" s="237" t="s">
        <v>6</v>
      </c>
      <c r="C58" s="239" t="s">
        <v>550</v>
      </c>
      <c r="D58" s="263" t="s">
        <v>565</v>
      </c>
      <c r="E58" s="215" t="s">
        <v>566</v>
      </c>
      <c r="F58" s="213" t="s">
        <v>469</v>
      </c>
      <c r="G58" s="234">
        <v>45840</v>
      </c>
      <c r="H58" s="234">
        <v>45852</v>
      </c>
      <c r="I58" s="235"/>
      <c r="J58" s="241"/>
      <c r="K58" s="215"/>
      <c r="L58" s="242"/>
      <c r="M58" s="242"/>
      <c r="N58" s="215"/>
      <c r="O58" s="215"/>
      <c r="P58" s="215"/>
      <c r="Q58" s="215"/>
      <c r="R58" s="215"/>
      <c r="S58" s="215"/>
      <c r="T58" s="215"/>
      <c r="U58" s="215"/>
    </row>
    <row r="59" spans="1:21" x14ac:dyDescent="0.3">
      <c r="A59" s="269">
        <v>9</v>
      </c>
      <c r="B59" s="238" t="s">
        <v>6</v>
      </c>
      <c r="C59" s="239" t="s">
        <v>550</v>
      </c>
      <c r="D59" s="240" t="s">
        <v>567</v>
      </c>
      <c r="E59" s="215" t="s">
        <v>568</v>
      </c>
      <c r="F59" s="213" t="s">
        <v>469</v>
      </c>
      <c r="G59" s="234">
        <v>45843</v>
      </c>
      <c r="H59" s="234">
        <f>H55+1</f>
        <v>45821</v>
      </c>
      <c r="I59" s="235"/>
      <c r="J59" s="241"/>
      <c r="K59" s="215"/>
      <c r="L59" s="242"/>
      <c r="M59" s="242"/>
      <c r="N59" s="215"/>
      <c r="O59" s="215"/>
      <c r="P59" s="215"/>
      <c r="Q59" s="215"/>
      <c r="R59" s="215"/>
      <c r="S59" s="215"/>
      <c r="T59" s="215"/>
      <c r="U59" s="215"/>
    </row>
    <row r="60" spans="1:21" x14ac:dyDescent="0.3">
      <c r="A60" s="269">
        <v>1</v>
      </c>
      <c r="B60" s="237" t="s">
        <v>6</v>
      </c>
      <c r="C60" s="270" t="s">
        <v>569</v>
      </c>
      <c r="D60" s="263" t="s">
        <v>570</v>
      </c>
      <c r="E60" s="215" t="s">
        <v>571</v>
      </c>
      <c r="F60" s="213" t="s">
        <v>479</v>
      </c>
      <c r="G60" s="234">
        <v>45828</v>
      </c>
      <c r="H60" s="234">
        <v>45839</v>
      </c>
      <c r="I60" s="235"/>
      <c r="J60" s="241"/>
      <c r="K60" s="215"/>
      <c r="L60" s="242"/>
      <c r="M60" s="242"/>
      <c r="N60" s="215"/>
      <c r="O60" s="215"/>
      <c r="P60" s="215"/>
      <c r="Q60" s="215"/>
      <c r="R60" s="215"/>
      <c r="S60" s="215"/>
      <c r="T60" s="215"/>
      <c r="U60" s="215"/>
    </row>
    <row r="61" spans="1:21" x14ac:dyDescent="0.3">
      <c r="A61" s="237">
        <v>2</v>
      </c>
      <c r="B61" s="237" t="s">
        <v>6</v>
      </c>
      <c r="C61" s="270" t="s">
        <v>569</v>
      </c>
      <c r="D61" s="263" t="s">
        <v>572</v>
      </c>
      <c r="E61" s="215" t="s">
        <v>573</v>
      </c>
      <c r="F61" s="213" t="s">
        <v>479</v>
      </c>
      <c r="G61" s="234">
        <v>45833</v>
      </c>
      <c r="H61" s="234">
        <v>45839</v>
      </c>
      <c r="I61" s="235"/>
      <c r="J61" s="241"/>
      <c r="K61" s="215"/>
      <c r="L61" s="242"/>
      <c r="M61" s="242"/>
      <c r="N61" s="215"/>
      <c r="O61" s="215"/>
      <c r="P61" s="215"/>
      <c r="Q61" s="215"/>
      <c r="R61" s="215"/>
      <c r="S61" s="215"/>
      <c r="T61" s="215"/>
      <c r="U61" s="215"/>
    </row>
    <row r="62" spans="1:21" ht="30" customHeight="1" x14ac:dyDescent="0.3">
      <c r="A62" s="428">
        <v>3</v>
      </c>
      <c r="B62" s="237" t="s">
        <v>6</v>
      </c>
      <c r="C62" s="432" t="s">
        <v>569</v>
      </c>
      <c r="D62" s="434" t="s">
        <v>574</v>
      </c>
      <c r="E62" s="425" t="s">
        <v>575</v>
      </c>
      <c r="F62" s="436" t="s">
        <v>479</v>
      </c>
      <c r="G62" s="271">
        <v>45738</v>
      </c>
      <c r="H62" s="271">
        <f>L62</f>
        <v>45799</v>
      </c>
      <c r="I62" s="440"/>
      <c r="J62" s="442"/>
      <c r="K62" s="215" t="s">
        <v>470</v>
      </c>
      <c r="L62" s="242">
        <v>45799</v>
      </c>
      <c r="M62" s="242">
        <v>45800</v>
      </c>
      <c r="N62" s="215" t="s">
        <v>480</v>
      </c>
      <c r="O62" s="215">
        <f>M62-L62</f>
        <v>1</v>
      </c>
      <c r="P62" s="215">
        <f>L63-M62</f>
        <v>15</v>
      </c>
      <c r="Q62" s="425"/>
      <c r="R62" s="425" t="s">
        <v>495</v>
      </c>
      <c r="S62" s="425" t="str">
        <f>N62</f>
        <v>CAT -IV R</v>
      </c>
      <c r="T62" s="425" t="s">
        <v>473</v>
      </c>
      <c r="U62" s="425">
        <f ca="1">U1-M62</f>
        <v>45</v>
      </c>
    </row>
    <row r="63" spans="1:21" x14ac:dyDescent="0.3">
      <c r="A63" s="430"/>
      <c r="B63" s="237"/>
      <c r="C63" s="433"/>
      <c r="D63" s="510"/>
      <c r="E63" s="427"/>
      <c r="F63" s="437"/>
      <c r="G63" s="273"/>
      <c r="H63" s="273"/>
      <c r="I63" s="441"/>
      <c r="J63" s="443"/>
      <c r="K63" s="215" t="s">
        <v>472</v>
      </c>
      <c r="L63" s="242">
        <v>45815</v>
      </c>
      <c r="M63" s="242"/>
      <c r="N63" s="215"/>
      <c r="O63" s="215">
        <f ca="1">O1-L63</f>
        <v>30</v>
      </c>
      <c r="P63" s="215"/>
      <c r="Q63" s="427"/>
      <c r="R63" s="427"/>
      <c r="S63" s="427"/>
      <c r="T63" s="427"/>
      <c r="U63" s="427"/>
    </row>
    <row r="64" spans="1:21" ht="14.15" customHeight="1" x14ac:dyDescent="0.3">
      <c r="A64" s="428">
        <v>4</v>
      </c>
      <c r="B64" s="387" t="s">
        <v>6</v>
      </c>
      <c r="C64" s="388" t="s">
        <v>569</v>
      </c>
      <c r="D64" s="389" t="s">
        <v>576</v>
      </c>
      <c r="E64" s="385" t="s">
        <v>577</v>
      </c>
      <c r="F64" s="385" t="s">
        <v>469</v>
      </c>
      <c r="G64" s="384">
        <v>45719</v>
      </c>
      <c r="H64" s="384">
        <f>L64</f>
        <v>45719</v>
      </c>
      <c r="I64" s="226"/>
      <c r="J64" s="227"/>
      <c r="K64" s="224" t="s">
        <v>470</v>
      </c>
      <c r="L64" s="225">
        <v>45719</v>
      </c>
      <c r="M64" s="225">
        <v>45721</v>
      </c>
      <c r="N64" s="224" t="s">
        <v>471</v>
      </c>
      <c r="O64" s="224">
        <f>M64-L64</f>
        <v>2</v>
      </c>
      <c r="P64" s="224">
        <f>L65-M64</f>
        <v>15</v>
      </c>
      <c r="Q64" s="402">
        <f>M66</f>
        <v>45800</v>
      </c>
      <c r="R64" s="385" t="str">
        <f>T64</f>
        <v>Approved</v>
      </c>
      <c r="S64" s="385" t="str">
        <f>N65</f>
        <v>CAT - I</v>
      </c>
      <c r="T64" s="385" t="s">
        <v>399</v>
      </c>
      <c r="U64" s="385">
        <f>M66-L66</f>
        <v>1</v>
      </c>
    </row>
    <row r="65" spans="1:21" x14ac:dyDescent="0.3">
      <c r="A65" s="429"/>
      <c r="B65" s="387"/>
      <c r="C65" s="388"/>
      <c r="D65" s="389"/>
      <c r="E65" s="385"/>
      <c r="F65" s="385"/>
      <c r="G65" s="384"/>
      <c r="H65" s="384"/>
      <c r="I65" s="226"/>
      <c r="J65" s="227"/>
      <c r="K65" s="224" t="s">
        <v>472</v>
      </c>
      <c r="L65" s="225">
        <v>45736</v>
      </c>
      <c r="M65" s="225">
        <v>45738</v>
      </c>
      <c r="N65" s="224" t="s">
        <v>485</v>
      </c>
      <c r="O65" s="224">
        <f>M65-L65</f>
        <v>2</v>
      </c>
      <c r="P65" s="224">
        <f>L66-M65</f>
        <v>61</v>
      </c>
      <c r="Q65" s="402"/>
      <c r="R65" s="385"/>
      <c r="S65" s="385"/>
      <c r="T65" s="385"/>
      <c r="U65" s="385"/>
    </row>
    <row r="66" spans="1:21" x14ac:dyDescent="0.3">
      <c r="A66" s="430"/>
      <c r="B66" s="387"/>
      <c r="C66" s="388"/>
      <c r="D66" s="389"/>
      <c r="E66" s="385"/>
      <c r="F66" s="385"/>
      <c r="G66" s="384"/>
      <c r="H66" s="384"/>
      <c r="I66" s="226"/>
      <c r="J66" s="227"/>
      <c r="K66" s="224" t="s">
        <v>474</v>
      </c>
      <c r="L66" s="225">
        <v>45799</v>
      </c>
      <c r="M66" s="225">
        <v>45800</v>
      </c>
      <c r="N66" s="224" t="s">
        <v>485</v>
      </c>
      <c r="O66" s="224">
        <f>M66-L66</f>
        <v>1</v>
      </c>
      <c r="P66" s="224"/>
      <c r="Q66" s="402"/>
      <c r="R66" s="385"/>
      <c r="S66" s="385"/>
      <c r="T66" s="385"/>
      <c r="U66" s="385"/>
    </row>
    <row r="67" spans="1:21" x14ac:dyDescent="0.3">
      <c r="A67" s="237">
        <v>5</v>
      </c>
      <c r="B67" s="238" t="s">
        <v>6</v>
      </c>
      <c r="C67" s="239" t="s">
        <v>569</v>
      </c>
      <c r="D67" s="240" t="s">
        <v>578</v>
      </c>
      <c r="E67" s="215" t="s">
        <v>579</v>
      </c>
      <c r="F67" s="215" t="s">
        <v>469</v>
      </c>
      <c r="G67" s="242">
        <v>45853</v>
      </c>
      <c r="H67" s="242">
        <f>H53</f>
        <v>45825</v>
      </c>
      <c r="I67" s="243"/>
      <c r="J67" s="241"/>
      <c r="K67" s="215"/>
      <c r="L67" s="242"/>
      <c r="M67" s="242"/>
      <c r="N67" s="215"/>
      <c r="O67" s="215"/>
      <c r="P67" s="215"/>
      <c r="Q67" s="215"/>
      <c r="R67" s="215"/>
      <c r="S67" s="215"/>
      <c r="T67" s="215"/>
      <c r="U67" s="215"/>
    </row>
    <row r="68" spans="1:21" ht="28" x14ac:dyDescent="0.3">
      <c r="A68" s="237">
        <v>6</v>
      </c>
      <c r="B68" s="238" t="s">
        <v>6</v>
      </c>
      <c r="C68" s="239" t="s">
        <v>569</v>
      </c>
      <c r="D68" s="263" t="s">
        <v>388</v>
      </c>
      <c r="E68" s="215" t="s">
        <v>580</v>
      </c>
      <c r="F68" s="215" t="s">
        <v>469</v>
      </c>
      <c r="G68" s="242">
        <v>45795</v>
      </c>
      <c r="H68" s="242">
        <v>45848</v>
      </c>
      <c r="I68" s="243"/>
      <c r="J68" s="241"/>
      <c r="K68" s="215"/>
      <c r="L68" s="242"/>
      <c r="M68" s="242"/>
      <c r="N68" s="215"/>
      <c r="O68" s="215"/>
      <c r="P68" s="215"/>
      <c r="Q68" s="215"/>
      <c r="R68" s="215"/>
      <c r="S68" s="215"/>
      <c r="T68" s="215"/>
      <c r="U68" s="215"/>
    </row>
    <row r="69" spans="1:21" x14ac:dyDescent="0.3">
      <c r="A69" s="237">
        <v>7</v>
      </c>
      <c r="B69" s="238" t="s">
        <v>6</v>
      </c>
      <c r="C69" s="239" t="s">
        <v>569</v>
      </c>
      <c r="D69" s="240" t="s">
        <v>581</v>
      </c>
      <c r="E69" s="215" t="s">
        <v>582</v>
      </c>
      <c r="F69" s="215" t="s">
        <v>469</v>
      </c>
      <c r="G69" s="242">
        <v>45858</v>
      </c>
      <c r="H69" s="242">
        <v>45848</v>
      </c>
      <c r="I69" s="243"/>
      <c r="J69" s="241"/>
      <c r="K69" s="215"/>
      <c r="L69" s="242"/>
      <c r="M69" s="242"/>
      <c r="N69" s="215"/>
      <c r="O69" s="215"/>
      <c r="P69" s="215"/>
      <c r="Q69" s="215"/>
      <c r="R69" s="215"/>
      <c r="S69" s="215"/>
      <c r="T69" s="215"/>
      <c r="U69" s="215"/>
    </row>
    <row r="70" spans="1:21" x14ac:dyDescent="0.3">
      <c r="A70" s="237">
        <v>8</v>
      </c>
      <c r="B70" s="238" t="s">
        <v>6</v>
      </c>
      <c r="C70" s="239" t="s">
        <v>569</v>
      </c>
      <c r="D70" s="240" t="s">
        <v>583</v>
      </c>
      <c r="E70" s="215" t="s">
        <v>584</v>
      </c>
      <c r="F70" s="215" t="s">
        <v>469</v>
      </c>
      <c r="G70" s="242">
        <v>45863</v>
      </c>
      <c r="H70" s="242">
        <v>45853</v>
      </c>
      <c r="I70" s="243"/>
      <c r="J70" s="241"/>
      <c r="K70" s="215"/>
      <c r="L70" s="242"/>
      <c r="M70" s="242"/>
      <c r="N70" s="215"/>
      <c r="O70" s="215"/>
      <c r="P70" s="215"/>
      <c r="Q70" s="215"/>
      <c r="R70" s="215"/>
      <c r="S70" s="215"/>
      <c r="T70" s="215"/>
      <c r="U70" s="215"/>
    </row>
    <row r="71" spans="1:21" x14ac:dyDescent="0.3">
      <c r="A71" s="237">
        <v>9</v>
      </c>
      <c r="B71" s="238" t="s">
        <v>6</v>
      </c>
      <c r="C71" s="239" t="s">
        <v>569</v>
      </c>
      <c r="D71" s="240" t="s">
        <v>585</v>
      </c>
      <c r="E71" s="215" t="s">
        <v>586</v>
      </c>
      <c r="F71" s="215" t="s">
        <v>469</v>
      </c>
      <c r="G71" s="242">
        <v>45874</v>
      </c>
      <c r="H71" s="242">
        <v>45853</v>
      </c>
      <c r="I71" s="243"/>
      <c r="J71" s="241"/>
      <c r="K71" s="215"/>
      <c r="L71" s="242"/>
      <c r="M71" s="242"/>
      <c r="N71" s="215"/>
      <c r="O71" s="215"/>
      <c r="P71" s="215"/>
      <c r="Q71" s="215"/>
      <c r="R71" s="215"/>
      <c r="S71" s="215"/>
      <c r="T71" s="215"/>
      <c r="U71" s="215"/>
    </row>
    <row r="72" spans="1:21" ht="28" x14ac:dyDescent="0.3">
      <c r="A72" s="237">
        <v>10</v>
      </c>
      <c r="B72" s="238" t="s">
        <v>6</v>
      </c>
      <c r="C72" s="239" t="s">
        <v>569</v>
      </c>
      <c r="D72" s="240" t="s">
        <v>587</v>
      </c>
      <c r="E72" s="215" t="s">
        <v>588</v>
      </c>
      <c r="F72" s="215" t="s">
        <v>469</v>
      </c>
      <c r="G72" s="242">
        <v>45877</v>
      </c>
      <c r="H72" s="242">
        <v>45853</v>
      </c>
      <c r="I72" s="243"/>
      <c r="J72" s="241"/>
      <c r="K72" s="215"/>
      <c r="L72" s="242"/>
      <c r="M72" s="242"/>
      <c r="N72" s="215"/>
      <c r="O72" s="215"/>
      <c r="P72" s="215"/>
      <c r="Q72" s="215"/>
      <c r="R72" s="215"/>
      <c r="S72" s="215"/>
      <c r="T72" s="215"/>
      <c r="U72" s="215"/>
    </row>
    <row r="73" spans="1:21" ht="28" x14ac:dyDescent="0.3">
      <c r="A73" s="237">
        <v>11</v>
      </c>
      <c r="B73" s="238" t="s">
        <v>6</v>
      </c>
      <c r="C73" s="239" t="s">
        <v>569</v>
      </c>
      <c r="D73" s="240" t="s">
        <v>589</v>
      </c>
      <c r="E73" s="215" t="s">
        <v>590</v>
      </c>
      <c r="F73" s="215" t="s">
        <v>469</v>
      </c>
      <c r="G73" s="242">
        <v>45881</v>
      </c>
      <c r="H73" s="242">
        <v>45860</v>
      </c>
      <c r="I73" s="243"/>
      <c r="J73" s="241"/>
      <c r="K73" s="215"/>
      <c r="L73" s="242"/>
      <c r="M73" s="242"/>
      <c r="N73" s="215"/>
      <c r="O73" s="215"/>
      <c r="P73" s="215"/>
      <c r="Q73" s="215"/>
      <c r="R73" s="215"/>
      <c r="S73" s="215"/>
      <c r="T73" s="215"/>
      <c r="U73" s="215"/>
    </row>
    <row r="74" spans="1:21" x14ac:dyDescent="0.3">
      <c r="A74" s="237">
        <v>12</v>
      </c>
      <c r="B74" s="238" t="s">
        <v>6</v>
      </c>
      <c r="C74" s="239" t="s">
        <v>569</v>
      </c>
      <c r="D74" s="240" t="s">
        <v>591</v>
      </c>
      <c r="E74" s="215" t="s">
        <v>592</v>
      </c>
      <c r="F74" s="215" t="s">
        <v>469</v>
      </c>
      <c r="G74" s="242">
        <v>45843</v>
      </c>
      <c r="H74" s="242">
        <v>45860</v>
      </c>
      <c r="I74" s="243"/>
      <c r="J74" s="241"/>
      <c r="K74" s="215"/>
      <c r="L74" s="242"/>
      <c r="M74" s="242"/>
      <c r="N74" s="215"/>
      <c r="O74" s="215"/>
      <c r="P74" s="215"/>
      <c r="Q74" s="215"/>
      <c r="R74" s="215"/>
      <c r="S74" s="215"/>
      <c r="T74" s="215"/>
      <c r="U74" s="215"/>
    </row>
    <row r="75" spans="1:21" ht="28" x14ac:dyDescent="0.3">
      <c r="A75" s="237">
        <v>13</v>
      </c>
      <c r="B75" s="238" t="s">
        <v>6</v>
      </c>
      <c r="C75" s="239" t="s">
        <v>569</v>
      </c>
      <c r="D75" s="240" t="s">
        <v>593</v>
      </c>
      <c r="E75" s="215" t="s">
        <v>594</v>
      </c>
      <c r="F75" s="215" t="s">
        <v>469</v>
      </c>
      <c r="G75" s="242">
        <v>45848</v>
      </c>
      <c r="H75" s="242">
        <v>45864</v>
      </c>
      <c r="I75" s="243"/>
      <c r="J75" s="241"/>
      <c r="K75" s="215"/>
      <c r="L75" s="242"/>
      <c r="M75" s="242"/>
      <c r="N75" s="215"/>
      <c r="O75" s="215"/>
      <c r="P75" s="215"/>
      <c r="Q75" s="215"/>
      <c r="R75" s="215"/>
      <c r="S75" s="215"/>
      <c r="T75" s="215"/>
      <c r="U75" s="215"/>
    </row>
    <row r="76" spans="1:21" ht="28" x14ac:dyDescent="0.3">
      <c r="A76" s="237">
        <v>14</v>
      </c>
      <c r="B76" s="238" t="s">
        <v>6</v>
      </c>
      <c r="C76" s="239" t="s">
        <v>569</v>
      </c>
      <c r="D76" s="240" t="s">
        <v>595</v>
      </c>
      <c r="E76" s="215" t="s">
        <v>596</v>
      </c>
      <c r="F76" s="215" t="s">
        <v>469</v>
      </c>
      <c r="G76" s="242">
        <v>45833</v>
      </c>
      <c r="H76" s="242">
        <v>45870</v>
      </c>
      <c r="I76" s="243"/>
      <c r="J76" s="241"/>
      <c r="K76" s="215"/>
      <c r="L76" s="242"/>
      <c r="M76" s="242"/>
      <c r="N76" s="215"/>
      <c r="O76" s="215"/>
      <c r="P76" s="215"/>
      <c r="Q76" s="215"/>
      <c r="R76" s="215"/>
      <c r="S76" s="215"/>
      <c r="T76" s="215"/>
      <c r="U76" s="215"/>
    </row>
    <row r="77" spans="1:21" ht="28" x14ac:dyDescent="0.3">
      <c r="A77" s="237">
        <v>15</v>
      </c>
      <c r="B77" s="238" t="s">
        <v>6</v>
      </c>
      <c r="C77" s="239" t="s">
        <v>569</v>
      </c>
      <c r="D77" s="240" t="s">
        <v>597</v>
      </c>
      <c r="E77" s="215" t="s">
        <v>598</v>
      </c>
      <c r="F77" s="215" t="s">
        <v>469</v>
      </c>
      <c r="G77" s="242">
        <v>45838</v>
      </c>
      <c r="H77" s="242">
        <v>45868</v>
      </c>
      <c r="I77" s="243"/>
      <c r="J77" s="241"/>
      <c r="K77" s="215"/>
      <c r="L77" s="242"/>
      <c r="M77" s="242"/>
      <c r="N77" s="215"/>
      <c r="O77" s="215"/>
      <c r="P77" s="215"/>
      <c r="Q77" s="215"/>
      <c r="R77" s="215"/>
      <c r="S77" s="215"/>
      <c r="T77" s="215"/>
      <c r="U77" s="215"/>
    </row>
    <row r="78" spans="1:21" ht="28" x14ac:dyDescent="0.3">
      <c r="A78" s="237">
        <v>16</v>
      </c>
      <c r="B78" s="238" t="s">
        <v>6</v>
      </c>
      <c r="C78" s="239" t="s">
        <v>569</v>
      </c>
      <c r="D78" s="240" t="s">
        <v>599</v>
      </c>
      <c r="E78" s="215" t="s">
        <v>600</v>
      </c>
      <c r="F78" s="215" t="s">
        <v>469</v>
      </c>
      <c r="G78" s="242">
        <v>45843</v>
      </c>
      <c r="H78" s="242">
        <v>45868</v>
      </c>
      <c r="I78" s="243"/>
      <c r="J78" s="241"/>
      <c r="K78" s="215"/>
      <c r="L78" s="242"/>
      <c r="M78" s="242"/>
      <c r="N78" s="215"/>
      <c r="O78" s="215"/>
      <c r="P78" s="215"/>
      <c r="Q78" s="215"/>
      <c r="R78" s="215"/>
      <c r="S78" s="215"/>
      <c r="T78" s="215"/>
      <c r="U78" s="215"/>
    </row>
    <row r="79" spans="1:21" ht="28" x14ac:dyDescent="0.3">
      <c r="A79" s="237">
        <v>17</v>
      </c>
      <c r="B79" s="238" t="s">
        <v>6</v>
      </c>
      <c r="C79" s="239" t="s">
        <v>569</v>
      </c>
      <c r="D79" s="240" t="s">
        <v>601</v>
      </c>
      <c r="E79" s="215" t="s">
        <v>602</v>
      </c>
      <c r="F79" s="215" t="s">
        <v>469</v>
      </c>
      <c r="G79" s="242">
        <v>45846</v>
      </c>
      <c r="H79" s="234">
        <f>H76</f>
        <v>45870</v>
      </c>
      <c r="I79" s="243"/>
      <c r="J79" s="241"/>
      <c r="K79" s="215"/>
      <c r="L79" s="242"/>
      <c r="M79" s="242"/>
      <c r="N79" s="215"/>
      <c r="O79" s="215"/>
      <c r="P79" s="215"/>
      <c r="Q79" s="215"/>
      <c r="R79" s="215"/>
      <c r="S79" s="215"/>
      <c r="T79" s="215"/>
      <c r="U79" s="215"/>
    </row>
    <row r="80" spans="1:21" ht="28" x14ac:dyDescent="0.3">
      <c r="A80" s="237">
        <v>18</v>
      </c>
      <c r="B80" s="238" t="s">
        <v>6</v>
      </c>
      <c r="C80" s="239" t="s">
        <v>569</v>
      </c>
      <c r="D80" s="263" t="s">
        <v>603</v>
      </c>
      <c r="E80" s="215" t="s">
        <v>604</v>
      </c>
      <c r="F80" s="213" t="s">
        <v>479</v>
      </c>
      <c r="G80" s="234">
        <v>45848</v>
      </c>
      <c r="H80" s="234">
        <v>45822</v>
      </c>
      <c r="I80" s="235"/>
      <c r="J80" s="241"/>
      <c r="K80" s="215"/>
      <c r="L80" s="242"/>
      <c r="M80" s="242"/>
      <c r="N80" s="215"/>
      <c r="O80" s="215"/>
      <c r="P80" s="215"/>
      <c r="Q80" s="215"/>
      <c r="R80" s="215"/>
      <c r="S80" s="215"/>
      <c r="T80" s="215"/>
      <c r="U80" s="215"/>
    </row>
    <row r="81" spans="1:21" x14ac:dyDescent="0.3">
      <c r="A81" s="237">
        <v>19</v>
      </c>
      <c r="B81" s="238" t="s">
        <v>6</v>
      </c>
      <c r="C81" s="239" t="s">
        <v>569</v>
      </c>
      <c r="D81" s="263" t="s">
        <v>605</v>
      </c>
      <c r="E81" s="215" t="s">
        <v>606</v>
      </c>
      <c r="F81" s="213" t="s">
        <v>479</v>
      </c>
      <c r="G81" s="234">
        <v>45853</v>
      </c>
      <c r="H81" s="234">
        <v>45876</v>
      </c>
      <c r="I81" s="235"/>
      <c r="J81" s="241"/>
      <c r="K81" s="215"/>
      <c r="L81" s="242"/>
      <c r="M81" s="242"/>
      <c r="N81" s="215"/>
      <c r="O81" s="215"/>
      <c r="P81" s="215"/>
      <c r="Q81" s="215"/>
      <c r="R81" s="215"/>
      <c r="S81" s="215"/>
      <c r="T81" s="215"/>
      <c r="U81" s="215"/>
    </row>
    <row r="82" spans="1:21" ht="28" x14ac:dyDescent="0.3">
      <c r="A82" s="237">
        <v>20</v>
      </c>
      <c r="B82" s="238" t="s">
        <v>6</v>
      </c>
      <c r="C82" s="239" t="s">
        <v>569</v>
      </c>
      <c r="D82" s="263" t="s">
        <v>607</v>
      </c>
      <c r="E82" s="215" t="s">
        <v>608</v>
      </c>
      <c r="F82" s="213" t="s">
        <v>469</v>
      </c>
      <c r="G82" s="234">
        <v>45853</v>
      </c>
      <c r="H82" s="234">
        <v>45876</v>
      </c>
      <c r="I82" s="235"/>
      <c r="J82" s="241"/>
      <c r="K82" s="215"/>
      <c r="L82" s="242"/>
      <c r="M82" s="242"/>
      <c r="N82" s="215"/>
      <c r="O82" s="215"/>
      <c r="P82" s="215"/>
      <c r="Q82" s="215"/>
      <c r="R82" s="215"/>
      <c r="S82" s="215"/>
      <c r="T82" s="215"/>
      <c r="U82" s="215"/>
    </row>
    <row r="83" spans="1:21" ht="28" x14ac:dyDescent="0.3">
      <c r="A83" s="237">
        <v>21</v>
      </c>
      <c r="B83" s="238" t="s">
        <v>6</v>
      </c>
      <c r="C83" s="239" t="s">
        <v>569</v>
      </c>
      <c r="D83" s="263" t="s">
        <v>609</v>
      </c>
      <c r="E83" s="215" t="s">
        <v>610</v>
      </c>
      <c r="F83" s="213" t="s">
        <v>479</v>
      </c>
      <c r="G83" s="234">
        <v>45858</v>
      </c>
      <c r="H83" s="234">
        <v>45882</v>
      </c>
      <c r="I83" s="235"/>
      <c r="J83" s="241"/>
      <c r="K83" s="215"/>
      <c r="L83" s="242"/>
      <c r="M83" s="242"/>
      <c r="N83" s="215"/>
      <c r="O83" s="215"/>
      <c r="P83" s="215"/>
      <c r="Q83" s="215"/>
      <c r="R83" s="215"/>
      <c r="S83" s="215"/>
      <c r="T83" s="215"/>
      <c r="U83" s="215"/>
    </row>
    <row r="84" spans="1:21" ht="28" x14ac:dyDescent="0.3">
      <c r="A84" s="237">
        <v>22</v>
      </c>
      <c r="B84" s="238" t="s">
        <v>6</v>
      </c>
      <c r="C84" s="239" t="s">
        <v>569</v>
      </c>
      <c r="D84" s="263" t="s">
        <v>611</v>
      </c>
      <c r="E84" s="215" t="s">
        <v>612</v>
      </c>
      <c r="F84" s="213" t="s">
        <v>469</v>
      </c>
      <c r="G84" s="234">
        <v>45826</v>
      </c>
      <c r="H84" s="234">
        <f>H83</f>
        <v>45882</v>
      </c>
      <c r="I84" s="235"/>
      <c r="J84" s="241"/>
      <c r="K84" s="215"/>
      <c r="L84" s="242"/>
      <c r="M84" s="242"/>
      <c r="N84" s="215"/>
      <c r="O84" s="215"/>
      <c r="P84" s="215"/>
      <c r="Q84" s="215"/>
      <c r="R84" s="215"/>
      <c r="S84" s="215"/>
      <c r="T84" s="215"/>
      <c r="U84" s="215"/>
    </row>
    <row r="85" spans="1:21" ht="28" x14ac:dyDescent="0.3">
      <c r="A85" s="237">
        <v>23</v>
      </c>
      <c r="B85" s="238" t="s">
        <v>6</v>
      </c>
      <c r="C85" s="239" t="s">
        <v>569</v>
      </c>
      <c r="D85" s="263" t="s">
        <v>613</v>
      </c>
      <c r="E85" s="215" t="s">
        <v>614</v>
      </c>
      <c r="F85" s="213" t="s">
        <v>479</v>
      </c>
      <c r="G85" s="234">
        <v>45833</v>
      </c>
      <c r="H85" s="234">
        <v>45887</v>
      </c>
      <c r="I85" s="235"/>
      <c r="J85" s="241"/>
      <c r="K85" s="215"/>
      <c r="L85" s="242"/>
      <c r="M85" s="242"/>
      <c r="N85" s="215"/>
      <c r="O85" s="215"/>
      <c r="P85" s="215"/>
      <c r="Q85" s="215"/>
      <c r="R85" s="215"/>
      <c r="S85" s="215"/>
      <c r="T85" s="215"/>
      <c r="U85" s="215"/>
    </row>
    <row r="86" spans="1:21" ht="28" x14ac:dyDescent="0.3">
      <c r="A86" s="237">
        <v>24</v>
      </c>
      <c r="B86" s="238" t="s">
        <v>6</v>
      </c>
      <c r="C86" s="239" t="s">
        <v>569</v>
      </c>
      <c r="D86" s="263" t="s">
        <v>615</v>
      </c>
      <c r="E86" s="215" t="s">
        <v>616</v>
      </c>
      <c r="F86" s="213" t="s">
        <v>469</v>
      </c>
      <c r="G86" s="234">
        <v>45863</v>
      </c>
      <c r="H86" s="234">
        <v>45887</v>
      </c>
      <c r="I86" s="235"/>
      <c r="J86" s="241"/>
      <c r="K86" s="215"/>
      <c r="L86" s="242"/>
      <c r="M86" s="242"/>
      <c r="N86" s="215"/>
      <c r="O86" s="215"/>
      <c r="P86" s="215"/>
      <c r="Q86" s="215"/>
      <c r="R86" s="215"/>
      <c r="S86" s="215"/>
      <c r="T86" s="215"/>
      <c r="U86" s="215"/>
    </row>
    <row r="87" spans="1:21" x14ac:dyDescent="0.3">
      <c r="A87" s="269">
        <v>25</v>
      </c>
      <c r="B87" s="238" t="s">
        <v>6</v>
      </c>
      <c r="C87" s="239" t="s">
        <v>569</v>
      </c>
      <c r="D87" s="240" t="s">
        <v>617</v>
      </c>
      <c r="E87" s="215" t="s">
        <v>618</v>
      </c>
      <c r="F87" s="213" t="s">
        <v>469</v>
      </c>
      <c r="G87" s="242">
        <v>45828</v>
      </c>
      <c r="H87" s="234">
        <v>45887</v>
      </c>
      <c r="I87" s="274"/>
      <c r="J87" s="241"/>
      <c r="K87" s="215"/>
      <c r="L87" s="242"/>
      <c r="M87" s="242"/>
      <c r="N87" s="215"/>
      <c r="O87" s="215"/>
      <c r="P87" s="215"/>
      <c r="Q87" s="215"/>
      <c r="R87" s="215"/>
      <c r="S87" s="215"/>
      <c r="T87" s="215"/>
      <c r="U87" s="215"/>
    </row>
    <row r="88" spans="1:21" ht="28" x14ac:dyDescent="0.3">
      <c r="A88" s="269">
        <v>26</v>
      </c>
      <c r="B88" s="238" t="s">
        <v>6</v>
      </c>
      <c r="C88" s="239" t="s">
        <v>569</v>
      </c>
      <c r="D88" s="263" t="s">
        <v>619</v>
      </c>
      <c r="E88" s="215" t="s">
        <v>620</v>
      </c>
      <c r="F88" s="213" t="s">
        <v>479</v>
      </c>
      <c r="G88" s="242">
        <v>45833</v>
      </c>
      <c r="H88" s="234">
        <f>H76</f>
        <v>45870</v>
      </c>
      <c r="I88" s="274"/>
      <c r="J88" s="241"/>
      <c r="K88" s="215"/>
      <c r="L88" s="242"/>
      <c r="M88" s="242"/>
      <c r="N88" s="215"/>
      <c r="O88" s="215"/>
      <c r="P88" s="215"/>
      <c r="Q88" s="215"/>
      <c r="R88" s="215"/>
      <c r="S88" s="215"/>
      <c r="T88" s="215"/>
      <c r="U88" s="215"/>
    </row>
    <row r="89" spans="1:21" ht="28" x14ac:dyDescent="0.3">
      <c r="A89" s="269">
        <v>27</v>
      </c>
      <c r="B89" s="238" t="s">
        <v>6</v>
      </c>
      <c r="C89" s="239" t="s">
        <v>569</v>
      </c>
      <c r="D89" s="240" t="s">
        <v>621</v>
      </c>
      <c r="E89" s="215" t="s">
        <v>622</v>
      </c>
      <c r="F89" s="213" t="s">
        <v>469</v>
      </c>
      <c r="G89" s="242">
        <v>45836</v>
      </c>
      <c r="H89" s="234">
        <v>45889</v>
      </c>
      <c r="I89" s="274"/>
      <c r="J89" s="241"/>
      <c r="K89" s="215"/>
      <c r="L89" s="242"/>
      <c r="M89" s="242"/>
      <c r="N89" s="215"/>
      <c r="O89" s="215"/>
      <c r="P89" s="215"/>
      <c r="Q89" s="215"/>
      <c r="R89" s="215"/>
      <c r="S89" s="215"/>
      <c r="T89" s="215"/>
      <c r="U89" s="215"/>
    </row>
    <row r="90" spans="1:21" x14ac:dyDescent="0.3">
      <c r="A90" s="269">
        <v>28</v>
      </c>
      <c r="B90" s="238" t="s">
        <v>6</v>
      </c>
      <c r="C90" s="239" t="s">
        <v>569</v>
      </c>
      <c r="D90" s="240" t="s">
        <v>623</v>
      </c>
      <c r="E90" s="215" t="s">
        <v>624</v>
      </c>
      <c r="F90" s="215" t="s">
        <v>469</v>
      </c>
      <c r="G90" s="242">
        <v>45858</v>
      </c>
      <c r="H90" s="234">
        <v>45889</v>
      </c>
      <c r="I90" s="243"/>
      <c r="J90" s="241"/>
      <c r="K90" s="215"/>
      <c r="L90" s="242"/>
      <c r="M90" s="242"/>
      <c r="N90" s="215"/>
      <c r="O90" s="215"/>
      <c r="P90" s="215"/>
      <c r="Q90" s="215"/>
      <c r="R90" s="215"/>
      <c r="S90" s="215"/>
      <c r="T90" s="215"/>
      <c r="U90" s="215"/>
    </row>
    <row r="91" spans="1:21" x14ac:dyDescent="0.3">
      <c r="A91" s="269">
        <v>29</v>
      </c>
      <c r="B91" s="238" t="s">
        <v>6</v>
      </c>
      <c r="C91" s="239" t="s">
        <v>569</v>
      </c>
      <c r="D91" s="240" t="s">
        <v>625</v>
      </c>
      <c r="E91" s="215" t="s">
        <v>626</v>
      </c>
      <c r="F91" s="215" t="s">
        <v>469</v>
      </c>
      <c r="G91" s="242">
        <v>45863</v>
      </c>
      <c r="H91" s="234">
        <f>G91</f>
        <v>45863</v>
      </c>
      <c r="I91" s="243"/>
      <c r="J91" s="241"/>
      <c r="K91" s="215"/>
      <c r="L91" s="242"/>
      <c r="M91" s="242"/>
      <c r="N91" s="215"/>
      <c r="O91" s="215"/>
      <c r="P91" s="215"/>
      <c r="Q91" s="215"/>
      <c r="R91" s="215"/>
      <c r="S91" s="215"/>
      <c r="T91" s="215"/>
      <c r="U91" s="215"/>
    </row>
    <row r="92" spans="1:21" x14ac:dyDescent="0.3">
      <c r="A92" s="275"/>
      <c r="B92" s="387" t="s">
        <v>627</v>
      </c>
      <c r="C92" s="388" t="s">
        <v>628</v>
      </c>
      <c r="D92" s="389" t="s">
        <v>629</v>
      </c>
      <c r="E92" s="385" t="s">
        <v>630</v>
      </c>
      <c r="F92" s="385" t="s">
        <v>469</v>
      </c>
      <c r="G92" s="384">
        <v>45719</v>
      </c>
      <c r="H92" s="398">
        <f>L92</f>
        <v>45714</v>
      </c>
      <c r="I92" s="226"/>
      <c r="J92" s="227"/>
      <c r="K92" s="224" t="s">
        <v>470</v>
      </c>
      <c r="L92" s="225">
        <v>45714</v>
      </c>
      <c r="M92" s="225">
        <v>45721</v>
      </c>
      <c r="N92" s="224" t="s">
        <v>471</v>
      </c>
      <c r="O92" s="224">
        <f>M92-L92</f>
        <v>7</v>
      </c>
      <c r="P92" s="224">
        <f>L93-M92</f>
        <v>33</v>
      </c>
      <c r="Q92" s="385"/>
      <c r="R92" s="385" t="s">
        <v>495</v>
      </c>
      <c r="S92" s="385" t="str">
        <f>N94</f>
        <v>CAT - II</v>
      </c>
      <c r="T92" s="385" t="s">
        <v>399</v>
      </c>
      <c r="U92" s="385"/>
    </row>
    <row r="93" spans="1:21" x14ac:dyDescent="0.3">
      <c r="A93" s="276">
        <v>3</v>
      </c>
      <c r="B93" s="387"/>
      <c r="C93" s="388"/>
      <c r="D93" s="389"/>
      <c r="E93" s="385"/>
      <c r="F93" s="385"/>
      <c r="G93" s="384"/>
      <c r="H93" s="417"/>
      <c r="I93" s="226"/>
      <c r="J93" s="227"/>
      <c r="K93" s="224" t="s">
        <v>472</v>
      </c>
      <c r="L93" s="225">
        <v>45754</v>
      </c>
      <c r="M93" s="225">
        <v>45763</v>
      </c>
      <c r="N93" s="224" t="s">
        <v>471</v>
      </c>
      <c r="O93" s="224">
        <f>M93-L93</f>
        <v>9</v>
      </c>
      <c r="P93" s="224">
        <f>L94-M93</f>
        <v>4</v>
      </c>
      <c r="Q93" s="385"/>
      <c r="R93" s="385"/>
      <c r="S93" s="385"/>
      <c r="T93" s="385"/>
      <c r="U93" s="385"/>
    </row>
    <row r="94" spans="1:21" x14ac:dyDescent="0.3">
      <c r="A94" s="444">
        <v>4</v>
      </c>
      <c r="B94" s="387"/>
      <c r="C94" s="388"/>
      <c r="D94" s="389"/>
      <c r="E94" s="385"/>
      <c r="F94" s="385"/>
      <c r="G94" s="384"/>
      <c r="H94" s="417"/>
      <c r="I94" s="226"/>
      <c r="J94" s="227"/>
      <c r="K94" s="224" t="s">
        <v>474</v>
      </c>
      <c r="L94" s="225">
        <v>45767</v>
      </c>
      <c r="M94" s="225">
        <v>45770</v>
      </c>
      <c r="N94" s="224" t="s">
        <v>494</v>
      </c>
      <c r="O94" s="224">
        <f>M94-L94</f>
        <v>3</v>
      </c>
      <c r="P94" s="224">
        <f>L95-M94</f>
        <v>1</v>
      </c>
      <c r="Q94" s="385"/>
      <c r="R94" s="385"/>
      <c r="S94" s="385"/>
      <c r="T94" s="385"/>
      <c r="U94" s="385"/>
    </row>
    <row r="95" spans="1:21" x14ac:dyDescent="0.3">
      <c r="A95" s="444"/>
      <c r="B95" s="387"/>
      <c r="C95" s="388"/>
      <c r="D95" s="389"/>
      <c r="E95" s="385"/>
      <c r="F95" s="385"/>
      <c r="G95" s="384"/>
      <c r="H95" s="399"/>
      <c r="I95" s="226"/>
      <c r="J95" s="227"/>
      <c r="K95" s="224" t="s">
        <v>475</v>
      </c>
      <c r="L95" s="225">
        <v>45771</v>
      </c>
      <c r="M95" s="225"/>
      <c r="N95" s="224"/>
      <c r="O95" s="224">
        <f ca="1">O1-L95</f>
        <v>74</v>
      </c>
      <c r="P95" s="224"/>
      <c r="Q95" s="385"/>
      <c r="R95" s="385"/>
      <c r="S95" s="385"/>
      <c r="T95" s="385"/>
      <c r="U95" s="385"/>
    </row>
    <row r="96" spans="1:21" x14ac:dyDescent="0.3">
      <c r="A96" s="276">
        <v>5</v>
      </c>
      <c r="B96" s="444" t="s">
        <v>627</v>
      </c>
      <c r="C96" s="445" t="s">
        <v>628</v>
      </c>
      <c r="D96" s="448" t="s">
        <v>631</v>
      </c>
      <c r="E96" s="407" t="s">
        <v>632</v>
      </c>
      <c r="F96" s="407" t="s">
        <v>469</v>
      </c>
      <c r="G96" s="408">
        <v>45755</v>
      </c>
      <c r="H96" s="421">
        <f>L96</f>
        <v>45772</v>
      </c>
      <c r="I96" s="243"/>
      <c r="J96" s="509"/>
      <c r="K96" s="215" t="s">
        <v>470</v>
      </c>
      <c r="L96" s="242">
        <v>45772</v>
      </c>
      <c r="M96" s="242">
        <v>45790</v>
      </c>
      <c r="N96" s="215" t="s">
        <v>471</v>
      </c>
      <c r="O96" s="215">
        <f>M96-L96</f>
        <v>18</v>
      </c>
      <c r="P96" s="215">
        <f>L97-M96</f>
        <v>3</v>
      </c>
      <c r="Q96" s="407"/>
      <c r="R96" s="407" t="s">
        <v>495</v>
      </c>
      <c r="S96" s="407" t="str">
        <f>N96</f>
        <v>CAT - III</v>
      </c>
      <c r="T96" s="407" t="s">
        <v>473</v>
      </c>
      <c r="U96" s="407">
        <f ca="1">U1-L97</f>
        <v>52</v>
      </c>
    </row>
    <row r="97" spans="1:21" x14ac:dyDescent="0.3">
      <c r="A97" s="276">
        <v>6</v>
      </c>
      <c r="B97" s="444"/>
      <c r="C97" s="445"/>
      <c r="D97" s="448"/>
      <c r="E97" s="407"/>
      <c r="F97" s="407"/>
      <c r="G97" s="408"/>
      <c r="H97" s="423"/>
      <c r="I97" s="243"/>
      <c r="J97" s="509"/>
      <c r="K97" s="215" t="s">
        <v>472</v>
      </c>
      <c r="L97" s="242">
        <v>45793</v>
      </c>
      <c r="M97" s="242"/>
      <c r="N97" s="215"/>
      <c r="O97" s="215">
        <f ca="1">O1-L97</f>
        <v>52</v>
      </c>
      <c r="P97" s="215"/>
      <c r="Q97" s="407"/>
      <c r="R97" s="407"/>
      <c r="S97" s="407"/>
      <c r="T97" s="407"/>
      <c r="U97" s="407"/>
    </row>
    <row r="98" spans="1:21" ht="28" x14ac:dyDescent="0.3">
      <c r="A98" s="276">
        <v>7</v>
      </c>
      <c r="B98" s="276" t="s">
        <v>627</v>
      </c>
      <c r="C98" s="277" t="s">
        <v>628</v>
      </c>
      <c r="D98" s="278" t="s">
        <v>633</v>
      </c>
      <c r="E98" s="215" t="s">
        <v>634</v>
      </c>
      <c r="F98" s="215" t="s">
        <v>469</v>
      </c>
      <c r="G98" s="242">
        <v>45762</v>
      </c>
      <c r="H98" s="242">
        <f>L98</f>
        <v>45790</v>
      </c>
      <c r="I98" s="243"/>
      <c r="J98" s="243"/>
      <c r="K98" s="215" t="s">
        <v>470</v>
      </c>
      <c r="L98" s="242">
        <v>45790</v>
      </c>
      <c r="M98" s="242"/>
      <c r="N98" s="215"/>
      <c r="O98" s="215">
        <f ca="1">O1-L98</f>
        <v>55</v>
      </c>
      <c r="P98" s="215"/>
      <c r="Q98" s="215"/>
      <c r="R98" s="215" t="s">
        <v>495</v>
      </c>
      <c r="S98" s="215"/>
      <c r="T98" s="215" t="s">
        <v>473</v>
      </c>
      <c r="U98" s="215">
        <f ca="1">U1-L98</f>
        <v>55</v>
      </c>
    </row>
    <row r="99" spans="1:21" x14ac:dyDescent="0.3">
      <c r="A99" s="276">
        <v>8</v>
      </c>
      <c r="B99" s="444" t="s">
        <v>627</v>
      </c>
      <c r="C99" s="445" t="s">
        <v>628</v>
      </c>
      <c r="D99" s="448" t="s">
        <v>635</v>
      </c>
      <c r="E99" s="407" t="s">
        <v>636</v>
      </c>
      <c r="F99" s="407" t="s">
        <v>469</v>
      </c>
      <c r="G99" s="408">
        <v>45780</v>
      </c>
      <c r="H99" s="421">
        <f>L99</f>
        <v>45758</v>
      </c>
      <c r="I99" s="243"/>
      <c r="J99" s="449">
        <v>45821</v>
      </c>
      <c r="K99" s="215" t="s">
        <v>470</v>
      </c>
      <c r="L99" s="242">
        <v>45758</v>
      </c>
      <c r="M99" s="242">
        <v>45766</v>
      </c>
      <c r="N99" s="215" t="s">
        <v>471</v>
      </c>
      <c r="O99" s="215">
        <f>M99-L99</f>
        <v>8</v>
      </c>
      <c r="P99" s="215">
        <f>L100-M99</f>
        <v>27</v>
      </c>
      <c r="Q99" s="407"/>
      <c r="R99" s="407" t="s">
        <v>502</v>
      </c>
      <c r="S99" s="407" t="str">
        <f>N99</f>
        <v>CAT - III</v>
      </c>
      <c r="T99" s="407" t="s">
        <v>476</v>
      </c>
      <c r="U99" s="407">
        <f ca="1">U1-M100</f>
        <v>37</v>
      </c>
    </row>
    <row r="100" spans="1:21" x14ac:dyDescent="0.3">
      <c r="A100" s="276">
        <v>9</v>
      </c>
      <c r="B100" s="444"/>
      <c r="C100" s="445"/>
      <c r="D100" s="448"/>
      <c r="E100" s="407"/>
      <c r="F100" s="407"/>
      <c r="G100" s="408"/>
      <c r="H100" s="423"/>
      <c r="I100" s="243"/>
      <c r="J100" s="451"/>
      <c r="K100" s="215" t="s">
        <v>472</v>
      </c>
      <c r="L100" s="242">
        <v>45793</v>
      </c>
      <c r="M100" s="242">
        <v>45808</v>
      </c>
      <c r="N100" s="215" t="s">
        <v>471</v>
      </c>
      <c r="O100" s="215">
        <f ca="1">O1-L100</f>
        <v>52</v>
      </c>
      <c r="P100" s="215"/>
      <c r="Q100" s="407"/>
      <c r="R100" s="407"/>
      <c r="S100" s="407"/>
      <c r="T100" s="407"/>
      <c r="U100" s="407"/>
    </row>
    <row r="101" spans="1:21" ht="14.25" customHeight="1" x14ac:dyDescent="0.3">
      <c r="A101" s="276">
        <v>10</v>
      </c>
      <c r="B101" s="276" t="s">
        <v>627</v>
      </c>
      <c r="C101" s="277" t="s">
        <v>628</v>
      </c>
      <c r="D101" s="278" t="s">
        <v>637</v>
      </c>
      <c r="E101" s="215" t="s">
        <v>638</v>
      </c>
      <c r="F101" s="215" t="s">
        <v>469</v>
      </c>
      <c r="G101" s="242">
        <v>45835</v>
      </c>
      <c r="H101" s="234">
        <f>G101</f>
        <v>45835</v>
      </c>
      <c r="I101" s="215" t="s">
        <v>639</v>
      </c>
      <c r="J101" s="243">
        <v>45821</v>
      </c>
      <c r="K101" s="215"/>
      <c r="L101" s="242"/>
      <c r="M101" s="242"/>
      <c r="N101" s="215"/>
      <c r="O101" s="215"/>
      <c r="P101" s="215"/>
      <c r="Q101" s="215"/>
      <c r="R101" s="215"/>
      <c r="S101" s="215"/>
      <c r="T101" s="215"/>
      <c r="U101" s="215"/>
    </row>
    <row r="102" spans="1:21" ht="28" x14ac:dyDescent="0.3">
      <c r="A102" s="276">
        <v>11</v>
      </c>
      <c r="B102" s="276" t="s">
        <v>627</v>
      </c>
      <c r="C102" s="277" t="s">
        <v>628</v>
      </c>
      <c r="D102" s="278" t="s">
        <v>640</v>
      </c>
      <c r="E102" s="215" t="s">
        <v>641</v>
      </c>
      <c r="F102" s="215" t="s">
        <v>469</v>
      </c>
      <c r="G102" s="242">
        <v>45835</v>
      </c>
      <c r="H102" s="234">
        <f>G102</f>
        <v>45835</v>
      </c>
      <c r="I102" s="215" t="s">
        <v>639</v>
      </c>
      <c r="J102" s="243">
        <v>45821</v>
      </c>
      <c r="K102" s="215"/>
      <c r="L102" s="242"/>
      <c r="M102" s="242"/>
      <c r="N102" s="215"/>
      <c r="O102" s="215"/>
      <c r="P102" s="215"/>
      <c r="Q102" s="215"/>
      <c r="R102" s="215"/>
      <c r="S102" s="215"/>
      <c r="T102" s="215"/>
      <c r="U102" s="215"/>
    </row>
    <row r="103" spans="1:21" x14ac:dyDescent="0.3">
      <c r="A103" s="276">
        <v>12</v>
      </c>
      <c r="B103" s="276" t="s">
        <v>627</v>
      </c>
      <c r="C103" s="277" t="s">
        <v>628</v>
      </c>
      <c r="D103" s="278" t="s">
        <v>642</v>
      </c>
      <c r="E103" s="215" t="s">
        <v>643</v>
      </c>
      <c r="F103" s="215" t="s">
        <v>469</v>
      </c>
      <c r="G103" s="242">
        <v>45835</v>
      </c>
      <c r="H103" s="234">
        <f>G103</f>
        <v>45835</v>
      </c>
      <c r="I103" s="215" t="s">
        <v>639</v>
      </c>
      <c r="J103" s="243">
        <v>45821</v>
      </c>
      <c r="K103" s="215"/>
      <c r="L103" s="242"/>
      <c r="M103" s="242"/>
      <c r="N103" s="215"/>
      <c r="O103" s="215"/>
      <c r="P103" s="215"/>
      <c r="Q103" s="215"/>
      <c r="R103" s="215"/>
      <c r="S103" s="215"/>
      <c r="T103" s="215"/>
      <c r="U103" s="215"/>
    </row>
    <row r="104" spans="1:21" x14ac:dyDescent="0.3">
      <c r="A104" s="276">
        <v>13</v>
      </c>
      <c r="B104" s="276" t="s">
        <v>627</v>
      </c>
      <c r="C104" s="277" t="s">
        <v>628</v>
      </c>
      <c r="D104" s="278" t="s">
        <v>644</v>
      </c>
      <c r="E104" s="215" t="s">
        <v>645</v>
      </c>
      <c r="F104" s="215" t="s">
        <v>469</v>
      </c>
      <c r="G104" s="242">
        <v>45835</v>
      </c>
      <c r="H104" s="234">
        <f>G104</f>
        <v>45835</v>
      </c>
      <c r="I104" s="215" t="s">
        <v>639</v>
      </c>
      <c r="J104" s="243">
        <v>45821</v>
      </c>
      <c r="K104" s="215"/>
      <c r="L104" s="242"/>
      <c r="M104" s="242"/>
      <c r="N104" s="215"/>
      <c r="O104" s="215"/>
      <c r="P104" s="215"/>
      <c r="Q104" s="215"/>
      <c r="R104" s="215"/>
      <c r="S104" s="215"/>
      <c r="T104" s="215"/>
      <c r="U104" s="215"/>
    </row>
    <row r="105" spans="1:21" x14ac:dyDescent="0.3">
      <c r="A105" s="276">
        <v>14</v>
      </c>
      <c r="B105" s="276" t="s">
        <v>627</v>
      </c>
      <c r="C105" s="277" t="s">
        <v>628</v>
      </c>
      <c r="D105" s="278" t="s">
        <v>646</v>
      </c>
      <c r="E105" s="215" t="s">
        <v>647</v>
      </c>
      <c r="F105" s="215" t="s">
        <v>469</v>
      </c>
      <c r="G105" s="242">
        <v>45768</v>
      </c>
      <c r="H105" s="242">
        <f>L105</f>
        <v>45804</v>
      </c>
      <c r="I105" s="243"/>
      <c r="J105" s="243">
        <v>45804</v>
      </c>
      <c r="K105" s="215" t="s">
        <v>470</v>
      </c>
      <c r="L105" s="242">
        <v>45804</v>
      </c>
      <c r="M105" s="242">
        <v>45812</v>
      </c>
      <c r="N105" s="215" t="s">
        <v>471</v>
      </c>
      <c r="O105" s="215">
        <f>M105-L105</f>
        <v>8</v>
      </c>
      <c r="P105" s="215">
        <f ca="1">O1-M105</f>
        <v>33</v>
      </c>
      <c r="Q105" s="215"/>
      <c r="R105" s="215" t="s">
        <v>502</v>
      </c>
      <c r="S105" s="215" t="str">
        <f>N105</f>
        <v>CAT - III</v>
      </c>
      <c r="T105" s="215" t="s">
        <v>476</v>
      </c>
      <c r="U105" s="215">
        <f ca="1">U1-L105</f>
        <v>41</v>
      </c>
    </row>
    <row r="106" spans="1:21" ht="28" x14ac:dyDescent="0.3">
      <c r="A106" s="276">
        <v>15</v>
      </c>
      <c r="B106" s="276" t="s">
        <v>627</v>
      </c>
      <c r="C106" s="277" t="s">
        <v>628</v>
      </c>
      <c r="D106" s="278" t="s">
        <v>648</v>
      </c>
      <c r="E106" s="215" t="s">
        <v>649</v>
      </c>
      <c r="F106" s="215" t="s">
        <v>469</v>
      </c>
      <c r="G106" s="242">
        <v>45800</v>
      </c>
      <c r="H106" s="242">
        <f>L106</f>
        <v>45800</v>
      </c>
      <c r="I106" s="243"/>
      <c r="J106" s="243"/>
      <c r="K106" s="215" t="s">
        <v>470</v>
      </c>
      <c r="L106" s="242">
        <v>45800</v>
      </c>
      <c r="M106" s="242"/>
      <c r="N106" s="215"/>
      <c r="O106" s="215">
        <f ca="1">O1-L106</f>
        <v>45</v>
      </c>
      <c r="P106" s="215"/>
      <c r="Q106" s="215"/>
      <c r="R106" s="215" t="s">
        <v>495</v>
      </c>
      <c r="S106" s="215"/>
      <c r="T106" s="215" t="s">
        <v>473</v>
      </c>
      <c r="U106" s="215">
        <f ca="1">U1-L106</f>
        <v>45</v>
      </c>
    </row>
    <row r="107" spans="1:21" ht="28" x14ac:dyDescent="0.3">
      <c r="A107" s="276">
        <v>16</v>
      </c>
      <c r="B107" s="276" t="s">
        <v>627</v>
      </c>
      <c r="C107" s="277" t="s">
        <v>628</v>
      </c>
      <c r="D107" s="278" t="s">
        <v>650</v>
      </c>
      <c r="E107" s="215" t="s">
        <v>651</v>
      </c>
      <c r="F107" s="215" t="s">
        <v>469</v>
      </c>
      <c r="G107" s="242">
        <v>45826</v>
      </c>
      <c r="H107" s="234">
        <f>G107</f>
        <v>45826</v>
      </c>
      <c r="I107" s="279" t="s">
        <v>652</v>
      </c>
      <c r="J107" s="243">
        <v>45814</v>
      </c>
      <c r="K107" s="215"/>
      <c r="L107" s="242"/>
      <c r="M107" s="242"/>
      <c r="N107" s="215"/>
      <c r="O107" s="215"/>
      <c r="P107" s="215"/>
      <c r="Q107" s="215"/>
      <c r="R107" s="215"/>
      <c r="S107" s="215"/>
      <c r="T107" s="215"/>
      <c r="U107" s="215"/>
    </row>
    <row r="108" spans="1:21" x14ac:dyDescent="0.3">
      <c r="A108" s="276">
        <v>17</v>
      </c>
      <c r="B108" s="276" t="s">
        <v>627</v>
      </c>
      <c r="C108" s="277" t="s">
        <v>628</v>
      </c>
      <c r="D108" s="278" t="s">
        <v>653</v>
      </c>
      <c r="E108" s="215" t="s">
        <v>654</v>
      </c>
      <c r="F108" s="215" t="s">
        <v>469</v>
      </c>
      <c r="G108" s="242">
        <v>45826</v>
      </c>
      <c r="H108" s="234">
        <f>G108</f>
        <v>45826</v>
      </c>
      <c r="I108" s="243" t="s">
        <v>655</v>
      </c>
      <c r="J108" s="243">
        <v>45814</v>
      </c>
      <c r="K108" s="215"/>
      <c r="L108" s="242"/>
      <c r="M108" s="242"/>
      <c r="N108" s="215"/>
      <c r="O108" s="215"/>
      <c r="P108" s="215"/>
      <c r="Q108" s="215"/>
      <c r="R108" s="215"/>
      <c r="S108" s="215"/>
      <c r="T108" s="215"/>
      <c r="U108" s="215"/>
    </row>
    <row r="109" spans="1:21" ht="28" x14ac:dyDescent="0.3">
      <c r="A109" s="276">
        <v>18</v>
      </c>
      <c r="B109" s="276" t="s">
        <v>627</v>
      </c>
      <c r="C109" s="277" t="s">
        <v>628</v>
      </c>
      <c r="D109" s="278" t="s">
        <v>656</v>
      </c>
      <c r="E109" s="215" t="s">
        <v>657</v>
      </c>
      <c r="F109" s="215" t="s">
        <v>469</v>
      </c>
      <c r="G109" s="242">
        <v>45826</v>
      </c>
      <c r="H109" s="234">
        <f>G109</f>
        <v>45826</v>
      </c>
      <c r="I109" s="243" t="s">
        <v>655</v>
      </c>
      <c r="J109" s="243">
        <v>45814</v>
      </c>
      <c r="K109" s="215"/>
      <c r="L109" s="242"/>
      <c r="M109" s="242"/>
      <c r="N109" s="215"/>
      <c r="O109" s="215"/>
      <c r="P109" s="215"/>
      <c r="Q109" s="215"/>
      <c r="R109" s="215"/>
      <c r="S109" s="215"/>
      <c r="T109" s="215"/>
      <c r="U109" s="215"/>
    </row>
    <row r="110" spans="1:21" x14ac:dyDescent="0.3">
      <c r="A110" s="276">
        <v>19</v>
      </c>
      <c r="B110" s="276" t="s">
        <v>627</v>
      </c>
      <c r="C110" s="277" t="s">
        <v>628</v>
      </c>
      <c r="D110" s="278" t="s">
        <v>658</v>
      </c>
      <c r="E110" s="215" t="s">
        <v>659</v>
      </c>
      <c r="F110" s="215" t="s">
        <v>469</v>
      </c>
      <c r="G110" s="242">
        <v>45794</v>
      </c>
      <c r="H110" s="234">
        <v>45825</v>
      </c>
      <c r="I110" s="243"/>
      <c r="J110" s="243"/>
      <c r="K110" s="215"/>
      <c r="L110" s="242"/>
      <c r="M110" s="242"/>
      <c r="N110" s="215"/>
      <c r="O110" s="215"/>
      <c r="P110" s="215"/>
      <c r="Q110" s="215"/>
      <c r="R110" s="215"/>
      <c r="S110" s="215"/>
      <c r="T110" s="215"/>
      <c r="U110" s="215"/>
    </row>
    <row r="111" spans="1:21" ht="28" x14ac:dyDescent="0.3">
      <c r="A111" s="276">
        <v>20</v>
      </c>
      <c r="B111" s="276" t="s">
        <v>627</v>
      </c>
      <c r="C111" s="277" t="s">
        <v>628</v>
      </c>
      <c r="D111" s="278" t="s">
        <v>660</v>
      </c>
      <c r="E111" s="215" t="s">
        <v>661</v>
      </c>
      <c r="F111" s="215" t="s">
        <v>469</v>
      </c>
      <c r="G111" s="242">
        <v>45821</v>
      </c>
      <c r="H111" s="234">
        <f t="shared" ref="H111:H121" si="1">G111</f>
        <v>45821</v>
      </c>
      <c r="I111" s="243"/>
      <c r="J111" s="243"/>
      <c r="K111" s="215"/>
      <c r="L111" s="242"/>
      <c r="M111" s="242"/>
      <c r="N111" s="215"/>
      <c r="O111" s="215"/>
      <c r="P111" s="215"/>
      <c r="Q111" s="215"/>
      <c r="R111" s="215"/>
      <c r="S111" s="215"/>
      <c r="T111" s="215"/>
      <c r="U111" s="215"/>
    </row>
    <row r="112" spans="1:21" ht="28" x14ac:dyDescent="0.3">
      <c r="A112" s="276">
        <v>21</v>
      </c>
      <c r="B112" s="276" t="s">
        <v>627</v>
      </c>
      <c r="C112" s="277" t="s">
        <v>628</v>
      </c>
      <c r="D112" s="278" t="s">
        <v>662</v>
      </c>
      <c r="E112" s="215" t="s">
        <v>663</v>
      </c>
      <c r="F112" s="215" t="s">
        <v>469</v>
      </c>
      <c r="G112" s="242">
        <v>45835</v>
      </c>
      <c r="H112" s="234">
        <f t="shared" si="1"/>
        <v>45835</v>
      </c>
      <c r="I112" s="243" t="s">
        <v>664</v>
      </c>
      <c r="J112" s="243">
        <v>45828</v>
      </c>
      <c r="K112" s="215"/>
      <c r="L112" s="242"/>
      <c r="M112" s="242"/>
      <c r="N112" s="215"/>
      <c r="O112" s="215"/>
      <c r="P112" s="215"/>
      <c r="Q112" s="215"/>
      <c r="R112" s="215"/>
      <c r="S112" s="215"/>
      <c r="T112" s="215"/>
      <c r="U112" s="215"/>
    </row>
    <row r="113" spans="1:21" ht="28" x14ac:dyDescent="0.3">
      <c r="A113" s="276">
        <v>22</v>
      </c>
      <c r="B113" s="276" t="s">
        <v>627</v>
      </c>
      <c r="C113" s="277" t="s">
        <v>628</v>
      </c>
      <c r="D113" s="278" t="s">
        <v>665</v>
      </c>
      <c r="E113" s="215" t="s">
        <v>666</v>
      </c>
      <c r="F113" s="215" t="s">
        <v>479</v>
      </c>
      <c r="G113" s="242">
        <v>45842</v>
      </c>
      <c r="H113" s="234">
        <f t="shared" si="1"/>
        <v>45842</v>
      </c>
      <c r="I113" s="243" t="s">
        <v>664</v>
      </c>
      <c r="J113" s="243">
        <v>45828</v>
      </c>
      <c r="K113" s="215"/>
      <c r="L113" s="242"/>
      <c r="M113" s="242"/>
      <c r="N113" s="215"/>
      <c r="O113" s="215"/>
      <c r="P113" s="215"/>
      <c r="Q113" s="215"/>
      <c r="R113" s="215"/>
      <c r="S113" s="215"/>
      <c r="T113" s="215"/>
      <c r="U113" s="215"/>
    </row>
    <row r="114" spans="1:21" x14ac:dyDescent="0.3">
      <c r="A114" s="276">
        <v>23</v>
      </c>
      <c r="B114" s="276" t="s">
        <v>627</v>
      </c>
      <c r="C114" s="277" t="s">
        <v>628</v>
      </c>
      <c r="D114" s="278" t="s">
        <v>667</v>
      </c>
      <c r="E114" s="215" t="s">
        <v>668</v>
      </c>
      <c r="F114" s="215" t="s">
        <v>469</v>
      </c>
      <c r="G114" s="242">
        <v>45853</v>
      </c>
      <c r="H114" s="234">
        <f t="shared" si="1"/>
        <v>45853</v>
      </c>
      <c r="I114" s="243"/>
      <c r="J114" s="243">
        <v>45835</v>
      </c>
      <c r="K114" s="215"/>
      <c r="L114" s="242"/>
      <c r="M114" s="242"/>
      <c r="N114" s="215"/>
      <c r="O114" s="215"/>
      <c r="P114" s="215"/>
      <c r="Q114" s="215"/>
      <c r="R114" s="215"/>
      <c r="S114" s="215"/>
      <c r="T114" s="215"/>
      <c r="U114" s="215"/>
    </row>
    <row r="115" spans="1:21" ht="28" x14ac:dyDescent="0.3">
      <c r="A115" s="276">
        <v>24</v>
      </c>
      <c r="B115" s="276" t="s">
        <v>627</v>
      </c>
      <c r="C115" s="277" t="s">
        <v>628</v>
      </c>
      <c r="D115" s="278" t="s">
        <v>669</v>
      </c>
      <c r="E115" s="215" t="s">
        <v>670</v>
      </c>
      <c r="F115" s="215" t="s">
        <v>469</v>
      </c>
      <c r="G115" s="242">
        <v>45838</v>
      </c>
      <c r="H115" s="234">
        <f t="shared" si="1"/>
        <v>45838</v>
      </c>
      <c r="I115" s="243"/>
      <c r="J115" s="243">
        <v>45838</v>
      </c>
      <c r="K115" s="215"/>
      <c r="L115" s="242"/>
      <c r="M115" s="242"/>
      <c r="N115" s="215"/>
      <c r="O115" s="215"/>
      <c r="P115" s="215"/>
      <c r="Q115" s="215"/>
      <c r="R115" s="215"/>
      <c r="S115" s="215"/>
      <c r="T115" s="215"/>
      <c r="U115" s="215"/>
    </row>
    <row r="116" spans="1:21" x14ac:dyDescent="0.3">
      <c r="A116" s="276">
        <v>25</v>
      </c>
      <c r="B116" s="276" t="s">
        <v>627</v>
      </c>
      <c r="C116" s="277" t="s">
        <v>628</v>
      </c>
      <c r="D116" s="278" t="s">
        <v>671</v>
      </c>
      <c r="E116" s="215" t="s">
        <v>672</v>
      </c>
      <c r="F116" s="215" t="s">
        <v>469</v>
      </c>
      <c r="G116" s="242">
        <v>45850</v>
      </c>
      <c r="H116" s="234">
        <f t="shared" si="1"/>
        <v>45850</v>
      </c>
      <c r="I116" s="243"/>
      <c r="J116" s="243">
        <v>45850</v>
      </c>
      <c r="K116" s="215"/>
      <c r="L116" s="242"/>
      <c r="M116" s="242"/>
      <c r="N116" s="215"/>
      <c r="O116" s="215"/>
      <c r="P116" s="215"/>
      <c r="Q116" s="215"/>
      <c r="R116" s="215"/>
      <c r="S116" s="215"/>
      <c r="T116" s="215"/>
      <c r="U116" s="215"/>
    </row>
    <row r="117" spans="1:21" x14ac:dyDescent="0.3">
      <c r="A117" s="276">
        <v>1</v>
      </c>
      <c r="B117" s="276" t="s">
        <v>627</v>
      </c>
      <c r="C117" s="277" t="s">
        <v>628</v>
      </c>
      <c r="D117" s="278" t="s">
        <v>673</v>
      </c>
      <c r="E117" s="215" t="s">
        <v>674</v>
      </c>
      <c r="F117" s="215" t="s">
        <v>469</v>
      </c>
      <c r="G117" s="242">
        <v>45852</v>
      </c>
      <c r="H117" s="234">
        <f t="shared" si="1"/>
        <v>45852</v>
      </c>
      <c r="I117" s="243"/>
      <c r="J117" s="243">
        <v>45852</v>
      </c>
      <c r="K117" s="215"/>
      <c r="L117" s="242"/>
      <c r="M117" s="242"/>
      <c r="N117" s="215"/>
      <c r="O117" s="215"/>
      <c r="P117" s="215"/>
      <c r="Q117" s="215"/>
      <c r="R117" s="215"/>
      <c r="S117" s="215"/>
      <c r="T117" s="215"/>
      <c r="U117" s="215"/>
    </row>
    <row r="118" spans="1:21" x14ac:dyDescent="0.3">
      <c r="A118" s="276">
        <v>2</v>
      </c>
      <c r="B118" s="276" t="s">
        <v>627</v>
      </c>
      <c r="C118" s="277" t="s">
        <v>628</v>
      </c>
      <c r="D118" s="278" t="s">
        <v>675</v>
      </c>
      <c r="E118" s="215" t="s">
        <v>676</v>
      </c>
      <c r="F118" s="215" t="s">
        <v>469</v>
      </c>
      <c r="G118" s="242">
        <v>45863</v>
      </c>
      <c r="H118" s="234">
        <f t="shared" si="1"/>
        <v>45863</v>
      </c>
      <c r="I118" s="243"/>
      <c r="J118" s="243">
        <v>45853</v>
      </c>
      <c r="K118" s="215"/>
      <c r="L118" s="242"/>
      <c r="M118" s="242"/>
      <c r="N118" s="215"/>
      <c r="O118" s="215"/>
      <c r="P118" s="215"/>
      <c r="Q118" s="215"/>
      <c r="R118" s="215"/>
      <c r="S118" s="215"/>
      <c r="T118" s="215"/>
      <c r="U118" s="215"/>
    </row>
    <row r="119" spans="1:21" ht="28" x14ac:dyDescent="0.3">
      <c r="A119" s="276">
        <v>3</v>
      </c>
      <c r="B119" s="276" t="s">
        <v>627</v>
      </c>
      <c r="C119" s="277" t="s">
        <v>628</v>
      </c>
      <c r="D119" s="278" t="s">
        <v>677</v>
      </c>
      <c r="E119" s="215" t="s">
        <v>678</v>
      </c>
      <c r="F119" s="215" t="s">
        <v>469</v>
      </c>
      <c r="G119" s="242">
        <v>45854</v>
      </c>
      <c r="H119" s="234">
        <f t="shared" si="1"/>
        <v>45854</v>
      </c>
      <c r="I119" s="243"/>
      <c r="J119" s="243">
        <v>45854</v>
      </c>
      <c r="K119" s="215"/>
      <c r="L119" s="242"/>
      <c r="M119" s="242"/>
      <c r="N119" s="215"/>
      <c r="O119" s="215"/>
      <c r="P119" s="215"/>
      <c r="Q119" s="215"/>
      <c r="R119" s="215"/>
      <c r="S119" s="215"/>
      <c r="T119" s="215"/>
      <c r="U119" s="215"/>
    </row>
    <row r="120" spans="1:21" ht="28" x14ac:dyDescent="0.3">
      <c r="A120" s="444">
        <v>4</v>
      </c>
      <c r="B120" s="276" t="s">
        <v>627</v>
      </c>
      <c r="C120" s="277" t="s">
        <v>628</v>
      </c>
      <c r="D120" s="278" t="s">
        <v>679</v>
      </c>
      <c r="E120" s="215" t="s">
        <v>680</v>
      </c>
      <c r="F120" s="215" t="s">
        <v>469</v>
      </c>
      <c r="G120" s="242">
        <v>45860</v>
      </c>
      <c r="H120" s="234">
        <f t="shared" si="1"/>
        <v>45860</v>
      </c>
      <c r="I120" s="243"/>
      <c r="J120" s="243">
        <v>45860</v>
      </c>
      <c r="K120" s="215"/>
      <c r="L120" s="242"/>
      <c r="M120" s="242"/>
      <c r="N120" s="215"/>
      <c r="O120" s="215"/>
      <c r="P120" s="215"/>
      <c r="Q120" s="215"/>
      <c r="R120" s="215"/>
      <c r="S120" s="215"/>
      <c r="T120" s="215"/>
      <c r="U120" s="215"/>
    </row>
    <row r="121" spans="1:21" ht="28" x14ac:dyDescent="0.3">
      <c r="A121" s="444"/>
      <c r="B121" s="276" t="s">
        <v>627</v>
      </c>
      <c r="C121" s="277" t="s">
        <v>628</v>
      </c>
      <c r="D121" s="278" t="s">
        <v>681</v>
      </c>
      <c r="E121" s="215" t="s">
        <v>682</v>
      </c>
      <c r="F121" s="215" t="s">
        <v>469</v>
      </c>
      <c r="G121" s="242">
        <v>45866</v>
      </c>
      <c r="H121" s="234">
        <f t="shared" si="1"/>
        <v>45866</v>
      </c>
      <c r="I121" s="243"/>
      <c r="J121" s="243">
        <v>45866</v>
      </c>
      <c r="K121" s="215"/>
      <c r="L121" s="242"/>
      <c r="M121" s="242"/>
      <c r="N121" s="215"/>
      <c r="O121" s="215"/>
      <c r="P121" s="215"/>
      <c r="Q121" s="215"/>
      <c r="R121" s="215"/>
      <c r="S121" s="215"/>
      <c r="T121" s="215"/>
      <c r="U121" s="215"/>
    </row>
    <row r="122" spans="1:21" ht="28" x14ac:dyDescent="0.3">
      <c r="A122" s="276">
        <v>5</v>
      </c>
      <c r="B122" s="276" t="s">
        <v>627</v>
      </c>
      <c r="C122" s="277" t="s">
        <v>683</v>
      </c>
      <c r="D122" s="278" t="s">
        <v>684</v>
      </c>
      <c r="E122" s="215" t="s">
        <v>685</v>
      </c>
      <c r="F122" s="215" t="s">
        <v>469</v>
      </c>
      <c r="G122" s="242">
        <v>45714</v>
      </c>
      <c r="H122" s="242">
        <f>L122</f>
        <v>45714</v>
      </c>
      <c r="I122" s="243"/>
      <c r="J122" s="243"/>
      <c r="K122" s="215" t="s">
        <v>470</v>
      </c>
      <c r="L122" s="242">
        <v>45714</v>
      </c>
      <c r="M122" s="242"/>
      <c r="N122" s="215"/>
      <c r="O122" s="215">
        <f ca="1">O1-L122</f>
        <v>131</v>
      </c>
      <c r="P122" s="215"/>
      <c r="Q122" s="215"/>
      <c r="R122" s="215" t="s">
        <v>495</v>
      </c>
      <c r="S122" s="215"/>
      <c r="T122" s="215" t="s">
        <v>473</v>
      </c>
      <c r="U122" s="215">
        <f ca="1">U1-L122</f>
        <v>131</v>
      </c>
    </row>
    <row r="123" spans="1:21" ht="28" x14ac:dyDescent="0.3">
      <c r="A123" s="276">
        <v>6</v>
      </c>
      <c r="B123" s="276" t="s">
        <v>627</v>
      </c>
      <c r="C123" s="277" t="s">
        <v>683</v>
      </c>
      <c r="D123" s="278" t="s">
        <v>686</v>
      </c>
      <c r="E123" s="215" t="s">
        <v>687</v>
      </c>
      <c r="F123" s="215" t="s">
        <v>469</v>
      </c>
      <c r="G123" s="242">
        <v>45877</v>
      </c>
      <c r="H123" s="234">
        <f>G123</f>
        <v>45877</v>
      </c>
      <c r="I123" s="243"/>
      <c r="J123" s="243">
        <v>45877</v>
      </c>
      <c r="K123" s="215"/>
      <c r="L123" s="242"/>
      <c r="M123" s="242"/>
      <c r="N123" s="215"/>
      <c r="O123" s="215"/>
      <c r="P123" s="215"/>
      <c r="Q123" s="215"/>
      <c r="R123" s="215"/>
      <c r="S123" s="215"/>
      <c r="T123" s="215"/>
      <c r="U123" s="215"/>
    </row>
    <row r="124" spans="1:21" ht="28" x14ac:dyDescent="0.3">
      <c r="A124" s="276">
        <v>7</v>
      </c>
      <c r="B124" s="276" t="s">
        <v>627</v>
      </c>
      <c r="C124" s="277" t="s">
        <v>683</v>
      </c>
      <c r="D124" s="278" t="s">
        <v>688</v>
      </c>
      <c r="E124" s="215" t="s">
        <v>689</v>
      </c>
      <c r="F124" s="215" t="s">
        <v>469</v>
      </c>
      <c r="G124" s="242">
        <v>45987</v>
      </c>
      <c r="H124" s="234">
        <f>G124</f>
        <v>45987</v>
      </c>
      <c r="I124" s="243"/>
      <c r="J124" s="243">
        <v>45987</v>
      </c>
      <c r="K124" s="215"/>
      <c r="L124" s="242"/>
      <c r="M124" s="242"/>
      <c r="N124" s="215"/>
      <c r="O124" s="215"/>
      <c r="P124" s="215"/>
      <c r="Q124" s="215"/>
      <c r="R124" s="215"/>
      <c r="S124" s="215"/>
      <c r="T124" s="215"/>
      <c r="U124" s="215"/>
    </row>
    <row r="125" spans="1:21" x14ac:dyDescent="0.3">
      <c r="A125" s="276">
        <v>8</v>
      </c>
      <c r="B125" s="444" t="s">
        <v>627</v>
      </c>
      <c r="C125" s="445" t="s">
        <v>683</v>
      </c>
      <c r="D125" s="448" t="s">
        <v>690</v>
      </c>
      <c r="E125" s="407" t="s">
        <v>691</v>
      </c>
      <c r="F125" s="425" t="s">
        <v>469</v>
      </c>
      <c r="G125" s="408">
        <v>45754</v>
      </c>
      <c r="H125" s="421">
        <f>L125</f>
        <v>45773</v>
      </c>
      <c r="I125" s="480"/>
      <c r="J125" s="480"/>
      <c r="K125" s="215" t="s">
        <v>470</v>
      </c>
      <c r="L125" s="242">
        <v>45773</v>
      </c>
      <c r="M125" s="242">
        <v>45777</v>
      </c>
      <c r="N125" s="215" t="s">
        <v>471</v>
      </c>
      <c r="O125" s="215">
        <f>M125-L125</f>
        <v>4</v>
      </c>
      <c r="P125" s="215">
        <f>L126-M125</f>
        <v>14</v>
      </c>
      <c r="Q125" s="407"/>
      <c r="R125" s="407" t="s">
        <v>495</v>
      </c>
      <c r="S125" s="407" t="s">
        <v>485</v>
      </c>
      <c r="T125" s="407" t="s">
        <v>399</v>
      </c>
      <c r="U125" s="407">
        <f>M126-L126</f>
        <v>21</v>
      </c>
    </row>
    <row r="126" spans="1:21" x14ac:dyDescent="0.3">
      <c r="A126" s="276">
        <v>9</v>
      </c>
      <c r="B126" s="444"/>
      <c r="C126" s="445"/>
      <c r="D126" s="448"/>
      <c r="E126" s="407"/>
      <c r="F126" s="427"/>
      <c r="G126" s="408"/>
      <c r="H126" s="423"/>
      <c r="I126" s="481"/>
      <c r="J126" s="481"/>
      <c r="K126" s="215" t="s">
        <v>472</v>
      </c>
      <c r="L126" s="242">
        <v>45791</v>
      </c>
      <c r="M126" s="242">
        <v>45812</v>
      </c>
      <c r="N126" s="224" t="s">
        <v>485</v>
      </c>
      <c r="O126" s="215">
        <f>M126-L126</f>
        <v>21</v>
      </c>
      <c r="P126" s="215"/>
      <c r="Q126" s="407"/>
      <c r="R126" s="407"/>
      <c r="S126" s="407"/>
      <c r="T126" s="407"/>
      <c r="U126" s="407"/>
    </row>
    <row r="127" spans="1:21" ht="28" customHeight="1" x14ac:dyDescent="0.3">
      <c r="A127" s="452">
        <v>10</v>
      </c>
      <c r="B127" s="276" t="s">
        <v>627</v>
      </c>
      <c r="C127" s="455" t="s">
        <v>683</v>
      </c>
      <c r="D127" s="470" t="s">
        <v>692</v>
      </c>
      <c r="E127" s="425" t="s">
        <v>693</v>
      </c>
      <c r="F127" s="425" t="s">
        <v>469</v>
      </c>
      <c r="G127" s="421">
        <v>45754</v>
      </c>
      <c r="H127" s="421">
        <f>L127</f>
        <v>45791</v>
      </c>
      <c r="I127" s="480"/>
      <c r="J127" s="480"/>
      <c r="K127" s="215" t="s">
        <v>470</v>
      </c>
      <c r="L127" s="242">
        <v>45791</v>
      </c>
      <c r="M127" s="242">
        <v>45809</v>
      </c>
      <c r="N127" s="215" t="s">
        <v>471</v>
      </c>
      <c r="O127" s="215">
        <f>M127-L127</f>
        <v>18</v>
      </c>
      <c r="P127" s="215">
        <f>L128-M127</f>
        <v>3</v>
      </c>
      <c r="Q127" s="425"/>
      <c r="R127" s="425" t="s">
        <v>502</v>
      </c>
      <c r="S127" s="425" t="str">
        <f>N127</f>
        <v>CAT - III</v>
      </c>
      <c r="T127" s="425" t="s">
        <v>476</v>
      </c>
      <c r="U127" s="425">
        <f ca="1">U1-L127</f>
        <v>54</v>
      </c>
    </row>
    <row r="128" spans="1:21" x14ac:dyDescent="0.3">
      <c r="A128" s="454"/>
      <c r="B128" s="276"/>
      <c r="C128" s="457"/>
      <c r="D128" s="471"/>
      <c r="E128" s="427"/>
      <c r="F128" s="427"/>
      <c r="G128" s="423"/>
      <c r="H128" s="423"/>
      <c r="I128" s="481"/>
      <c r="J128" s="481"/>
      <c r="K128" s="215" t="s">
        <v>472</v>
      </c>
      <c r="L128" s="242">
        <v>45812</v>
      </c>
      <c r="M128" s="242"/>
      <c r="N128" s="215"/>
      <c r="O128" s="215">
        <f ca="1">O1-L128</f>
        <v>33</v>
      </c>
      <c r="P128" s="215"/>
      <c r="Q128" s="427"/>
      <c r="R128" s="427"/>
      <c r="S128" s="427"/>
      <c r="T128" s="427"/>
      <c r="U128" s="427"/>
    </row>
    <row r="129" spans="1:21" ht="28" x14ac:dyDescent="0.3">
      <c r="A129" s="276">
        <v>11</v>
      </c>
      <c r="B129" s="276" t="s">
        <v>627</v>
      </c>
      <c r="C129" s="277" t="s">
        <v>683</v>
      </c>
      <c r="D129" s="278" t="s">
        <v>694</v>
      </c>
      <c r="E129" s="215" t="s">
        <v>695</v>
      </c>
      <c r="F129" s="215" t="s">
        <v>469</v>
      </c>
      <c r="G129" s="242">
        <v>45811</v>
      </c>
      <c r="H129" s="242">
        <v>45828</v>
      </c>
      <c r="I129" s="243"/>
      <c r="J129" s="243">
        <f>J101+7</f>
        <v>45828</v>
      </c>
      <c r="K129" s="215"/>
      <c r="L129" s="242"/>
      <c r="M129" s="242"/>
      <c r="N129" s="215"/>
      <c r="O129" s="215"/>
      <c r="P129" s="215"/>
      <c r="Q129" s="215"/>
      <c r="R129" s="215"/>
      <c r="S129" s="215"/>
      <c r="T129" s="215"/>
      <c r="U129" s="215"/>
    </row>
    <row r="130" spans="1:21" ht="28" x14ac:dyDescent="0.3">
      <c r="A130" s="444">
        <v>12</v>
      </c>
      <c r="B130" s="276" t="s">
        <v>627</v>
      </c>
      <c r="C130" s="277" t="s">
        <v>683</v>
      </c>
      <c r="D130" s="278" t="s">
        <v>696</v>
      </c>
      <c r="E130" s="215" t="s">
        <v>697</v>
      </c>
      <c r="F130" s="215" t="s">
        <v>469</v>
      </c>
      <c r="G130" s="242">
        <v>45808</v>
      </c>
      <c r="H130" s="242">
        <v>45828</v>
      </c>
      <c r="I130" s="243"/>
      <c r="J130" s="243">
        <f>J102+7</f>
        <v>45828</v>
      </c>
      <c r="K130" s="215"/>
      <c r="L130" s="242"/>
      <c r="M130" s="242"/>
      <c r="N130" s="215"/>
      <c r="O130" s="215"/>
      <c r="P130" s="215"/>
      <c r="Q130" s="215"/>
      <c r="R130" s="215"/>
      <c r="S130" s="215"/>
      <c r="T130" s="215"/>
      <c r="U130" s="215"/>
    </row>
    <row r="131" spans="1:21" ht="28" x14ac:dyDescent="0.3">
      <c r="A131" s="444"/>
      <c r="B131" s="276" t="s">
        <v>627</v>
      </c>
      <c r="C131" s="277" t="s">
        <v>683</v>
      </c>
      <c r="D131" s="278" t="s">
        <v>698</v>
      </c>
      <c r="E131" s="215" t="s">
        <v>699</v>
      </c>
      <c r="F131" s="215" t="s">
        <v>469</v>
      </c>
      <c r="G131" s="242">
        <v>45831</v>
      </c>
      <c r="H131" s="234">
        <f>G131</f>
        <v>45831</v>
      </c>
      <c r="I131" s="243"/>
      <c r="J131" s="243">
        <v>45831</v>
      </c>
      <c r="K131" s="215"/>
      <c r="L131" s="242"/>
      <c r="M131" s="242"/>
      <c r="N131" s="215"/>
      <c r="O131" s="215"/>
      <c r="P131" s="215"/>
      <c r="Q131" s="215"/>
      <c r="R131" s="215"/>
      <c r="S131" s="215"/>
      <c r="T131" s="215"/>
      <c r="U131" s="215"/>
    </row>
    <row r="132" spans="1:21" ht="28" x14ac:dyDescent="0.3">
      <c r="A132" s="275">
        <v>13</v>
      </c>
      <c r="B132" s="276" t="s">
        <v>627</v>
      </c>
      <c r="C132" s="277" t="s">
        <v>683</v>
      </c>
      <c r="D132" s="278" t="s">
        <v>700</v>
      </c>
      <c r="E132" s="215" t="s">
        <v>701</v>
      </c>
      <c r="F132" s="215" t="s">
        <v>479</v>
      </c>
      <c r="G132" s="242">
        <v>45829</v>
      </c>
      <c r="H132" s="234">
        <f>G132</f>
        <v>45829</v>
      </c>
      <c r="I132" s="243"/>
      <c r="J132" s="243">
        <v>45829</v>
      </c>
      <c r="K132" s="215"/>
      <c r="L132" s="242"/>
      <c r="M132" s="242"/>
      <c r="N132" s="215"/>
      <c r="O132" s="215"/>
      <c r="P132" s="215"/>
      <c r="Q132" s="215"/>
      <c r="R132" s="215"/>
      <c r="S132" s="215"/>
      <c r="T132" s="215"/>
      <c r="U132" s="215"/>
    </row>
    <row r="133" spans="1:21" s="259" customFormat="1" ht="29.15" customHeight="1" x14ac:dyDescent="0.3">
      <c r="A133" s="283"/>
      <c r="B133" s="284" t="s">
        <v>627</v>
      </c>
      <c r="C133" s="464" t="s">
        <v>683</v>
      </c>
      <c r="D133" s="467" t="s">
        <v>702</v>
      </c>
      <c r="E133" s="396" t="s">
        <v>703</v>
      </c>
      <c r="F133" s="396" t="s">
        <v>469</v>
      </c>
      <c r="G133" s="398">
        <v>45783</v>
      </c>
      <c r="H133" s="398">
        <f>L133</f>
        <v>45792</v>
      </c>
      <c r="I133" s="226"/>
      <c r="J133" s="226"/>
      <c r="K133" s="224" t="s">
        <v>470</v>
      </c>
      <c r="L133" s="225">
        <v>45792</v>
      </c>
      <c r="M133" s="225">
        <v>45813</v>
      </c>
      <c r="N133" s="224" t="s">
        <v>471</v>
      </c>
      <c r="O133" s="224">
        <f ca="1">O1-L133</f>
        <v>53</v>
      </c>
      <c r="P133" s="285"/>
      <c r="Q133" s="507">
        <f>M133</f>
        <v>45813</v>
      </c>
      <c r="R133" s="504" t="s">
        <v>495</v>
      </c>
      <c r="S133" s="504" t="str">
        <f>N133</f>
        <v>CAT - III</v>
      </c>
      <c r="T133" s="504" t="s">
        <v>473</v>
      </c>
      <c r="U133" s="285">
        <f ca="1">U1-L133</f>
        <v>53</v>
      </c>
    </row>
    <row r="134" spans="1:21" s="259" customFormat="1" x14ac:dyDescent="0.3">
      <c r="A134" s="283"/>
      <c r="B134" s="284"/>
      <c r="C134" s="466"/>
      <c r="D134" s="506"/>
      <c r="E134" s="397"/>
      <c r="F134" s="397"/>
      <c r="G134" s="399"/>
      <c r="H134" s="399"/>
      <c r="I134" s="226"/>
      <c r="J134" s="226"/>
      <c r="K134" s="224" t="s">
        <v>472</v>
      </c>
      <c r="L134" s="225">
        <v>45813</v>
      </c>
      <c r="M134" s="225"/>
      <c r="N134" s="224"/>
      <c r="O134" s="224"/>
      <c r="P134" s="285"/>
      <c r="Q134" s="508"/>
      <c r="R134" s="505"/>
      <c r="S134" s="505"/>
      <c r="T134" s="505"/>
      <c r="U134" s="285"/>
    </row>
    <row r="135" spans="1:21" ht="28" x14ac:dyDescent="0.3">
      <c r="A135" s="276">
        <v>14</v>
      </c>
      <c r="B135" s="276" t="s">
        <v>627</v>
      </c>
      <c r="C135" s="277" t="s">
        <v>683</v>
      </c>
      <c r="D135" s="278" t="s">
        <v>704</v>
      </c>
      <c r="E135" s="215" t="s">
        <v>705</v>
      </c>
      <c r="F135" s="215" t="s">
        <v>469</v>
      </c>
      <c r="G135" s="242">
        <v>45783</v>
      </c>
      <c r="H135" s="242">
        <f>L135</f>
        <v>45791</v>
      </c>
      <c r="I135" s="243"/>
      <c r="J135" s="243"/>
      <c r="K135" s="215" t="s">
        <v>470</v>
      </c>
      <c r="L135" s="242">
        <v>45791</v>
      </c>
      <c r="M135" s="242"/>
      <c r="N135" s="215"/>
      <c r="O135" s="215">
        <f ca="1">O1-L135</f>
        <v>54</v>
      </c>
      <c r="P135" s="215"/>
      <c r="Q135" s="215"/>
      <c r="R135" s="215" t="s">
        <v>495</v>
      </c>
      <c r="S135" s="215"/>
      <c r="T135" s="215" t="s">
        <v>473</v>
      </c>
      <c r="U135" s="215">
        <f ca="1">U1-L135</f>
        <v>54</v>
      </c>
    </row>
    <row r="136" spans="1:21" x14ac:dyDescent="0.3">
      <c r="A136" s="276">
        <v>15</v>
      </c>
      <c r="B136" s="444" t="s">
        <v>627</v>
      </c>
      <c r="C136" s="445" t="s">
        <v>683</v>
      </c>
      <c r="D136" s="448" t="s">
        <v>706</v>
      </c>
      <c r="E136" s="407" t="s">
        <v>707</v>
      </c>
      <c r="F136" s="407" t="s">
        <v>469</v>
      </c>
      <c r="G136" s="408">
        <v>45755</v>
      </c>
      <c r="H136" s="421">
        <f>L136</f>
        <v>45755</v>
      </c>
      <c r="I136" s="243"/>
      <c r="J136" s="243"/>
      <c r="K136" s="215" t="s">
        <v>470</v>
      </c>
      <c r="L136" s="242">
        <v>45755</v>
      </c>
      <c r="M136" s="242">
        <v>45770</v>
      </c>
      <c r="N136" s="215" t="s">
        <v>471</v>
      </c>
      <c r="O136" s="215">
        <f>M136-L136</f>
        <v>15</v>
      </c>
      <c r="P136" s="215">
        <f>L137-M136</f>
        <v>18</v>
      </c>
      <c r="Q136" s="407"/>
      <c r="R136" s="407" t="s">
        <v>502</v>
      </c>
      <c r="S136" s="407" t="str">
        <f>N137</f>
        <v>CAT - III</v>
      </c>
      <c r="T136" s="407" t="s">
        <v>476</v>
      </c>
      <c r="U136" s="407">
        <f ca="1">U1-L137</f>
        <v>57</v>
      </c>
    </row>
    <row r="137" spans="1:21" x14ac:dyDescent="0.3">
      <c r="A137" s="276">
        <v>1</v>
      </c>
      <c r="B137" s="444"/>
      <c r="C137" s="445"/>
      <c r="D137" s="448"/>
      <c r="E137" s="407"/>
      <c r="F137" s="407"/>
      <c r="G137" s="408"/>
      <c r="H137" s="423"/>
      <c r="I137" s="243"/>
      <c r="J137" s="243"/>
      <c r="K137" s="215" t="s">
        <v>472</v>
      </c>
      <c r="L137" s="242">
        <v>45788</v>
      </c>
      <c r="M137" s="242">
        <v>45809</v>
      </c>
      <c r="N137" s="215" t="s">
        <v>471</v>
      </c>
      <c r="O137" s="215">
        <f>M137-L137</f>
        <v>21</v>
      </c>
      <c r="P137" s="215">
        <f ca="1">O1-M137</f>
        <v>36</v>
      </c>
      <c r="Q137" s="407"/>
      <c r="R137" s="407"/>
      <c r="S137" s="407"/>
      <c r="T137" s="407"/>
      <c r="U137" s="407"/>
    </row>
    <row r="138" spans="1:21" x14ac:dyDescent="0.3">
      <c r="A138" s="276">
        <v>2</v>
      </c>
      <c r="B138" s="444" t="s">
        <v>627</v>
      </c>
      <c r="C138" s="445" t="s">
        <v>683</v>
      </c>
      <c r="D138" s="448" t="s">
        <v>396</v>
      </c>
      <c r="E138" s="407" t="s">
        <v>708</v>
      </c>
      <c r="F138" s="407" t="s">
        <v>469</v>
      </c>
      <c r="G138" s="408">
        <v>45755</v>
      </c>
      <c r="H138" s="421">
        <f>L138</f>
        <v>45755</v>
      </c>
      <c r="I138" s="243"/>
      <c r="J138" s="243"/>
      <c r="K138" s="215" t="s">
        <v>470</v>
      </c>
      <c r="L138" s="242">
        <v>45755</v>
      </c>
      <c r="M138" s="242">
        <v>45770</v>
      </c>
      <c r="N138" s="215" t="s">
        <v>471</v>
      </c>
      <c r="O138" s="215">
        <f>M138-L138</f>
        <v>15</v>
      </c>
      <c r="P138" s="215">
        <f>L139-M138</f>
        <v>17</v>
      </c>
      <c r="Q138" s="407"/>
      <c r="R138" s="407" t="s">
        <v>502</v>
      </c>
      <c r="S138" s="407" t="str">
        <f>N139</f>
        <v>CAT - III</v>
      </c>
      <c r="T138" s="407" t="s">
        <v>476</v>
      </c>
      <c r="U138" s="407">
        <f ca="1">U1-L139</f>
        <v>58</v>
      </c>
    </row>
    <row r="139" spans="1:21" x14ac:dyDescent="0.3">
      <c r="A139" s="276">
        <v>3</v>
      </c>
      <c r="B139" s="444"/>
      <c r="C139" s="445"/>
      <c r="D139" s="448"/>
      <c r="E139" s="407"/>
      <c r="F139" s="407"/>
      <c r="G139" s="408"/>
      <c r="H139" s="423"/>
      <c r="I139" s="243"/>
      <c r="J139" s="243"/>
      <c r="K139" s="215" t="s">
        <v>472</v>
      </c>
      <c r="L139" s="242">
        <v>45787</v>
      </c>
      <c r="M139" s="242">
        <v>45809</v>
      </c>
      <c r="N139" s="215" t="s">
        <v>471</v>
      </c>
      <c r="O139" s="215">
        <f>M139-L139</f>
        <v>22</v>
      </c>
      <c r="P139" s="215">
        <f ca="1">O1-M139</f>
        <v>36</v>
      </c>
      <c r="Q139" s="407"/>
      <c r="R139" s="407"/>
      <c r="S139" s="407"/>
      <c r="T139" s="407"/>
      <c r="U139" s="407"/>
    </row>
    <row r="140" spans="1:21" ht="28" x14ac:dyDescent="0.3">
      <c r="A140" s="276">
        <v>4</v>
      </c>
      <c r="B140" s="276" t="s">
        <v>627</v>
      </c>
      <c r="C140" s="277" t="s">
        <v>683</v>
      </c>
      <c r="D140" s="278" t="s">
        <v>709</v>
      </c>
      <c r="E140" s="215" t="s">
        <v>710</v>
      </c>
      <c r="F140" s="215" t="s">
        <v>479</v>
      </c>
      <c r="G140" s="242">
        <v>45807</v>
      </c>
      <c r="H140" s="234">
        <v>45821</v>
      </c>
      <c r="I140" s="243"/>
      <c r="J140" s="243">
        <v>45807</v>
      </c>
      <c r="K140" s="215"/>
      <c r="L140" s="242"/>
      <c r="M140" s="242"/>
      <c r="N140" s="215"/>
      <c r="O140" s="215"/>
      <c r="P140" s="215"/>
      <c r="Q140" s="215"/>
      <c r="R140" s="215"/>
      <c r="S140" s="215"/>
      <c r="T140" s="215"/>
      <c r="U140" s="215"/>
    </row>
    <row r="141" spans="1:21" ht="28" x14ac:dyDescent="0.3">
      <c r="A141" s="276">
        <v>5</v>
      </c>
      <c r="B141" s="276" t="s">
        <v>627</v>
      </c>
      <c r="C141" s="277" t="s">
        <v>683</v>
      </c>
      <c r="D141" s="278" t="s">
        <v>711</v>
      </c>
      <c r="E141" s="215" t="s">
        <v>712</v>
      </c>
      <c r="F141" s="215" t="s">
        <v>479</v>
      </c>
      <c r="G141" s="242">
        <v>45845</v>
      </c>
      <c r="H141" s="234">
        <f>G141</f>
        <v>45845</v>
      </c>
      <c r="I141" s="243"/>
      <c r="J141" s="243">
        <v>45845</v>
      </c>
      <c r="K141" s="215"/>
      <c r="L141" s="242"/>
      <c r="M141" s="242"/>
      <c r="N141" s="215"/>
      <c r="O141" s="215"/>
      <c r="P141" s="215"/>
      <c r="Q141" s="215"/>
      <c r="R141" s="215"/>
      <c r="S141" s="215"/>
      <c r="T141" s="215"/>
      <c r="U141" s="215"/>
    </row>
    <row r="142" spans="1:21" ht="28" x14ac:dyDescent="0.3">
      <c r="A142" s="276">
        <v>6</v>
      </c>
      <c r="B142" s="276" t="s">
        <v>713</v>
      </c>
      <c r="C142" s="277" t="s">
        <v>714</v>
      </c>
      <c r="D142" s="278" t="s">
        <v>715</v>
      </c>
      <c r="E142" s="215" t="s">
        <v>716</v>
      </c>
      <c r="F142" s="215" t="s">
        <v>469</v>
      </c>
      <c r="G142" s="242">
        <v>45803</v>
      </c>
      <c r="H142" s="242">
        <f>L142</f>
        <v>45804</v>
      </c>
      <c r="I142" s="279"/>
      <c r="J142" s="243"/>
      <c r="K142" s="215" t="s">
        <v>470</v>
      </c>
      <c r="L142" s="242">
        <v>45804</v>
      </c>
      <c r="M142" s="242"/>
      <c r="N142" s="215"/>
      <c r="O142" s="215">
        <f ca="1">O1-L142</f>
        <v>41</v>
      </c>
      <c r="P142" s="215"/>
      <c r="Q142" s="215"/>
      <c r="R142" s="215" t="s">
        <v>495</v>
      </c>
      <c r="S142" s="215"/>
      <c r="T142" s="215" t="s">
        <v>473</v>
      </c>
      <c r="U142" s="215">
        <f ca="1">U1-L142</f>
        <v>41</v>
      </c>
    </row>
    <row r="143" spans="1:21" ht="28" x14ac:dyDescent="0.3">
      <c r="A143" s="276"/>
      <c r="B143" s="276"/>
      <c r="C143" s="277" t="s">
        <v>714</v>
      </c>
      <c r="D143" s="278" t="s">
        <v>717</v>
      </c>
      <c r="E143" s="215" t="s">
        <v>718</v>
      </c>
      <c r="F143" s="215" t="s">
        <v>469</v>
      </c>
      <c r="G143" s="242">
        <v>45817</v>
      </c>
      <c r="H143" s="242">
        <f>L143</f>
        <v>45813</v>
      </c>
      <c r="I143" s="279"/>
      <c r="J143" s="243"/>
      <c r="K143" s="215" t="s">
        <v>470</v>
      </c>
      <c r="L143" s="242">
        <v>45813</v>
      </c>
      <c r="M143" s="242"/>
      <c r="N143" s="215"/>
      <c r="O143" s="215"/>
      <c r="P143" s="215"/>
      <c r="Q143" s="215"/>
      <c r="R143" s="215"/>
      <c r="S143" s="215"/>
      <c r="T143" s="215"/>
      <c r="U143" s="215"/>
    </row>
    <row r="144" spans="1:21" ht="28" x14ac:dyDescent="0.3">
      <c r="A144" s="276">
        <v>7</v>
      </c>
      <c r="B144" s="276" t="s">
        <v>713</v>
      </c>
      <c r="C144" s="277" t="s">
        <v>714</v>
      </c>
      <c r="D144" s="278" t="s">
        <v>719</v>
      </c>
      <c r="E144" s="215" t="s">
        <v>720</v>
      </c>
      <c r="F144" s="215" t="s">
        <v>469</v>
      </c>
      <c r="G144" s="242">
        <v>45816</v>
      </c>
      <c r="H144" s="242">
        <v>45834</v>
      </c>
      <c r="I144" s="243" t="s">
        <v>389</v>
      </c>
      <c r="J144" s="243"/>
      <c r="K144" s="215"/>
      <c r="L144" s="242"/>
      <c r="M144" s="242"/>
      <c r="N144" s="215"/>
      <c r="O144" s="215"/>
      <c r="P144" s="215"/>
      <c r="Q144" s="215"/>
      <c r="R144" s="215"/>
      <c r="S144" s="215"/>
      <c r="T144" s="215"/>
      <c r="U144" s="215"/>
    </row>
    <row r="145" spans="1:21" ht="28" x14ac:dyDescent="0.3">
      <c r="A145" s="276">
        <v>8</v>
      </c>
      <c r="B145" s="276" t="s">
        <v>713</v>
      </c>
      <c r="C145" s="277" t="s">
        <v>714</v>
      </c>
      <c r="D145" s="278" t="s">
        <v>721</v>
      </c>
      <c r="E145" s="215" t="s">
        <v>722</v>
      </c>
      <c r="F145" s="215" t="s">
        <v>469</v>
      </c>
      <c r="G145" s="242">
        <v>45805</v>
      </c>
      <c r="H145" s="242">
        <f>L145</f>
        <v>45817</v>
      </c>
      <c r="I145" s="243" t="s">
        <v>389</v>
      </c>
      <c r="J145" s="243"/>
      <c r="K145" s="215" t="s">
        <v>470</v>
      </c>
      <c r="L145" s="242">
        <v>45817</v>
      </c>
      <c r="M145" s="242"/>
      <c r="N145" s="215"/>
      <c r="O145" s="215"/>
      <c r="P145" s="215"/>
      <c r="Q145" s="215"/>
      <c r="R145" s="215" t="s">
        <v>495</v>
      </c>
      <c r="S145" s="215"/>
      <c r="T145" s="215" t="s">
        <v>473</v>
      </c>
      <c r="U145" s="215"/>
    </row>
    <row r="146" spans="1:21" ht="28" x14ac:dyDescent="0.3">
      <c r="A146" s="276">
        <v>9</v>
      </c>
      <c r="B146" s="276" t="s">
        <v>713</v>
      </c>
      <c r="C146" s="277" t="s">
        <v>714</v>
      </c>
      <c r="D146" s="278" t="s">
        <v>723</v>
      </c>
      <c r="E146" s="215" t="s">
        <v>724</v>
      </c>
      <c r="F146" s="215" t="s">
        <v>469</v>
      </c>
      <c r="G146" s="242">
        <v>45805</v>
      </c>
      <c r="H146" s="242">
        <f>L146</f>
        <v>45817</v>
      </c>
      <c r="I146" s="243" t="s">
        <v>389</v>
      </c>
      <c r="J146" s="243"/>
      <c r="K146" s="215" t="s">
        <v>470</v>
      </c>
      <c r="L146" s="242">
        <v>45817</v>
      </c>
      <c r="M146" s="242"/>
      <c r="N146" s="215"/>
      <c r="O146" s="215"/>
      <c r="P146" s="215"/>
      <c r="Q146" s="215"/>
      <c r="R146" s="215" t="s">
        <v>495</v>
      </c>
      <c r="S146" s="215"/>
      <c r="T146" s="215" t="s">
        <v>473</v>
      </c>
      <c r="U146" s="215"/>
    </row>
    <row r="147" spans="1:21" ht="28" x14ac:dyDescent="0.3">
      <c r="A147" s="276">
        <v>10</v>
      </c>
      <c r="B147" s="276" t="s">
        <v>713</v>
      </c>
      <c r="C147" s="277" t="s">
        <v>714</v>
      </c>
      <c r="D147" s="278" t="s">
        <v>725</v>
      </c>
      <c r="E147" s="215" t="s">
        <v>726</v>
      </c>
      <c r="F147" s="215" t="s">
        <v>469</v>
      </c>
      <c r="G147" s="242">
        <v>45820</v>
      </c>
      <c r="H147" s="242">
        <v>45826</v>
      </c>
      <c r="I147" s="243" t="s">
        <v>389</v>
      </c>
      <c r="J147" s="243"/>
      <c r="K147" s="215"/>
      <c r="L147" s="242"/>
      <c r="M147" s="242"/>
      <c r="N147" s="215"/>
      <c r="O147" s="215"/>
      <c r="P147" s="215"/>
      <c r="Q147" s="215"/>
      <c r="R147" s="215"/>
      <c r="S147" s="215"/>
      <c r="T147" s="215"/>
      <c r="U147" s="215"/>
    </row>
    <row r="148" spans="1:21" ht="28" x14ac:dyDescent="0.3">
      <c r="A148" s="276">
        <v>11</v>
      </c>
      <c r="B148" s="276" t="s">
        <v>713</v>
      </c>
      <c r="C148" s="277" t="s">
        <v>714</v>
      </c>
      <c r="D148" s="278" t="s">
        <v>727</v>
      </c>
      <c r="E148" s="215" t="s">
        <v>728</v>
      </c>
      <c r="F148" s="215" t="s">
        <v>469</v>
      </c>
      <c r="G148" s="242">
        <v>45814</v>
      </c>
      <c r="H148" s="242">
        <v>45826</v>
      </c>
      <c r="I148" s="243" t="s">
        <v>389</v>
      </c>
      <c r="J148" s="243"/>
      <c r="K148" s="215"/>
      <c r="L148" s="242"/>
      <c r="M148" s="242"/>
      <c r="N148" s="215"/>
      <c r="O148" s="215"/>
      <c r="P148" s="215"/>
      <c r="Q148" s="215"/>
      <c r="R148" s="215"/>
      <c r="S148" s="215"/>
      <c r="T148" s="215"/>
      <c r="U148" s="215"/>
    </row>
    <row r="149" spans="1:21" ht="28" x14ac:dyDescent="0.3">
      <c r="A149" s="276">
        <v>12</v>
      </c>
      <c r="B149" s="276" t="s">
        <v>713</v>
      </c>
      <c r="C149" s="277" t="s">
        <v>714</v>
      </c>
      <c r="D149" s="278" t="s">
        <v>729</v>
      </c>
      <c r="E149" s="215" t="s">
        <v>730</v>
      </c>
      <c r="F149" s="215" t="s">
        <v>469</v>
      </c>
      <c r="G149" s="242">
        <f>[2]Sheet4!E41</f>
        <v>45834</v>
      </c>
      <c r="H149" s="234">
        <f>G149</f>
        <v>45834</v>
      </c>
      <c r="I149" s="243" t="s">
        <v>389</v>
      </c>
      <c r="J149" s="243"/>
      <c r="K149" s="215"/>
      <c r="L149" s="242"/>
      <c r="M149" s="242"/>
      <c r="N149" s="215"/>
      <c r="O149" s="215"/>
      <c r="P149" s="215"/>
      <c r="Q149" s="215"/>
      <c r="R149" s="215"/>
      <c r="S149" s="215"/>
      <c r="T149" s="215"/>
      <c r="U149" s="215"/>
    </row>
    <row r="150" spans="1:21" ht="28" x14ac:dyDescent="0.3">
      <c r="A150" s="276">
        <v>13</v>
      </c>
      <c r="B150" s="276" t="s">
        <v>713</v>
      </c>
      <c r="C150" s="277" t="s">
        <v>714</v>
      </c>
      <c r="D150" s="278" t="s">
        <v>731</v>
      </c>
      <c r="E150" s="215" t="s">
        <v>732</v>
      </c>
      <c r="F150" s="215" t="s">
        <v>469</v>
      </c>
      <c r="G150" s="242">
        <f>[2]Sheet4!E42</f>
        <v>45848</v>
      </c>
      <c r="H150" s="234">
        <f>G150</f>
        <v>45848</v>
      </c>
      <c r="I150" s="243" t="s">
        <v>389</v>
      </c>
      <c r="J150" s="243"/>
      <c r="K150" s="215"/>
      <c r="L150" s="242"/>
      <c r="M150" s="242"/>
      <c r="N150" s="215"/>
      <c r="O150" s="215"/>
      <c r="P150" s="215"/>
      <c r="Q150" s="215"/>
      <c r="R150" s="215"/>
      <c r="S150" s="215"/>
      <c r="T150" s="215"/>
      <c r="U150" s="215"/>
    </row>
    <row r="151" spans="1:21" ht="28" x14ac:dyDescent="0.3">
      <c r="A151" s="276">
        <v>14</v>
      </c>
      <c r="B151" s="276" t="s">
        <v>713</v>
      </c>
      <c r="C151" s="277" t="s">
        <v>714</v>
      </c>
      <c r="D151" s="278" t="s">
        <v>733</v>
      </c>
      <c r="E151" s="215" t="s">
        <v>734</v>
      </c>
      <c r="F151" s="215" t="s">
        <v>469</v>
      </c>
      <c r="G151" s="242">
        <v>45788</v>
      </c>
      <c r="H151" s="242">
        <v>45824</v>
      </c>
      <c r="I151" s="243" t="s">
        <v>389</v>
      </c>
      <c r="J151" s="243">
        <v>45814</v>
      </c>
      <c r="K151" s="215"/>
      <c r="L151" s="242"/>
      <c r="M151" s="242"/>
      <c r="N151" s="215"/>
      <c r="O151" s="215"/>
      <c r="P151" s="215"/>
      <c r="Q151" s="215"/>
      <c r="R151" s="215"/>
      <c r="S151" s="215"/>
      <c r="T151" s="215"/>
      <c r="U151" s="215"/>
    </row>
    <row r="152" spans="1:21" ht="28" x14ac:dyDescent="0.3">
      <c r="A152" s="276">
        <v>15</v>
      </c>
      <c r="B152" s="276" t="s">
        <v>713</v>
      </c>
      <c r="C152" s="277" t="s">
        <v>714</v>
      </c>
      <c r="D152" s="278" t="s">
        <v>735</v>
      </c>
      <c r="E152" s="215" t="s">
        <v>736</v>
      </c>
      <c r="F152" s="215" t="s">
        <v>469</v>
      </c>
      <c r="G152" s="242">
        <f>[2]Sheet4!E44</f>
        <v>45826</v>
      </c>
      <c r="H152" s="234">
        <f t="shared" ref="H152:H174" si="2">G152</f>
        <v>45826</v>
      </c>
      <c r="I152" s="243" t="s">
        <v>389</v>
      </c>
      <c r="J152" s="243"/>
      <c r="K152" s="215"/>
      <c r="L152" s="242"/>
      <c r="M152" s="242"/>
      <c r="N152" s="215"/>
      <c r="O152" s="215"/>
      <c r="P152" s="215"/>
      <c r="Q152" s="215"/>
      <c r="R152" s="215"/>
      <c r="S152" s="215"/>
      <c r="T152" s="215"/>
      <c r="U152" s="215"/>
    </row>
    <row r="153" spans="1:21" ht="28" x14ac:dyDescent="0.3">
      <c r="A153" s="276">
        <v>16</v>
      </c>
      <c r="B153" s="276" t="s">
        <v>713</v>
      </c>
      <c r="C153" s="277" t="s">
        <v>714</v>
      </c>
      <c r="D153" s="278" t="s">
        <v>737</v>
      </c>
      <c r="E153" s="215" t="s">
        <v>738</v>
      </c>
      <c r="F153" s="215" t="s">
        <v>469</v>
      </c>
      <c r="G153" s="242">
        <f>[2]Sheet4!E45</f>
        <v>45826</v>
      </c>
      <c r="H153" s="234">
        <f t="shared" si="2"/>
        <v>45826</v>
      </c>
      <c r="I153" s="243" t="s">
        <v>389</v>
      </c>
      <c r="J153" s="243"/>
      <c r="K153" s="215"/>
      <c r="L153" s="242"/>
      <c r="M153" s="242"/>
      <c r="N153" s="215"/>
      <c r="O153" s="215"/>
      <c r="P153" s="215"/>
      <c r="Q153" s="215"/>
      <c r="R153" s="215"/>
      <c r="S153" s="215"/>
      <c r="T153" s="215"/>
      <c r="U153" s="215"/>
    </row>
    <row r="154" spans="1:21" ht="28" x14ac:dyDescent="0.3">
      <c r="A154" s="276">
        <v>17</v>
      </c>
      <c r="B154" s="276" t="s">
        <v>713</v>
      </c>
      <c r="C154" s="277" t="s">
        <v>714</v>
      </c>
      <c r="D154" s="278" t="s">
        <v>739</v>
      </c>
      <c r="E154" s="215" t="s">
        <v>740</v>
      </c>
      <c r="F154" s="215" t="s">
        <v>469</v>
      </c>
      <c r="G154" s="242">
        <f>[2]Sheet4!E46</f>
        <v>45826</v>
      </c>
      <c r="H154" s="234">
        <f t="shared" si="2"/>
        <v>45826</v>
      </c>
      <c r="I154" s="243" t="s">
        <v>389</v>
      </c>
      <c r="J154" s="243"/>
      <c r="K154" s="215"/>
      <c r="L154" s="242"/>
      <c r="M154" s="242"/>
      <c r="N154" s="215"/>
      <c r="O154" s="215"/>
      <c r="P154" s="215"/>
      <c r="Q154" s="215"/>
      <c r="R154" s="215"/>
      <c r="S154" s="215"/>
      <c r="T154" s="215"/>
      <c r="U154" s="215"/>
    </row>
    <row r="155" spans="1:21" ht="28" x14ac:dyDescent="0.3">
      <c r="A155" s="276">
        <v>18</v>
      </c>
      <c r="B155" s="276" t="s">
        <v>713</v>
      </c>
      <c r="C155" s="277" t="s">
        <v>714</v>
      </c>
      <c r="D155" s="278" t="s">
        <v>741</v>
      </c>
      <c r="E155" s="215" t="s">
        <v>742</v>
      </c>
      <c r="F155" s="215" t="s">
        <v>469</v>
      </c>
      <c r="G155" s="242">
        <f>[2]Sheet4!E47</f>
        <v>45833</v>
      </c>
      <c r="H155" s="234">
        <f t="shared" si="2"/>
        <v>45833</v>
      </c>
      <c r="I155" s="243" t="s">
        <v>389</v>
      </c>
      <c r="J155" s="243"/>
      <c r="K155" s="215"/>
      <c r="L155" s="242"/>
      <c r="M155" s="242"/>
      <c r="N155" s="215"/>
      <c r="O155" s="215"/>
      <c r="P155" s="215"/>
      <c r="Q155" s="215"/>
      <c r="R155" s="215"/>
      <c r="S155" s="215"/>
      <c r="T155" s="215"/>
      <c r="U155" s="215"/>
    </row>
    <row r="156" spans="1:21" ht="28" x14ac:dyDescent="0.3">
      <c r="A156" s="276">
        <v>19</v>
      </c>
      <c r="B156" s="276" t="s">
        <v>713</v>
      </c>
      <c r="C156" s="277" t="s">
        <v>714</v>
      </c>
      <c r="D156" s="278" t="s">
        <v>743</v>
      </c>
      <c r="E156" s="215" t="s">
        <v>744</v>
      </c>
      <c r="F156" s="215" t="s">
        <v>479</v>
      </c>
      <c r="G156" s="242">
        <f>[2]Sheet4!E48</f>
        <v>45847</v>
      </c>
      <c r="H156" s="234">
        <f t="shared" si="2"/>
        <v>45847</v>
      </c>
      <c r="I156" s="243" t="s">
        <v>389</v>
      </c>
      <c r="J156" s="243"/>
      <c r="K156" s="215"/>
      <c r="L156" s="242"/>
      <c r="M156" s="242"/>
      <c r="N156" s="215"/>
      <c r="O156" s="215"/>
      <c r="P156" s="215"/>
      <c r="Q156" s="215"/>
      <c r="R156" s="215"/>
      <c r="S156" s="215"/>
      <c r="T156" s="215"/>
      <c r="U156" s="215"/>
    </row>
    <row r="157" spans="1:21" ht="28" x14ac:dyDescent="0.3">
      <c r="A157" s="276">
        <v>20</v>
      </c>
      <c r="B157" s="276" t="s">
        <v>713</v>
      </c>
      <c r="C157" s="277" t="s">
        <v>714</v>
      </c>
      <c r="D157" s="278" t="s">
        <v>745</v>
      </c>
      <c r="E157" s="215" t="s">
        <v>746</v>
      </c>
      <c r="F157" s="215" t="s">
        <v>479</v>
      </c>
      <c r="G157" s="242">
        <f>[2]Sheet4!E49</f>
        <v>45870</v>
      </c>
      <c r="H157" s="234">
        <f t="shared" si="2"/>
        <v>45870</v>
      </c>
      <c r="I157" s="243" t="s">
        <v>389</v>
      </c>
      <c r="J157" s="243"/>
      <c r="K157" s="215"/>
      <c r="L157" s="242"/>
      <c r="M157" s="242"/>
      <c r="N157" s="215"/>
      <c r="O157" s="215"/>
      <c r="P157" s="215"/>
      <c r="Q157" s="215"/>
      <c r="R157" s="215"/>
      <c r="S157" s="215"/>
      <c r="T157" s="215"/>
      <c r="U157" s="215"/>
    </row>
    <row r="158" spans="1:21" ht="28" x14ac:dyDescent="0.3">
      <c r="A158" s="276">
        <v>21</v>
      </c>
      <c r="B158" s="276" t="s">
        <v>713</v>
      </c>
      <c r="C158" s="277" t="s">
        <v>714</v>
      </c>
      <c r="D158" s="278" t="s">
        <v>747</v>
      </c>
      <c r="E158" s="215" t="s">
        <v>748</v>
      </c>
      <c r="F158" s="215" t="s">
        <v>469</v>
      </c>
      <c r="G158" s="242">
        <f>[2]Sheet4!E50</f>
        <v>45870</v>
      </c>
      <c r="H158" s="234">
        <f t="shared" si="2"/>
        <v>45870</v>
      </c>
      <c r="I158" s="243" t="s">
        <v>389</v>
      </c>
      <c r="J158" s="243"/>
      <c r="K158" s="215"/>
      <c r="L158" s="242"/>
      <c r="M158" s="242"/>
      <c r="N158" s="215"/>
      <c r="O158" s="215"/>
      <c r="P158" s="215"/>
      <c r="Q158" s="215"/>
      <c r="R158" s="215"/>
      <c r="S158" s="215"/>
      <c r="T158" s="215"/>
      <c r="U158" s="215"/>
    </row>
    <row r="159" spans="1:21" ht="28" x14ac:dyDescent="0.3">
      <c r="A159" s="276">
        <v>22</v>
      </c>
      <c r="B159" s="276" t="s">
        <v>713</v>
      </c>
      <c r="C159" s="277" t="s">
        <v>714</v>
      </c>
      <c r="D159" s="278" t="s">
        <v>749</v>
      </c>
      <c r="E159" s="215" t="s">
        <v>750</v>
      </c>
      <c r="F159" s="215" t="s">
        <v>479</v>
      </c>
      <c r="G159" s="242">
        <f>[2]Sheet4!E51</f>
        <v>45845</v>
      </c>
      <c r="H159" s="234">
        <f t="shared" si="2"/>
        <v>45845</v>
      </c>
      <c r="I159" s="243" t="s">
        <v>389</v>
      </c>
      <c r="J159" s="243"/>
      <c r="K159" s="215"/>
      <c r="L159" s="242"/>
      <c r="M159" s="242"/>
      <c r="N159" s="215"/>
      <c r="O159" s="215"/>
      <c r="P159" s="215"/>
      <c r="Q159" s="215"/>
      <c r="R159" s="215"/>
      <c r="S159" s="215"/>
      <c r="T159" s="215"/>
      <c r="U159" s="215"/>
    </row>
    <row r="160" spans="1:21" ht="28" x14ac:dyDescent="0.3">
      <c r="A160" s="276">
        <v>23</v>
      </c>
      <c r="B160" s="276" t="s">
        <v>713</v>
      </c>
      <c r="C160" s="277" t="s">
        <v>714</v>
      </c>
      <c r="D160" s="278" t="s">
        <v>751</v>
      </c>
      <c r="E160" s="215" t="s">
        <v>752</v>
      </c>
      <c r="F160" s="215" t="s">
        <v>469</v>
      </c>
      <c r="G160" s="242">
        <f>[2]Sheet4!E52</f>
        <v>45845</v>
      </c>
      <c r="H160" s="234">
        <f t="shared" si="2"/>
        <v>45845</v>
      </c>
      <c r="I160" s="243" t="s">
        <v>389</v>
      </c>
      <c r="J160" s="243"/>
      <c r="K160" s="215"/>
      <c r="L160" s="242"/>
      <c r="M160" s="242"/>
      <c r="N160" s="215"/>
      <c r="O160" s="215"/>
      <c r="P160" s="215"/>
      <c r="Q160" s="215"/>
      <c r="R160" s="215"/>
      <c r="S160" s="215"/>
      <c r="T160" s="215"/>
      <c r="U160" s="215"/>
    </row>
    <row r="161" spans="1:21" ht="28" x14ac:dyDescent="0.3">
      <c r="A161" s="276">
        <v>24</v>
      </c>
      <c r="B161" s="276" t="s">
        <v>713</v>
      </c>
      <c r="C161" s="277" t="s">
        <v>714</v>
      </c>
      <c r="D161" s="278" t="s">
        <v>753</v>
      </c>
      <c r="E161" s="215" t="s">
        <v>754</v>
      </c>
      <c r="F161" s="215" t="s">
        <v>479</v>
      </c>
      <c r="G161" s="242">
        <f>[2]Sheet4!E53</f>
        <v>45865</v>
      </c>
      <c r="H161" s="234">
        <f t="shared" si="2"/>
        <v>45865</v>
      </c>
      <c r="I161" s="243" t="s">
        <v>389</v>
      </c>
      <c r="J161" s="243"/>
      <c r="K161" s="215"/>
      <c r="L161" s="242"/>
      <c r="M161" s="242"/>
      <c r="N161" s="215"/>
      <c r="O161" s="215"/>
      <c r="P161" s="215"/>
      <c r="Q161" s="215"/>
      <c r="R161" s="215"/>
      <c r="S161" s="215"/>
      <c r="T161" s="215"/>
      <c r="U161" s="215"/>
    </row>
    <row r="162" spans="1:21" ht="28" x14ac:dyDescent="0.3">
      <c r="A162" s="276">
        <v>25</v>
      </c>
      <c r="B162" s="276" t="s">
        <v>713</v>
      </c>
      <c r="C162" s="277" t="s">
        <v>714</v>
      </c>
      <c r="D162" s="278" t="s">
        <v>755</v>
      </c>
      <c r="E162" s="215" t="s">
        <v>756</v>
      </c>
      <c r="F162" s="215" t="s">
        <v>469</v>
      </c>
      <c r="G162" s="242">
        <f>[2]Sheet4!E54</f>
        <v>45843</v>
      </c>
      <c r="H162" s="234">
        <f t="shared" si="2"/>
        <v>45843</v>
      </c>
      <c r="I162" s="243" t="s">
        <v>389</v>
      </c>
      <c r="J162" s="243"/>
      <c r="K162" s="215"/>
      <c r="L162" s="242"/>
      <c r="M162" s="242"/>
      <c r="N162" s="215"/>
      <c r="O162" s="215"/>
      <c r="P162" s="215"/>
      <c r="Q162" s="215"/>
      <c r="R162" s="215"/>
      <c r="S162" s="215"/>
      <c r="T162" s="215"/>
      <c r="U162" s="215"/>
    </row>
    <row r="163" spans="1:21" ht="28" x14ac:dyDescent="0.3">
      <c r="A163" s="276">
        <v>26</v>
      </c>
      <c r="B163" s="276" t="s">
        <v>713</v>
      </c>
      <c r="C163" s="277" t="s">
        <v>714</v>
      </c>
      <c r="D163" s="278" t="s">
        <v>757</v>
      </c>
      <c r="E163" s="215" t="s">
        <v>758</v>
      </c>
      <c r="F163" s="215" t="s">
        <v>479</v>
      </c>
      <c r="G163" s="242">
        <f>[2]Sheet4!E55</f>
        <v>45840</v>
      </c>
      <c r="H163" s="234">
        <f t="shared" si="2"/>
        <v>45840</v>
      </c>
      <c r="I163" s="243" t="s">
        <v>389</v>
      </c>
      <c r="J163" s="243"/>
      <c r="K163" s="215"/>
      <c r="L163" s="242"/>
      <c r="M163" s="242"/>
      <c r="N163" s="215"/>
      <c r="O163" s="215"/>
      <c r="P163" s="215"/>
      <c r="Q163" s="215"/>
      <c r="R163" s="215"/>
      <c r="S163" s="215"/>
      <c r="T163" s="215"/>
      <c r="U163" s="215"/>
    </row>
    <row r="164" spans="1:21" ht="28" x14ac:dyDescent="0.3">
      <c r="A164" s="276">
        <v>27</v>
      </c>
      <c r="B164" s="276" t="s">
        <v>713</v>
      </c>
      <c r="C164" s="277" t="s">
        <v>714</v>
      </c>
      <c r="D164" s="278" t="s">
        <v>759</v>
      </c>
      <c r="E164" s="215" t="s">
        <v>760</v>
      </c>
      <c r="F164" s="215" t="s">
        <v>469</v>
      </c>
      <c r="G164" s="242">
        <f>[2]Sheet4!E56</f>
        <v>45822</v>
      </c>
      <c r="H164" s="234">
        <f t="shared" si="2"/>
        <v>45822</v>
      </c>
      <c r="I164" s="243" t="s">
        <v>389</v>
      </c>
      <c r="J164" s="243"/>
      <c r="K164" s="215"/>
      <c r="L164" s="242"/>
      <c r="M164" s="242"/>
      <c r="N164" s="215"/>
      <c r="O164" s="215"/>
      <c r="P164" s="215"/>
      <c r="Q164" s="215"/>
      <c r="R164" s="215"/>
      <c r="S164" s="215"/>
      <c r="T164" s="215"/>
      <c r="U164" s="215"/>
    </row>
    <row r="165" spans="1:21" ht="28" x14ac:dyDescent="0.3">
      <c r="A165" s="276">
        <v>28</v>
      </c>
      <c r="B165" s="276" t="s">
        <v>713</v>
      </c>
      <c r="C165" s="277" t="s">
        <v>714</v>
      </c>
      <c r="D165" s="278" t="s">
        <v>761</v>
      </c>
      <c r="E165" s="215" t="s">
        <v>762</v>
      </c>
      <c r="F165" s="215" t="s">
        <v>479</v>
      </c>
      <c r="G165" s="242">
        <f>[2]Sheet4!E57</f>
        <v>45840</v>
      </c>
      <c r="H165" s="234">
        <f t="shared" si="2"/>
        <v>45840</v>
      </c>
      <c r="I165" s="243" t="s">
        <v>389</v>
      </c>
      <c r="J165" s="243"/>
      <c r="K165" s="215"/>
      <c r="L165" s="242"/>
      <c r="M165" s="242"/>
      <c r="N165" s="215"/>
      <c r="O165" s="215"/>
      <c r="P165" s="215"/>
      <c r="Q165" s="215"/>
      <c r="R165" s="215"/>
      <c r="S165" s="215"/>
      <c r="T165" s="215"/>
      <c r="U165" s="215"/>
    </row>
    <row r="166" spans="1:21" ht="28" x14ac:dyDescent="0.3">
      <c r="A166" s="276">
        <v>29</v>
      </c>
      <c r="B166" s="276" t="s">
        <v>713</v>
      </c>
      <c r="C166" s="277" t="s">
        <v>714</v>
      </c>
      <c r="D166" s="278" t="s">
        <v>763</v>
      </c>
      <c r="E166" s="215" t="s">
        <v>764</v>
      </c>
      <c r="F166" s="215" t="s">
        <v>479</v>
      </c>
      <c r="G166" s="242">
        <f>[2]Sheet4!E58</f>
        <v>45847</v>
      </c>
      <c r="H166" s="234">
        <f t="shared" si="2"/>
        <v>45847</v>
      </c>
      <c r="I166" s="243" t="s">
        <v>389</v>
      </c>
      <c r="J166" s="243"/>
      <c r="K166" s="215"/>
      <c r="L166" s="242"/>
      <c r="M166" s="242"/>
      <c r="N166" s="215"/>
      <c r="O166" s="215"/>
      <c r="P166" s="215"/>
      <c r="Q166" s="215"/>
      <c r="R166" s="215"/>
      <c r="S166" s="215"/>
      <c r="T166" s="215"/>
      <c r="U166" s="215"/>
    </row>
    <row r="167" spans="1:21" ht="70" x14ac:dyDescent="0.3">
      <c r="A167" s="276">
        <v>30</v>
      </c>
      <c r="B167" s="276" t="s">
        <v>713</v>
      </c>
      <c r="C167" s="277" t="s">
        <v>714</v>
      </c>
      <c r="D167" s="278" t="s">
        <v>765</v>
      </c>
      <c r="E167" s="215" t="s">
        <v>766</v>
      </c>
      <c r="F167" s="215" t="s">
        <v>479</v>
      </c>
      <c r="G167" s="242">
        <v>45900</v>
      </c>
      <c r="H167" s="234">
        <f t="shared" si="2"/>
        <v>45900</v>
      </c>
      <c r="I167" s="243" t="s">
        <v>389</v>
      </c>
      <c r="J167" s="243"/>
      <c r="K167" s="215"/>
      <c r="L167" s="242"/>
      <c r="M167" s="242"/>
      <c r="N167" s="215"/>
      <c r="O167" s="215"/>
      <c r="P167" s="215"/>
      <c r="Q167" s="215"/>
      <c r="R167" s="215"/>
      <c r="S167" s="215"/>
      <c r="T167" s="215"/>
      <c r="U167" s="215"/>
    </row>
    <row r="168" spans="1:21" ht="28" x14ac:dyDescent="0.3">
      <c r="A168" s="276">
        <v>31</v>
      </c>
      <c r="B168" s="276" t="s">
        <v>713</v>
      </c>
      <c r="C168" s="277" t="s">
        <v>714</v>
      </c>
      <c r="D168" s="278" t="s">
        <v>767</v>
      </c>
      <c r="E168" s="215" t="s">
        <v>768</v>
      </c>
      <c r="F168" s="215" t="s">
        <v>469</v>
      </c>
      <c r="G168" s="242">
        <f>[2]Sheet4!E60</f>
        <v>45813</v>
      </c>
      <c r="H168" s="234">
        <f t="shared" si="2"/>
        <v>45813</v>
      </c>
      <c r="I168" s="243" t="s">
        <v>389</v>
      </c>
      <c r="J168" s="243"/>
      <c r="K168" s="215"/>
      <c r="L168" s="242"/>
      <c r="M168" s="242"/>
      <c r="N168" s="215"/>
      <c r="O168" s="215"/>
      <c r="P168" s="215"/>
      <c r="Q168" s="215"/>
      <c r="R168" s="215"/>
      <c r="S168" s="215"/>
      <c r="T168" s="215"/>
      <c r="U168" s="215"/>
    </row>
    <row r="169" spans="1:21" ht="28" x14ac:dyDescent="0.3">
      <c r="A169" s="276">
        <v>32</v>
      </c>
      <c r="B169" s="276" t="s">
        <v>713</v>
      </c>
      <c r="C169" s="277" t="s">
        <v>714</v>
      </c>
      <c r="D169" s="278" t="s">
        <v>769</v>
      </c>
      <c r="E169" s="215" t="s">
        <v>770</v>
      </c>
      <c r="F169" s="215" t="s">
        <v>469</v>
      </c>
      <c r="G169" s="242">
        <f>[2]Sheet4!E61</f>
        <v>45858</v>
      </c>
      <c r="H169" s="234">
        <f t="shared" si="2"/>
        <v>45858</v>
      </c>
      <c r="I169" s="243" t="s">
        <v>389</v>
      </c>
      <c r="J169" s="243"/>
      <c r="K169" s="215"/>
      <c r="L169" s="242"/>
      <c r="M169" s="242"/>
      <c r="N169" s="215"/>
      <c r="O169" s="215"/>
      <c r="P169" s="215"/>
      <c r="Q169" s="215"/>
      <c r="R169" s="215"/>
      <c r="S169" s="215"/>
      <c r="T169" s="215"/>
      <c r="U169" s="215"/>
    </row>
    <row r="170" spans="1:21" ht="28" x14ac:dyDescent="0.3">
      <c r="A170" s="276">
        <v>33</v>
      </c>
      <c r="B170" s="276" t="s">
        <v>713</v>
      </c>
      <c r="C170" s="277" t="s">
        <v>714</v>
      </c>
      <c r="D170" s="278" t="s">
        <v>771</v>
      </c>
      <c r="E170" s="215" t="s">
        <v>772</v>
      </c>
      <c r="F170" s="215" t="s">
        <v>469</v>
      </c>
      <c r="G170" s="242">
        <f>[2]Sheet4!E62</f>
        <v>45834</v>
      </c>
      <c r="H170" s="234">
        <f t="shared" si="2"/>
        <v>45834</v>
      </c>
      <c r="I170" s="243" t="s">
        <v>389</v>
      </c>
      <c r="J170" s="243"/>
      <c r="K170" s="215"/>
      <c r="L170" s="242"/>
      <c r="M170" s="242"/>
      <c r="N170" s="215"/>
      <c r="O170" s="215"/>
      <c r="P170" s="215"/>
      <c r="Q170" s="215"/>
      <c r="R170" s="215"/>
      <c r="S170" s="215"/>
      <c r="T170" s="215"/>
      <c r="U170" s="215"/>
    </row>
    <row r="171" spans="1:21" ht="28" x14ac:dyDescent="0.3">
      <c r="A171" s="276">
        <v>1</v>
      </c>
      <c r="B171" s="276" t="s">
        <v>713</v>
      </c>
      <c r="C171" s="277" t="s">
        <v>714</v>
      </c>
      <c r="D171" s="278" t="s">
        <v>773</v>
      </c>
      <c r="E171" s="215" t="s">
        <v>774</v>
      </c>
      <c r="F171" s="215" t="s">
        <v>469</v>
      </c>
      <c r="G171" s="242">
        <f>[2]Sheet4!E63</f>
        <v>45840</v>
      </c>
      <c r="H171" s="234">
        <f t="shared" si="2"/>
        <v>45840</v>
      </c>
      <c r="I171" s="243" t="s">
        <v>389</v>
      </c>
      <c r="J171" s="243"/>
      <c r="K171" s="215"/>
      <c r="L171" s="242"/>
      <c r="M171" s="242"/>
      <c r="N171" s="215"/>
      <c r="O171" s="215"/>
      <c r="P171" s="215"/>
      <c r="Q171" s="215"/>
      <c r="R171" s="215"/>
      <c r="S171" s="215"/>
      <c r="T171" s="215"/>
      <c r="U171" s="215"/>
    </row>
    <row r="172" spans="1:21" ht="28" x14ac:dyDescent="0.3">
      <c r="A172" s="276">
        <f t="shared" ref="A172:A200" si="3">A171+1</f>
        <v>2</v>
      </c>
      <c r="B172" s="276" t="s">
        <v>713</v>
      </c>
      <c r="C172" s="277" t="s">
        <v>714</v>
      </c>
      <c r="D172" s="278" t="s">
        <v>775</v>
      </c>
      <c r="E172" s="215" t="s">
        <v>776</v>
      </c>
      <c r="F172" s="215" t="s">
        <v>469</v>
      </c>
      <c r="G172" s="242">
        <f>[2]Sheet4!E64</f>
        <v>45962</v>
      </c>
      <c r="H172" s="234">
        <f t="shared" si="2"/>
        <v>45962</v>
      </c>
      <c r="I172" s="243" t="s">
        <v>389</v>
      </c>
      <c r="J172" s="243"/>
      <c r="K172" s="215"/>
      <c r="L172" s="242"/>
      <c r="M172" s="242"/>
      <c r="N172" s="215"/>
      <c r="O172" s="215"/>
      <c r="P172" s="215"/>
      <c r="Q172" s="215"/>
      <c r="R172" s="215"/>
      <c r="S172" s="215"/>
      <c r="T172" s="215"/>
      <c r="U172" s="215"/>
    </row>
    <row r="173" spans="1:21" ht="28" x14ac:dyDescent="0.3">
      <c r="A173" s="276">
        <f t="shared" si="3"/>
        <v>3</v>
      </c>
      <c r="B173" s="276" t="s">
        <v>713</v>
      </c>
      <c r="C173" s="277" t="s">
        <v>714</v>
      </c>
      <c r="D173" s="278" t="s">
        <v>777</v>
      </c>
      <c r="E173" s="215" t="s">
        <v>778</v>
      </c>
      <c r="F173" s="215" t="s">
        <v>469</v>
      </c>
      <c r="G173" s="242">
        <f>[2]Sheet4!E65</f>
        <v>45826</v>
      </c>
      <c r="H173" s="234">
        <f t="shared" si="2"/>
        <v>45826</v>
      </c>
      <c r="I173" s="243" t="s">
        <v>389</v>
      </c>
      <c r="J173" s="243"/>
      <c r="K173" s="215"/>
      <c r="L173" s="242"/>
      <c r="M173" s="242"/>
      <c r="N173" s="215"/>
      <c r="O173" s="215"/>
      <c r="P173" s="215"/>
      <c r="Q173" s="215"/>
      <c r="R173" s="215"/>
      <c r="S173" s="215"/>
      <c r="T173" s="215"/>
      <c r="U173" s="215"/>
    </row>
    <row r="174" spans="1:21" ht="28" x14ac:dyDescent="0.3">
      <c r="A174" s="276">
        <f t="shared" si="3"/>
        <v>4</v>
      </c>
      <c r="B174" s="276" t="s">
        <v>713</v>
      </c>
      <c r="C174" s="277" t="s">
        <v>714</v>
      </c>
      <c r="D174" s="278" t="s">
        <v>779</v>
      </c>
      <c r="E174" s="215" t="s">
        <v>780</v>
      </c>
      <c r="F174" s="215" t="s">
        <v>469</v>
      </c>
      <c r="G174" s="242">
        <v>45868</v>
      </c>
      <c r="H174" s="234">
        <f t="shared" si="2"/>
        <v>45868</v>
      </c>
      <c r="I174" s="243" t="s">
        <v>389</v>
      </c>
      <c r="J174" s="243"/>
      <c r="K174" s="215"/>
      <c r="L174" s="242"/>
      <c r="M174" s="242"/>
      <c r="N174" s="215"/>
      <c r="O174" s="215"/>
      <c r="P174" s="215"/>
      <c r="Q174" s="215"/>
      <c r="R174" s="215"/>
      <c r="S174" s="215"/>
      <c r="T174" s="215"/>
      <c r="U174" s="215"/>
    </row>
    <row r="175" spans="1:21" ht="28" x14ac:dyDescent="0.3">
      <c r="A175" s="276">
        <f t="shared" si="3"/>
        <v>5</v>
      </c>
      <c r="B175" s="276" t="s">
        <v>713</v>
      </c>
      <c r="C175" s="277" t="s">
        <v>714</v>
      </c>
      <c r="D175" s="278" t="s">
        <v>781</v>
      </c>
      <c r="E175" s="215" t="s">
        <v>782</v>
      </c>
      <c r="F175" s="215" t="s">
        <v>469</v>
      </c>
      <c r="G175" s="242">
        <v>45797</v>
      </c>
      <c r="H175" s="242">
        <f>L175</f>
        <v>45790</v>
      </c>
      <c r="I175" s="243" t="s">
        <v>389</v>
      </c>
      <c r="J175" s="243"/>
      <c r="K175" s="215" t="s">
        <v>470</v>
      </c>
      <c r="L175" s="242">
        <v>45790</v>
      </c>
      <c r="M175" s="242">
        <v>45812</v>
      </c>
      <c r="N175" s="215" t="s">
        <v>471</v>
      </c>
      <c r="O175" s="215">
        <f>M175-L175</f>
        <v>22</v>
      </c>
      <c r="P175" s="215">
        <f ca="1">O1-M175</f>
        <v>33</v>
      </c>
      <c r="Q175" s="215"/>
      <c r="R175" s="215" t="s">
        <v>495</v>
      </c>
      <c r="S175" s="215" t="str">
        <f>N175</f>
        <v>CAT - III</v>
      </c>
      <c r="T175" s="215" t="s">
        <v>473</v>
      </c>
      <c r="U175" s="215">
        <f ca="1">U1-L175</f>
        <v>55</v>
      </c>
    </row>
    <row r="176" spans="1:21" x14ac:dyDescent="0.3">
      <c r="A176" s="276">
        <f t="shared" si="3"/>
        <v>6</v>
      </c>
      <c r="B176" s="276" t="s">
        <v>713</v>
      </c>
      <c r="C176" s="277" t="s">
        <v>783</v>
      </c>
      <c r="D176" s="278" t="s">
        <v>784</v>
      </c>
      <c r="E176" s="215" t="s">
        <v>785</v>
      </c>
      <c r="F176" s="215" t="s">
        <v>469</v>
      </c>
      <c r="G176" s="242">
        <f>[2]Sheet4!E68</f>
        <v>45814</v>
      </c>
      <c r="H176" s="242">
        <f>L176</f>
        <v>45804</v>
      </c>
      <c r="I176" s="243" t="s">
        <v>389</v>
      </c>
      <c r="J176" s="243"/>
      <c r="K176" s="215" t="s">
        <v>470</v>
      </c>
      <c r="L176" s="242">
        <v>45804</v>
      </c>
      <c r="M176" s="242"/>
      <c r="N176" s="215"/>
      <c r="O176" s="215">
        <f ca="1">O1-L176</f>
        <v>41</v>
      </c>
      <c r="P176" s="215"/>
      <c r="Q176" s="215"/>
      <c r="R176" s="215" t="s">
        <v>495</v>
      </c>
      <c r="S176" s="215"/>
      <c r="T176" s="215" t="s">
        <v>473</v>
      </c>
      <c r="U176" s="215">
        <f ca="1">U1-L176</f>
        <v>41</v>
      </c>
    </row>
    <row r="177" spans="1:21" x14ac:dyDescent="0.3">
      <c r="A177" s="276">
        <f t="shared" si="3"/>
        <v>7</v>
      </c>
      <c r="B177" s="276" t="s">
        <v>713</v>
      </c>
      <c r="C177" s="277" t="s">
        <v>783</v>
      </c>
      <c r="D177" s="278" t="s">
        <v>786</v>
      </c>
      <c r="E177" s="215" t="s">
        <v>787</v>
      </c>
      <c r="F177" s="215" t="s">
        <v>479</v>
      </c>
      <c r="G177" s="242">
        <f>[2]Sheet4!E69</f>
        <v>45834</v>
      </c>
      <c r="H177" s="242">
        <f>H144</f>
        <v>45834</v>
      </c>
      <c r="I177" s="243" t="s">
        <v>389</v>
      </c>
      <c r="J177" s="243"/>
      <c r="K177" s="215"/>
      <c r="L177" s="242"/>
      <c r="M177" s="242"/>
      <c r="N177" s="215"/>
      <c r="O177" s="215"/>
      <c r="P177" s="215"/>
      <c r="Q177" s="215"/>
      <c r="R177" s="215"/>
      <c r="S177" s="215"/>
      <c r="T177" s="215"/>
      <c r="U177" s="215"/>
    </row>
    <row r="178" spans="1:21" x14ac:dyDescent="0.3">
      <c r="A178" s="276">
        <f t="shared" si="3"/>
        <v>8</v>
      </c>
      <c r="B178" s="276" t="s">
        <v>713</v>
      </c>
      <c r="C178" s="277" t="s">
        <v>783</v>
      </c>
      <c r="D178" s="278" t="s">
        <v>788</v>
      </c>
      <c r="E178" s="215" t="s">
        <v>789</v>
      </c>
      <c r="F178" s="215" t="s">
        <v>469</v>
      </c>
      <c r="G178" s="242">
        <f>[2]Sheet4!E70</f>
        <v>45814</v>
      </c>
      <c r="H178" s="242">
        <f>H145</f>
        <v>45817</v>
      </c>
      <c r="I178" s="243" t="s">
        <v>389</v>
      </c>
      <c r="J178" s="243"/>
      <c r="K178" s="215" t="s">
        <v>470</v>
      </c>
      <c r="L178" s="242">
        <v>45817</v>
      </c>
      <c r="M178" s="242"/>
      <c r="N178" s="215"/>
      <c r="O178" s="215"/>
      <c r="P178" s="215"/>
      <c r="Q178" s="215"/>
      <c r="R178" s="215" t="s">
        <v>495</v>
      </c>
      <c r="S178" s="215"/>
      <c r="T178" s="215" t="s">
        <v>473</v>
      </c>
      <c r="U178" s="215"/>
    </row>
    <row r="179" spans="1:21" x14ac:dyDescent="0.3">
      <c r="A179" s="276">
        <f t="shared" si="3"/>
        <v>9</v>
      </c>
      <c r="B179" s="276" t="s">
        <v>713</v>
      </c>
      <c r="C179" s="277" t="s">
        <v>783</v>
      </c>
      <c r="D179" s="278" t="s">
        <v>790</v>
      </c>
      <c r="E179" s="215" t="s">
        <v>791</v>
      </c>
      <c r="F179" s="215" t="s">
        <v>469</v>
      </c>
      <c r="G179" s="242">
        <f>[2]Sheet4!E71</f>
        <v>45814</v>
      </c>
      <c r="H179" s="242">
        <f>H146</f>
        <v>45817</v>
      </c>
      <c r="I179" s="243" t="s">
        <v>389</v>
      </c>
      <c r="J179" s="243"/>
      <c r="K179" s="215" t="s">
        <v>470</v>
      </c>
      <c r="L179" s="242">
        <v>45817</v>
      </c>
      <c r="M179" s="242"/>
      <c r="N179" s="215"/>
      <c r="O179" s="215"/>
      <c r="P179" s="215"/>
      <c r="Q179" s="215"/>
      <c r="R179" s="215" t="s">
        <v>495</v>
      </c>
      <c r="S179" s="215"/>
      <c r="T179" s="215" t="s">
        <v>473</v>
      </c>
      <c r="U179" s="215"/>
    </row>
    <row r="180" spans="1:21" x14ac:dyDescent="0.3">
      <c r="A180" s="276">
        <f t="shared" si="3"/>
        <v>10</v>
      </c>
      <c r="B180" s="276" t="s">
        <v>713</v>
      </c>
      <c r="C180" s="277" t="s">
        <v>783</v>
      </c>
      <c r="D180" s="278" t="s">
        <v>792</v>
      </c>
      <c r="E180" s="215" t="s">
        <v>793</v>
      </c>
      <c r="F180" s="215" t="s">
        <v>469</v>
      </c>
      <c r="G180" s="242">
        <f>[2]Sheet4!E72</f>
        <v>45826</v>
      </c>
      <c r="H180" s="234">
        <f t="shared" ref="H180:H195" si="4">G180</f>
        <v>45826</v>
      </c>
      <c r="I180" s="243" t="s">
        <v>389</v>
      </c>
      <c r="J180" s="243"/>
      <c r="K180" s="215"/>
      <c r="L180" s="242"/>
      <c r="M180" s="242"/>
      <c r="N180" s="215"/>
      <c r="O180" s="215"/>
      <c r="P180" s="215"/>
      <c r="Q180" s="215"/>
      <c r="R180" s="215"/>
      <c r="S180" s="215"/>
      <c r="T180" s="215"/>
      <c r="U180" s="215"/>
    </row>
    <row r="181" spans="1:21" x14ac:dyDescent="0.3">
      <c r="A181" s="276">
        <f t="shared" si="3"/>
        <v>11</v>
      </c>
      <c r="B181" s="276" t="s">
        <v>713</v>
      </c>
      <c r="C181" s="277" t="s">
        <v>783</v>
      </c>
      <c r="D181" s="278" t="s">
        <v>794</v>
      </c>
      <c r="E181" s="215" t="s">
        <v>795</v>
      </c>
      <c r="F181" s="215" t="s">
        <v>479</v>
      </c>
      <c r="G181" s="242">
        <f>[2]Sheet4!E73</f>
        <v>45834</v>
      </c>
      <c r="H181" s="234">
        <f t="shared" si="4"/>
        <v>45834</v>
      </c>
      <c r="I181" s="243" t="s">
        <v>389</v>
      </c>
      <c r="J181" s="243"/>
      <c r="K181" s="215"/>
      <c r="L181" s="242"/>
      <c r="M181" s="242"/>
      <c r="N181" s="215"/>
      <c r="O181" s="215"/>
      <c r="P181" s="215"/>
      <c r="Q181" s="215"/>
      <c r="R181" s="215"/>
      <c r="S181" s="215"/>
      <c r="T181" s="215"/>
      <c r="U181" s="215"/>
    </row>
    <row r="182" spans="1:21" x14ac:dyDescent="0.3">
      <c r="A182" s="276">
        <f t="shared" si="3"/>
        <v>12</v>
      </c>
      <c r="B182" s="276" t="s">
        <v>713</v>
      </c>
      <c r="C182" s="277" t="s">
        <v>783</v>
      </c>
      <c r="D182" s="278" t="s">
        <v>796</v>
      </c>
      <c r="E182" s="215" t="s">
        <v>797</v>
      </c>
      <c r="F182" s="215" t="s">
        <v>479</v>
      </c>
      <c r="G182" s="242">
        <f>[2]Sheet4!E74</f>
        <v>45848</v>
      </c>
      <c r="H182" s="234">
        <f t="shared" si="4"/>
        <v>45848</v>
      </c>
      <c r="I182" s="243" t="s">
        <v>389</v>
      </c>
      <c r="J182" s="243"/>
      <c r="K182" s="215"/>
      <c r="L182" s="242"/>
      <c r="M182" s="242"/>
      <c r="N182" s="215"/>
      <c r="O182" s="215"/>
      <c r="P182" s="215"/>
      <c r="Q182" s="215"/>
      <c r="R182" s="215"/>
      <c r="S182" s="215"/>
      <c r="T182" s="215"/>
      <c r="U182" s="215"/>
    </row>
    <row r="183" spans="1:21" x14ac:dyDescent="0.3">
      <c r="A183" s="276">
        <f t="shared" si="3"/>
        <v>13</v>
      </c>
      <c r="B183" s="276" t="s">
        <v>713</v>
      </c>
      <c r="C183" s="277" t="s">
        <v>783</v>
      </c>
      <c r="D183" s="278" t="s">
        <v>798</v>
      </c>
      <c r="E183" s="215" t="s">
        <v>799</v>
      </c>
      <c r="F183" s="215" t="s">
        <v>469</v>
      </c>
      <c r="G183" s="242">
        <f>[2]Sheet4!E75</f>
        <v>45824</v>
      </c>
      <c r="H183" s="234">
        <f t="shared" si="4"/>
        <v>45824</v>
      </c>
      <c r="I183" s="243" t="s">
        <v>389</v>
      </c>
      <c r="J183" s="243"/>
      <c r="K183" s="215"/>
      <c r="L183" s="242"/>
      <c r="M183" s="242"/>
      <c r="N183" s="215"/>
      <c r="O183" s="215"/>
      <c r="P183" s="215"/>
      <c r="Q183" s="215"/>
      <c r="R183" s="215"/>
      <c r="S183" s="215"/>
      <c r="T183" s="215"/>
      <c r="U183" s="215"/>
    </row>
    <row r="184" spans="1:21" x14ac:dyDescent="0.3">
      <c r="A184" s="276">
        <f t="shared" si="3"/>
        <v>14</v>
      </c>
      <c r="B184" s="276" t="s">
        <v>713</v>
      </c>
      <c r="C184" s="277" t="s">
        <v>783</v>
      </c>
      <c r="D184" s="278" t="s">
        <v>800</v>
      </c>
      <c r="E184" s="215" t="s">
        <v>801</v>
      </c>
      <c r="F184" s="215" t="s">
        <v>469</v>
      </c>
      <c r="G184" s="242">
        <f>[2]Sheet4!E76</f>
        <v>45826</v>
      </c>
      <c r="H184" s="234">
        <f t="shared" si="4"/>
        <v>45826</v>
      </c>
      <c r="I184" s="243" t="s">
        <v>389</v>
      </c>
      <c r="J184" s="243"/>
      <c r="K184" s="215"/>
      <c r="L184" s="242"/>
      <c r="M184" s="242"/>
      <c r="N184" s="215"/>
      <c r="O184" s="215"/>
      <c r="P184" s="215"/>
      <c r="Q184" s="215"/>
      <c r="R184" s="215"/>
      <c r="S184" s="215"/>
      <c r="T184" s="215"/>
      <c r="U184" s="215"/>
    </row>
    <row r="185" spans="1:21" x14ac:dyDescent="0.3">
      <c r="A185" s="276">
        <f t="shared" si="3"/>
        <v>15</v>
      </c>
      <c r="B185" s="276" t="s">
        <v>713</v>
      </c>
      <c r="C185" s="277" t="s">
        <v>783</v>
      </c>
      <c r="D185" s="278" t="s">
        <v>802</v>
      </c>
      <c r="E185" s="215" t="s">
        <v>803</v>
      </c>
      <c r="F185" s="215" t="s">
        <v>469</v>
      </c>
      <c r="G185" s="242">
        <f>[2]Sheet4!E77</f>
        <v>45826</v>
      </c>
      <c r="H185" s="234">
        <f t="shared" si="4"/>
        <v>45826</v>
      </c>
      <c r="I185" s="243" t="s">
        <v>389</v>
      </c>
      <c r="J185" s="243"/>
      <c r="K185" s="215"/>
      <c r="L185" s="242"/>
      <c r="M185" s="242"/>
      <c r="N185" s="215"/>
      <c r="O185" s="215"/>
      <c r="P185" s="215"/>
      <c r="Q185" s="215"/>
      <c r="R185" s="215"/>
      <c r="S185" s="215"/>
      <c r="T185" s="215"/>
      <c r="U185" s="215"/>
    </row>
    <row r="186" spans="1:21" x14ac:dyDescent="0.3">
      <c r="A186" s="276">
        <f t="shared" si="3"/>
        <v>16</v>
      </c>
      <c r="B186" s="276" t="s">
        <v>713</v>
      </c>
      <c r="C186" s="277" t="s">
        <v>783</v>
      </c>
      <c r="D186" s="278" t="s">
        <v>804</v>
      </c>
      <c r="E186" s="215" t="s">
        <v>805</v>
      </c>
      <c r="F186" s="215" t="s">
        <v>469</v>
      </c>
      <c r="G186" s="242">
        <f>[2]Sheet4!E78</f>
        <v>45826</v>
      </c>
      <c r="H186" s="234">
        <f t="shared" si="4"/>
        <v>45826</v>
      </c>
      <c r="I186" s="243" t="s">
        <v>389</v>
      </c>
      <c r="J186" s="243"/>
      <c r="K186" s="215"/>
      <c r="L186" s="242"/>
      <c r="M186" s="242"/>
      <c r="N186" s="215"/>
      <c r="O186" s="215"/>
      <c r="P186" s="215"/>
      <c r="Q186" s="215"/>
      <c r="R186" s="215"/>
      <c r="S186" s="215"/>
      <c r="T186" s="215"/>
      <c r="U186" s="215"/>
    </row>
    <row r="187" spans="1:21" x14ac:dyDescent="0.3">
      <c r="A187" s="276">
        <f t="shared" si="3"/>
        <v>17</v>
      </c>
      <c r="B187" s="276" t="s">
        <v>713</v>
      </c>
      <c r="C187" s="277" t="s">
        <v>783</v>
      </c>
      <c r="D187" s="278" t="s">
        <v>806</v>
      </c>
      <c r="E187" s="215" t="s">
        <v>807</v>
      </c>
      <c r="F187" s="215" t="s">
        <v>469</v>
      </c>
      <c r="G187" s="242">
        <f>[2]Sheet4!E79</f>
        <v>45833</v>
      </c>
      <c r="H187" s="234">
        <f t="shared" si="4"/>
        <v>45833</v>
      </c>
      <c r="I187" s="243" t="s">
        <v>389</v>
      </c>
      <c r="J187" s="243"/>
      <c r="K187" s="215"/>
      <c r="L187" s="242"/>
      <c r="M187" s="242"/>
      <c r="N187" s="215"/>
      <c r="O187" s="215"/>
      <c r="P187" s="215"/>
      <c r="Q187" s="215"/>
      <c r="R187" s="215"/>
      <c r="S187" s="215"/>
      <c r="T187" s="215"/>
      <c r="U187" s="215"/>
    </row>
    <row r="188" spans="1:21" x14ac:dyDescent="0.3">
      <c r="A188" s="276">
        <f t="shared" si="3"/>
        <v>18</v>
      </c>
      <c r="B188" s="276" t="s">
        <v>713</v>
      </c>
      <c r="C188" s="277" t="s">
        <v>783</v>
      </c>
      <c r="D188" s="278" t="s">
        <v>808</v>
      </c>
      <c r="E188" s="215" t="s">
        <v>809</v>
      </c>
      <c r="F188" s="215" t="s">
        <v>479</v>
      </c>
      <c r="G188" s="242">
        <f>[2]Sheet4!E80</f>
        <v>45870</v>
      </c>
      <c r="H188" s="234">
        <f t="shared" si="4"/>
        <v>45870</v>
      </c>
      <c r="I188" s="243" t="s">
        <v>389</v>
      </c>
      <c r="J188" s="243"/>
      <c r="K188" s="215"/>
      <c r="L188" s="242"/>
      <c r="M188" s="242"/>
      <c r="N188" s="215"/>
      <c r="O188" s="215"/>
      <c r="P188" s="215"/>
      <c r="Q188" s="215"/>
      <c r="R188" s="215"/>
      <c r="S188" s="215"/>
      <c r="T188" s="215"/>
      <c r="U188" s="215"/>
    </row>
    <row r="189" spans="1:21" x14ac:dyDescent="0.3">
      <c r="A189" s="276">
        <f t="shared" si="3"/>
        <v>19</v>
      </c>
      <c r="B189" s="276" t="s">
        <v>713</v>
      </c>
      <c r="C189" s="277" t="s">
        <v>783</v>
      </c>
      <c r="D189" s="278" t="s">
        <v>810</v>
      </c>
      <c r="E189" s="215" t="s">
        <v>811</v>
      </c>
      <c r="F189" s="215" t="s">
        <v>479</v>
      </c>
      <c r="G189" s="242">
        <f>[2]Sheet4!E81</f>
        <v>45845</v>
      </c>
      <c r="H189" s="234">
        <f t="shared" si="4"/>
        <v>45845</v>
      </c>
      <c r="I189" s="243" t="s">
        <v>389</v>
      </c>
      <c r="J189" s="243"/>
      <c r="K189" s="215"/>
      <c r="L189" s="242"/>
      <c r="M189" s="242"/>
      <c r="N189" s="215"/>
      <c r="O189" s="215"/>
      <c r="P189" s="215"/>
      <c r="Q189" s="215"/>
      <c r="R189" s="215"/>
      <c r="S189" s="215"/>
      <c r="T189" s="215"/>
      <c r="U189" s="215"/>
    </row>
    <row r="190" spans="1:21" x14ac:dyDescent="0.3">
      <c r="A190" s="276">
        <f t="shared" si="3"/>
        <v>20</v>
      </c>
      <c r="B190" s="276" t="s">
        <v>713</v>
      </c>
      <c r="C190" s="277" t="s">
        <v>783</v>
      </c>
      <c r="D190" s="278" t="s">
        <v>812</v>
      </c>
      <c r="E190" s="215" t="s">
        <v>813</v>
      </c>
      <c r="F190" s="215" t="s">
        <v>479</v>
      </c>
      <c r="G190" s="242">
        <f>[2]Sheet4!E82</f>
        <v>45845</v>
      </c>
      <c r="H190" s="234">
        <f t="shared" si="4"/>
        <v>45845</v>
      </c>
      <c r="I190" s="243" t="s">
        <v>389</v>
      </c>
      <c r="J190" s="243"/>
      <c r="K190" s="215"/>
      <c r="L190" s="242"/>
      <c r="M190" s="242"/>
      <c r="N190" s="215"/>
      <c r="O190" s="215"/>
      <c r="P190" s="215"/>
      <c r="Q190" s="215"/>
      <c r="R190" s="215"/>
      <c r="S190" s="215"/>
      <c r="T190" s="215"/>
      <c r="U190" s="215"/>
    </row>
    <row r="191" spans="1:21" s="287" customFormat="1" ht="28" x14ac:dyDescent="0.3">
      <c r="A191" s="276">
        <f t="shared" si="3"/>
        <v>21</v>
      </c>
      <c r="B191" s="276" t="s">
        <v>713</v>
      </c>
      <c r="C191" s="277" t="s">
        <v>783</v>
      </c>
      <c r="D191" s="278" t="s">
        <v>814</v>
      </c>
      <c r="E191" s="215" t="s">
        <v>815</v>
      </c>
      <c r="F191" s="215" t="s">
        <v>479</v>
      </c>
      <c r="G191" s="242">
        <f>[2]Sheet4!E83</f>
        <v>45865</v>
      </c>
      <c r="H191" s="234">
        <f t="shared" si="4"/>
        <v>45865</v>
      </c>
      <c r="I191" s="243" t="s">
        <v>389</v>
      </c>
      <c r="J191" s="243"/>
      <c r="K191" s="286"/>
      <c r="L191" s="242"/>
      <c r="M191" s="242"/>
      <c r="N191" s="286"/>
      <c r="O191" s="215"/>
      <c r="P191" s="215"/>
      <c r="Q191" s="286"/>
      <c r="R191" s="286"/>
      <c r="S191" s="286"/>
      <c r="T191" s="286"/>
      <c r="U191" s="286"/>
    </row>
    <row r="192" spans="1:21" x14ac:dyDescent="0.3">
      <c r="A192" s="276">
        <f t="shared" si="3"/>
        <v>22</v>
      </c>
      <c r="B192" s="276" t="s">
        <v>713</v>
      </c>
      <c r="C192" s="277" t="s">
        <v>783</v>
      </c>
      <c r="D192" s="278" t="s">
        <v>816</v>
      </c>
      <c r="E192" s="215" t="s">
        <v>817</v>
      </c>
      <c r="F192" s="215" t="s">
        <v>469</v>
      </c>
      <c r="G192" s="242">
        <f>[2]Sheet4!E84</f>
        <v>45843</v>
      </c>
      <c r="H192" s="234">
        <f t="shared" si="4"/>
        <v>45843</v>
      </c>
      <c r="I192" s="243" t="s">
        <v>389</v>
      </c>
      <c r="J192" s="243"/>
      <c r="K192" s="215"/>
      <c r="L192" s="242"/>
      <c r="M192" s="242"/>
      <c r="N192" s="215"/>
      <c r="O192" s="215"/>
      <c r="P192" s="215"/>
      <c r="Q192" s="215"/>
      <c r="R192" s="215"/>
      <c r="S192" s="215"/>
      <c r="T192" s="215"/>
      <c r="U192" s="215"/>
    </row>
    <row r="193" spans="1:21" x14ac:dyDescent="0.3">
      <c r="A193" s="276">
        <f t="shared" si="3"/>
        <v>23</v>
      </c>
      <c r="B193" s="276" t="s">
        <v>713</v>
      </c>
      <c r="C193" s="277" t="s">
        <v>783</v>
      </c>
      <c r="D193" s="278" t="s">
        <v>818</v>
      </c>
      <c r="E193" s="215" t="s">
        <v>819</v>
      </c>
      <c r="F193" s="215" t="s">
        <v>469</v>
      </c>
      <c r="G193" s="242">
        <f>[2]Sheet4!E85</f>
        <v>45822</v>
      </c>
      <c r="H193" s="234">
        <f t="shared" si="4"/>
        <v>45822</v>
      </c>
      <c r="I193" s="243" t="s">
        <v>389</v>
      </c>
      <c r="J193" s="243"/>
      <c r="K193" s="215"/>
      <c r="L193" s="242"/>
      <c r="M193" s="242"/>
      <c r="N193" s="215"/>
      <c r="O193" s="215"/>
      <c r="P193" s="215"/>
      <c r="Q193" s="215"/>
      <c r="R193" s="215"/>
      <c r="S193" s="215"/>
      <c r="T193" s="215"/>
      <c r="U193" s="215"/>
    </row>
    <row r="194" spans="1:21" x14ac:dyDescent="0.3">
      <c r="A194" s="276">
        <f t="shared" si="3"/>
        <v>24</v>
      </c>
      <c r="B194" s="276" t="s">
        <v>713</v>
      </c>
      <c r="C194" s="277" t="s">
        <v>783</v>
      </c>
      <c r="D194" s="278" t="s">
        <v>820</v>
      </c>
      <c r="E194" s="215" t="s">
        <v>821</v>
      </c>
      <c r="F194" s="214" t="s">
        <v>479</v>
      </c>
      <c r="G194" s="242">
        <f>[2]Sheet4!E86</f>
        <v>45840</v>
      </c>
      <c r="H194" s="234">
        <f t="shared" si="4"/>
        <v>45840</v>
      </c>
      <c r="I194" s="243" t="s">
        <v>389</v>
      </c>
      <c r="J194" s="243"/>
      <c r="K194" s="215"/>
      <c r="L194" s="242"/>
      <c r="M194" s="242"/>
      <c r="N194" s="215"/>
      <c r="O194" s="215"/>
      <c r="P194" s="215"/>
      <c r="Q194" s="215"/>
      <c r="R194" s="215"/>
      <c r="S194" s="215"/>
      <c r="T194" s="215"/>
      <c r="U194" s="215"/>
    </row>
    <row r="195" spans="1:21" x14ac:dyDescent="0.3">
      <c r="A195" s="276">
        <f t="shared" si="3"/>
        <v>25</v>
      </c>
      <c r="B195" s="276" t="s">
        <v>713</v>
      </c>
      <c r="C195" s="277" t="s">
        <v>783</v>
      </c>
      <c r="D195" s="278" t="s">
        <v>822</v>
      </c>
      <c r="E195" s="215" t="s">
        <v>823</v>
      </c>
      <c r="F195" s="215" t="s">
        <v>469</v>
      </c>
      <c r="G195" s="242">
        <f>[2]Sheet4!E87</f>
        <v>45870</v>
      </c>
      <c r="H195" s="234">
        <f t="shared" si="4"/>
        <v>45870</v>
      </c>
      <c r="I195" s="243" t="s">
        <v>389</v>
      </c>
      <c r="J195" s="243"/>
      <c r="K195" s="215"/>
      <c r="L195" s="242"/>
      <c r="M195" s="242"/>
      <c r="N195" s="215"/>
      <c r="O195" s="215"/>
      <c r="P195" s="215"/>
      <c r="Q195" s="215"/>
      <c r="R195" s="215"/>
      <c r="S195" s="215"/>
      <c r="T195" s="215"/>
      <c r="U195" s="215"/>
    </row>
    <row r="196" spans="1:21" x14ac:dyDescent="0.3">
      <c r="A196" s="452">
        <f t="shared" si="3"/>
        <v>26</v>
      </c>
      <c r="B196" s="276" t="s">
        <v>713</v>
      </c>
      <c r="C196" s="277" t="s">
        <v>783</v>
      </c>
      <c r="D196" s="278" t="s">
        <v>824</v>
      </c>
      <c r="E196" s="215" t="s">
        <v>825</v>
      </c>
      <c r="F196" s="215" t="s">
        <v>469</v>
      </c>
      <c r="G196" s="242">
        <f>[2]Sheet4!E88</f>
        <v>45813</v>
      </c>
      <c r="H196" s="234">
        <v>45823</v>
      </c>
      <c r="I196" s="243" t="s">
        <v>389</v>
      </c>
      <c r="J196" s="243"/>
      <c r="K196" s="215"/>
      <c r="L196" s="242"/>
      <c r="M196" s="242"/>
      <c r="N196" s="215"/>
      <c r="O196" s="215"/>
      <c r="P196" s="215"/>
      <c r="Q196" s="215"/>
      <c r="R196" s="215"/>
      <c r="S196" s="215"/>
      <c r="T196" s="215"/>
      <c r="U196" s="215"/>
    </row>
    <row r="197" spans="1:21" x14ac:dyDescent="0.3">
      <c r="A197" s="454"/>
      <c r="B197" s="276" t="s">
        <v>713</v>
      </c>
      <c r="C197" s="277" t="s">
        <v>783</v>
      </c>
      <c r="D197" s="278" t="s">
        <v>826</v>
      </c>
      <c r="E197" s="215" t="s">
        <v>827</v>
      </c>
      <c r="F197" s="215" t="s">
        <v>479</v>
      </c>
      <c r="G197" s="242">
        <f>[2]Sheet4!E89</f>
        <v>45858</v>
      </c>
      <c r="H197" s="234">
        <f>G197</f>
        <v>45858</v>
      </c>
      <c r="I197" s="243" t="s">
        <v>389</v>
      </c>
      <c r="J197" s="243"/>
      <c r="K197" s="215"/>
      <c r="L197" s="242"/>
      <c r="M197" s="242"/>
      <c r="N197" s="215"/>
      <c r="O197" s="215"/>
      <c r="P197" s="215"/>
      <c r="Q197" s="215"/>
      <c r="R197" s="215"/>
      <c r="S197" s="215"/>
      <c r="T197" s="215"/>
      <c r="U197" s="215"/>
    </row>
    <row r="198" spans="1:21" x14ac:dyDescent="0.3">
      <c r="A198" s="276">
        <f>A196+1</f>
        <v>27</v>
      </c>
      <c r="B198" s="276" t="s">
        <v>713</v>
      </c>
      <c r="C198" s="277" t="s">
        <v>783</v>
      </c>
      <c r="D198" s="278" t="s">
        <v>828</v>
      </c>
      <c r="E198" s="215" t="s">
        <v>829</v>
      </c>
      <c r="F198" s="215" t="s">
        <v>479</v>
      </c>
      <c r="G198" s="242">
        <f>[2]Sheet4!E90</f>
        <v>45834</v>
      </c>
      <c r="H198" s="234">
        <f>G198</f>
        <v>45834</v>
      </c>
      <c r="I198" s="243" t="s">
        <v>389</v>
      </c>
      <c r="J198" s="243"/>
      <c r="K198" s="215"/>
      <c r="L198" s="242"/>
      <c r="M198" s="242"/>
      <c r="N198" s="215"/>
      <c r="O198" s="215"/>
      <c r="P198" s="215"/>
      <c r="Q198" s="215"/>
      <c r="R198" s="215"/>
      <c r="S198" s="215"/>
      <c r="T198" s="215"/>
      <c r="U198" s="215"/>
    </row>
    <row r="199" spans="1:21" ht="28" x14ac:dyDescent="0.3">
      <c r="A199" s="281">
        <f t="shared" si="3"/>
        <v>28</v>
      </c>
      <c r="B199" s="276" t="s">
        <v>713</v>
      </c>
      <c r="C199" s="277" t="s">
        <v>783</v>
      </c>
      <c r="D199" s="278" t="s">
        <v>830</v>
      </c>
      <c r="E199" s="215" t="s">
        <v>831</v>
      </c>
      <c r="F199" s="215" t="s">
        <v>479</v>
      </c>
      <c r="G199" s="242">
        <f>[2]Sheet4!E91</f>
        <v>45840</v>
      </c>
      <c r="H199" s="234">
        <f>G199</f>
        <v>45840</v>
      </c>
      <c r="I199" s="243" t="s">
        <v>389</v>
      </c>
      <c r="J199" s="243"/>
      <c r="K199" s="215"/>
      <c r="L199" s="242"/>
      <c r="M199" s="242"/>
      <c r="N199" s="215"/>
      <c r="O199" s="215"/>
      <c r="P199" s="215"/>
      <c r="Q199" s="215"/>
      <c r="R199" s="215"/>
      <c r="S199" s="215"/>
      <c r="T199" s="215"/>
      <c r="U199" s="215"/>
    </row>
    <row r="200" spans="1:21" x14ac:dyDescent="0.3">
      <c r="A200" s="503">
        <f t="shared" si="3"/>
        <v>29</v>
      </c>
      <c r="B200" s="276" t="s">
        <v>713</v>
      </c>
      <c r="C200" s="277" t="s">
        <v>783</v>
      </c>
      <c r="D200" s="278" t="s">
        <v>832</v>
      </c>
      <c r="E200" s="215" t="s">
        <v>833</v>
      </c>
      <c r="F200" s="215" t="s">
        <v>469</v>
      </c>
      <c r="G200" s="242">
        <f>[2]Sheet4!E92</f>
        <v>45826</v>
      </c>
      <c r="H200" s="234">
        <f>G200</f>
        <v>45826</v>
      </c>
      <c r="I200" s="243" t="s">
        <v>389</v>
      </c>
      <c r="J200" s="243"/>
      <c r="K200" s="215"/>
      <c r="L200" s="242"/>
      <c r="M200" s="242"/>
      <c r="N200" s="215"/>
      <c r="O200" s="215"/>
      <c r="P200" s="215"/>
      <c r="Q200" s="215"/>
      <c r="R200" s="215"/>
      <c r="S200" s="215"/>
      <c r="T200" s="215"/>
      <c r="U200" s="215"/>
    </row>
    <row r="201" spans="1:21" x14ac:dyDescent="0.3">
      <c r="A201" s="503"/>
      <c r="B201" s="276" t="s">
        <v>713</v>
      </c>
      <c r="C201" s="455" t="s">
        <v>783</v>
      </c>
      <c r="D201" s="446" t="s">
        <v>834</v>
      </c>
      <c r="E201" s="425" t="s">
        <v>835</v>
      </c>
      <c r="F201" s="425" t="s">
        <v>469</v>
      </c>
      <c r="G201" s="421">
        <v>45793</v>
      </c>
      <c r="H201" s="421">
        <f>L201</f>
        <v>45793</v>
      </c>
      <c r="I201" s="480" t="s">
        <v>389</v>
      </c>
      <c r="J201" s="480"/>
      <c r="K201" s="215" t="s">
        <v>470</v>
      </c>
      <c r="L201" s="242">
        <v>45793</v>
      </c>
      <c r="M201" s="242">
        <v>45807</v>
      </c>
      <c r="N201" s="215"/>
      <c r="O201" s="215">
        <f>M201-L201</f>
        <v>14</v>
      </c>
      <c r="P201" s="215">
        <f ca="1">O1-M201</f>
        <v>38</v>
      </c>
      <c r="Q201" s="425"/>
      <c r="R201" s="425" t="s">
        <v>502</v>
      </c>
      <c r="S201" s="425"/>
      <c r="T201" s="425" t="s">
        <v>476</v>
      </c>
      <c r="U201" s="425">
        <f ca="1">U1-M201</f>
        <v>38</v>
      </c>
    </row>
    <row r="202" spans="1:21" x14ac:dyDescent="0.3">
      <c r="A202" s="290"/>
      <c r="B202" s="276"/>
      <c r="C202" s="457"/>
      <c r="D202" s="447"/>
      <c r="E202" s="427"/>
      <c r="F202" s="427"/>
      <c r="G202" s="423"/>
      <c r="H202" s="423"/>
      <c r="I202" s="481"/>
      <c r="J202" s="481"/>
      <c r="K202" s="215" t="s">
        <v>472</v>
      </c>
      <c r="L202" s="242"/>
      <c r="M202" s="242"/>
      <c r="N202" s="215"/>
      <c r="O202" s="215"/>
      <c r="P202" s="215"/>
      <c r="Q202" s="427"/>
      <c r="R202" s="427"/>
      <c r="S202" s="427"/>
      <c r="T202" s="427"/>
      <c r="U202" s="427"/>
    </row>
    <row r="203" spans="1:21" x14ac:dyDescent="0.3">
      <c r="B203" s="276" t="s">
        <v>713</v>
      </c>
      <c r="C203" s="277" t="s">
        <v>783</v>
      </c>
      <c r="D203" s="278" t="s">
        <v>836</v>
      </c>
      <c r="E203" s="215" t="s">
        <v>837</v>
      </c>
      <c r="F203" s="241" t="s">
        <v>469</v>
      </c>
      <c r="G203" s="242">
        <v>45868</v>
      </c>
      <c r="H203" s="234">
        <f>G203</f>
        <v>45868</v>
      </c>
      <c r="I203" s="243" t="s">
        <v>389</v>
      </c>
      <c r="J203" s="243"/>
      <c r="K203" s="215"/>
      <c r="L203" s="242"/>
      <c r="M203" s="242"/>
      <c r="N203" s="215"/>
      <c r="O203" s="215"/>
      <c r="P203" s="215"/>
      <c r="Q203" s="215"/>
      <c r="R203" s="215"/>
      <c r="S203" s="215"/>
      <c r="T203" s="215"/>
      <c r="U203" s="215"/>
    </row>
    <row r="204" spans="1:21" x14ac:dyDescent="0.3">
      <c r="B204" s="281" t="s">
        <v>713</v>
      </c>
      <c r="C204" s="282" t="s">
        <v>783</v>
      </c>
      <c r="D204" s="289" t="s">
        <v>838</v>
      </c>
      <c r="E204" s="267" t="s">
        <v>839</v>
      </c>
      <c r="F204" s="272" t="s">
        <v>469</v>
      </c>
      <c r="G204" s="266">
        <v>45826</v>
      </c>
      <c r="H204" s="234">
        <f>G204</f>
        <v>45826</v>
      </c>
      <c r="I204" s="280" t="s">
        <v>389</v>
      </c>
      <c r="J204" s="280"/>
      <c r="K204" s="267"/>
      <c r="L204" s="266"/>
      <c r="M204" s="266"/>
      <c r="N204" s="267"/>
      <c r="O204" s="267"/>
      <c r="P204" s="267"/>
      <c r="Q204" s="267"/>
      <c r="R204" s="267"/>
      <c r="S204" s="267"/>
      <c r="T204" s="267"/>
      <c r="U204" s="267"/>
    </row>
    <row r="205" spans="1:21" s="290" customFormat="1" x14ac:dyDescent="0.3">
      <c r="A205" s="291"/>
      <c r="B205" s="288" t="s">
        <v>713</v>
      </c>
      <c r="C205" s="475" t="s">
        <v>783</v>
      </c>
      <c r="D205" s="476" t="s">
        <v>840</v>
      </c>
      <c r="E205" s="474" t="s">
        <v>839</v>
      </c>
      <c r="F205" s="474" t="s">
        <v>469</v>
      </c>
      <c r="G205" s="500">
        <v>45803</v>
      </c>
      <c r="H205" s="501">
        <f>L205</f>
        <v>45803</v>
      </c>
      <c r="I205" s="477" t="s">
        <v>389</v>
      </c>
      <c r="J205" s="477"/>
      <c r="K205" s="228" t="s">
        <v>470</v>
      </c>
      <c r="L205" s="292">
        <v>45803</v>
      </c>
      <c r="M205" s="292">
        <v>45810</v>
      </c>
      <c r="N205" s="228"/>
      <c r="O205" s="228">
        <f>M205-L205</f>
        <v>7</v>
      </c>
      <c r="P205" s="228">
        <f ca="1">O1-M205</f>
        <v>35</v>
      </c>
      <c r="Q205" s="474"/>
      <c r="R205" s="474" t="s">
        <v>502</v>
      </c>
      <c r="S205" s="474"/>
      <c r="T205" s="474" t="s">
        <v>476</v>
      </c>
      <c r="U205" s="474"/>
    </row>
    <row r="206" spans="1:21" s="290" customFormat="1" x14ac:dyDescent="0.3">
      <c r="A206" s="291"/>
      <c r="B206" s="228"/>
      <c r="C206" s="475"/>
      <c r="D206" s="476"/>
      <c r="E206" s="474"/>
      <c r="F206" s="474"/>
      <c r="G206" s="500"/>
      <c r="H206" s="502"/>
      <c r="I206" s="477"/>
      <c r="J206" s="477"/>
      <c r="K206" s="228" t="s">
        <v>472</v>
      </c>
      <c r="L206" s="292"/>
      <c r="M206" s="292"/>
      <c r="N206" s="228"/>
      <c r="O206" s="228"/>
      <c r="P206" s="228"/>
      <c r="Q206" s="474"/>
      <c r="R206" s="474"/>
      <c r="S206" s="474"/>
      <c r="T206" s="474"/>
      <c r="U206" s="474"/>
    </row>
    <row r="207" spans="1:21" s="290" customFormat="1" x14ac:dyDescent="0.3">
      <c r="A207" s="291"/>
      <c r="L207" s="293"/>
      <c r="M207" s="293"/>
    </row>
  </sheetData>
  <autoFilter ref="A2:AB206" xr:uid="{3231EE02-D3A7-4921-9CFE-BCAE4C68606C}"/>
  <mergeCells count="272">
    <mergeCell ref="T3:T6"/>
    <mergeCell ref="U3:U6"/>
    <mergeCell ref="A1:G1"/>
    <mergeCell ref="A3:A6"/>
    <mergeCell ref="B3:B6"/>
    <mergeCell ref="C3:C6"/>
    <mergeCell ref="D3:D6"/>
    <mergeCell ref="E3:E6"/>
    <mergeCell ref="F3:F6"/>
    <mergeCell ref="G3:G6"/>
    <mergeCell ref="B7:B8"/>
    <mergeCell ref="C7:C8"/>
    <mergeCell ref="D7:D8"/>
    <mergeCell ref="E7:E8"/>
    <mergeCell ref="F7:F8"/>
    <mergeCell ref="H3:H6"/>
    <mergeCell ref="Q3:Q6"/>
    <mergeCell ref="R3:R6"/>
    <mergeCell ref="S3:S6"/>
    <mergeCell ref="A18:A20"/>
    <mergeCell ref="B18:B20"/>
    <mergeCell ref="C18:C20"/>
    <mergeCell ref="D18:D20"/>
    <mergeCell ref="E18:E20"/>
    <mergeCell ref="F18:F20"/>
    <mergeCell ref="G18:G20"/>
    <mergeCell ref="U7:U8"/>
    <mergeCell ref="A13:A14"/>
    <mergeCell ref="B13:B14"/>
    <mergeCell ref="C13:C14"/>
    <mergeCell ref="D13:D14"/>
    <mergeCell ref="E13:E14"/>
    <mergeCell ref="F13:F14"/>
    <mergeCell ref="G13:G14"/>
    <mergeCell ref="H13:H14"/>
    <mergeCell ref="R13:R14"/>
    <mergeCell ref="G7:G8"/>
    <mergeCell ref="H7:H8"/>
    <mergeCell ref="Q7:Q8"/>
    <mergeCell ref="R7:R8"/>
    <mergeCell ref="S7:S8"/>
    <mergeCell ref="T7:T8"/>
    <mergeCell ref="A7:A8"/>
    <mergeCell ref="H18:H20"/>
    <mergeCell ref="Q18:Q20"/>
    <mergeCell ref="R18:R20"/>
    <mergeCell ref="S18:S20"/>
    <mergeCell ref="T18:T20"/>
    <mergeCell ref="U18:U20"/>
    <mergeCell ref="S13:S14"/>
    <mergeCell ref="T13:T14"/>
    <mergeCell ref="U13:U14"/>
    <mergeCell ref="U24:U26"/>
    <mergeCell ref="A29:A32"/>
    <mergeCell ref="B29:B32"/>
    <mergeCell ref="C29:C32"/>
    <mergeCell ref="D29:D32"/>
    <mergeCell ref="E29:E32"/>
    <mergeCell ref="F29:F32"/>
    <mergeCell ref="G29:G32"/>
    <mergeCell ref="H29:H32"/>
    <mergeCell ref="Q29:Q32"/>
    <mergeCell ref="G24:G26"/>
    <mergeCell ref="H24:H26"/>
    <mergeCell ref="Q24:Q26"/>
    <mergeCell ref="R24:R26"/>
    <mergeCell ref="S24:S26"/>
    <mergeCell ref="T24:T26"/>
    <mergeCell ref="A24:A26"/>
    <mergeCell ref="B24:B26"/>
    <mergeCell ref="C24:C26"/>
    <mergeCell ref="D24:D26"/>
    <mergeCell ref="E24:E26"/>
    <mergeCell ref="F24:F26"/>
    <mergeCell ref="R29:R32"/>
    <mergeCell ref="S29:S32"/>
    <mergeCell ref="T29:T32"/>
    <mergeCell ref="U29:U32"/>
    <mergeCell ref="A34:A35"/>
    <mergeCell ref="B34:B35"/>
    <mergeCell ref="C34:C35"/>
    <mergeCell ref="D34:D35"/>
    <mergeCell ref="E34:E35"/>
    <mergeCell ref="F34:F35"/>
    <mergeCell ref="A41:A42"/>
    <mergeCell ref="B41:B42"/>
    <mergeCell ref="C41:C42"/>
    <mergeCell ref="D41:D42"/>
    <mergeCell ref="E41:E42"/>
    <mergeCell ref="F41:F42"/>
    <mergeCell ref="U34:U35"/>
    <mergeCell ref="A36:A38"/>
    <mergeCell ref="B36:B38"/>
    <mergeCell ref="C36:C38"/>
    <mergeCell ref="D36:D38"/>
    <mergeCell ref="E36:E38"/>
    <mergeCell ref="F36:F38"/>
    <mergeCell ref="G36:G38"/>
    <mergeCell ref="H36:H38"/>
    <mergeCell ref="Q36:Q38"/>
    <mergeCell ref="G34:G35"/>
    <mergeCell ref="H34:H35"/>
    <mergeCell ref="Q34:Q35"/>
    <mergeCell ref="R34:R35"/>
    <mergeCell ref="S34:S35"/>
    <mergeCell ref="T34:T35"/>
    <mergeCell ref="G41:G42"/>
    <mergeCell ref="H41:H42"/>
    <mergeCell ref="R41:R42"/>
    <mergeCell ref="S41:S42"/>
    <mergeCell ref="T41:T42"/>
    <mergeCell ref="U41:U42"/>
    <mergeCell ref="R36:R38"/>
    <mergeCell ref="S36:S38"/>
    <mergeCell ref="T36:T38"/>
    <mergeCell ref="U36:U38"/>
    <mergeCell ref="S62:S63"/>
    <mergeCell ref="T62:T63"/>
    <mergeCell ref="U62:U63"/>
    <mergeCell ref="A62:A63"/>
    <mergeCell ref="C62:C63"/>
    <mergeCell ref="D62:D63"/>
    <mergeCell ref="E62:E63"/>
    <mergeCell ref="F62:F63"/>
    <mergeCell ref="I62:I63"/>
    <mergeCell ref="A64:A66"/>
    <mergeCell ref="B64:B66"/>
    <mergeCell ref="C64:C66"/>
    <mergeCell ref="D64:D66"/>
    <mergeCell ref="E64:E66"/>
    <mergeCell ref="F64:F66"/>
    <mergeCell ref="J62:J63"/>
    <mergeCell ref="Q62:Q63"/>
    <mergeCell ref="R62:R63"/>
    <mergeCell ref="Q96:Q97"/>
    <mergeCell ref="R96:R97"/>
    <mergeCell ref="S96:S97"/>
    <mergeCell ref="T96:T97"/>
    <mergeCell ref="R99:R100"/>
    <mergeCell ref="U64:U66"/>
    <mergeCell ref="B92:B95"/>
    <mergeCell ref="C92:C95"/>
    <mergeCell ref="D92:D95"/>
    <mergeCell ref="E92:E95"/>
    <mergeCell ref="F92:F95"/>
    <mergeCell ref="G92:G95"/>
    <mergeCell ref="H92:H95"/>
    <mergeCell ref="Q92:Q95"/>
    <mergeCell ref="R92:R95"/>
    <mergeCell ref="G64:G66"/>
    <mergeCell ref="H64:H66"/>
    <mergeCell ref="Q64:Q66"/>
    <mergeCell ref="R64:R66"/>
    <mergeCell ref="S64:S66"/>
    <mergeCell ref="T64:T66"/>
    <mergeCell ref="S92:S95"/>
    <mergeCell ref="T92:T95"/>
    <mergeCell ref="U92:U95"/>
    <mergeCell ref="U127:U128"/>
    <mergeCell ref="I127:I128"/>
    <mergeCell ref="J127:J128"/>
    <mergeCell ref="Q127:Q128"/>
    <mergeCell ref="R127:R128"/>
    <mergeCell ref="A94:A95"/>
    <mergeCell ref="B96:B97"/>
    <mergeCell ref="C96:C97"/>
    <mergeCell ref="D96:D97"/>
    <mergeCell ref="E96:E97"/>
    <mergeCell ref="F96:F97"/>
    <mergeCell ref="G96:G97"/>
    <mergeCell ref="U96:U97"/>
    <mergeCell ref="B99:B100"/>
    <mergeCell ref="C99:C100"/>
    <mergeCell ref="D99:D100"/>
    <mergeCell ref="E99:E100"/>
    <mergeCell ref="F99:F100"/>
    <mergeCell ref="G99:G100"/>
    <mergeCell ref="H99:H100"/>
    <mergeCell ref="J99:J100"/>
    <mergeCell ref="Q99:Q100"/>
    <mergeCell ref="H96:H97"/>
    <mergeCell ref="J96:J97"/>
    <mergeCell ref="G125:G126"/>
    <mergeCell ref="H125:H126"/>
    <mergeCell ref="S99:S100"/>
    <mergeCell ref="T99:T100"/>
    <mergeCell ref="U99:U100"/>
    <mergeCell ref="A120:A121"/>
    <mergeCell ref="B125:B126"/>
    <mergeCell ref="C125:C126"/>
    <mergeCell ref="D125:D126"/>
    <mergeCell ref="E125:E126"/>
    <mergeCell ref="F125:F126"/>
    <mergeCell ref="S125:S126"/>
    <mergeCell ref="T125:T126"/>
    <mergeCell ref="U125:U126"/>
    <mergeCell ref="I125:I126"/>
    <mergeCell ref="J125:J126"/>
    <mergeCell ref="Q125:Q126"/>
    <mergeCell ref="R125:R126"/>
    <mergeCell ref="S127:S128"/>
    <mergeCell ref="T127:T128"/>
    <mergeCell ref="S133:S134"/>
    <mergeCell ref="T133:T134"/>
    <mergeCell ref="A127:A128"/>
    <mergeCell ref="C127:C128"/>
    <mergeCell ref="D127:D128"/>
    <mergeCell ref="E127:E128"/>
    <mergeCell ref="F127:F128"/>
    <mergeCell ref="G127:G128"/>
    <mergeCell ref="A130:A131"/>
    <mergeCell ref="C133:C134"/>
    <mergeCell ref="D133:D134"/>
    <mergeCell ref="E133:E134"/>
    <mergeCell ref="F133:F134"/>
    <mergeCell ref="G133:G134"/>
    <mergeCell ref="H133:H134"/>
    <mergeCell ref="Q133:Q134"/>
    <mergeCell ref="R133:R134"/>
    <mergeCell ref="H127:H128"/>
    <mergeCell ref="T138:T139"/>
    <mergeCell ref="U138:U139"/>
    <mergeCell ref="R136:R137"/>
    <mergeCell ref="S136:S137"/>
    <mergeCell ref="T136:T137"/>
    <mergeCell ref="U136:U137"/>
    <mergeCell ref="B138:B139"/>
    <mergeCell ref="C138:C139"/>
    <mergeCell ref="D138:D139"/>
    <mergeCell ref="E138:E139"/>
    <mergeCell ref="F138:F139"/>
    <mergeCell ref="G138:G139"/>
    <mergeCell ref="B136:B137"/>
    <mergeCell ref="C136:C137"/>
    <mergeCell ref="D136:D137"/>
    <mergeCell ref="E136:E137"/>
    <mergeCell ref="F136:F137"/>
    <mergeCell ref="G136:G137"/>
    <mergeCell ref="H136:H137"/>
    <mergeCell ref="Q136:Q137"/>
    <mergeCell ref="S138:S139"/>
    <mergeCell ref="A196:A197"/>
    <mergeCell ref="A200:A201"/>
    <mergeCell ref="C201:C202"/>
    <mergeCell ref="D201:D202"/>
    <mergeCell ref="E201:E202"/>
    <mergeCell ref="F201:F202"/>
    <mergeCell ref="H138:H139"/>
    <mergeCell ref="Q138:Q139"/>
    <mergeCell ref="R138:R139"/>
    <mergeCell ref="C205:C206"/>
    <mergeCell ref="D205:D206"/>
    <mergeCell ref="E205:E206"/>
    <mergeCell ref="F205:F206"/>
    <mergeCell ref="G205:G206"/>
    <mergeCell ref="H205:H206"/>
    <mergeCell ref="I205:I206"/>
    <mergeCell ref="G201:G202"/>
    <mergeCell ref="H201:H202"/>
    <mergeCell ref="I201:I202"/>
    <mergeCell ref="J205:J206"/>
    <mergeCell ref="Q205:Q206"/>
    <mergeCell ref="R205:R206"/>
    <mergeCell ref="S205:S206"/>
    <mergeCell ref="T205:T206"/>
    <mergeCell ref="U205:U206"/>
    <mergeCell ref="S201:S202"/>
    <mergeCell ref="T201:T202"/>
    <mergeCell ref="U201:U202"/>
    <mergeCell ref="J201:J202"/>
    <mergeCell ref="Q201:Q202"/>
    <mergeCell ref="R201:R202"/>
  </mergeCells>
  <dataValidations count="1">
    <dataValidation type="list" allowBlank="1" showInputMessage="1" showErrorMessage="1" sqref="F39:F41 F3 F195:F201 F67:F92 F7 F9:F13 F138 F140:F193 F15:F18 F34 F21:F24 F96 F135:F136 F36:F37 F98:F125 F27:F29 F127 F129:F133 F43:F62 F64" xr:uid="{F436A11D-18D7-4AD4-AD7B-E3C51E939B6B}">
      <formula1>"Approval, Information"</formula1>
    </dataValidation>
  </dataValidation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56ED-BF55-4F86-AB7E-BB8F56961A48}">
  <dimension ref="A1:I65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25" sqref="I25"/>
    </sheetView>
  </sheetViews>
  <sheetFormatPr defaultRowHeight="16" x14ac:dyDescent="0.4"/>
  <cols>
    <col min="1" max="1" width="7.7265625" style="123" customWidth="1"/>
    <col min="2" max="2" width="33.453125" style="123" customWidth="1"/>
    <col min="3" max="3" width="13.08984375" style="123" customWidth="1"/>
    <col min="4" max="4" width="17.453125" style="123" customWidth="1"/>
    <col min="5" max="5" width="49.6328125" style="123" customWidth="1"/>
    <col min="6" max="6" width="10.81640625" style="123" bestFit="1" customWidth="1"/>
    <col min="7" max="7" width="8.7265625" style="123"/>
    <col min="8" max="8" width="11.54296875" style="123" customWidth="1"/>
    <col min="9" max="16384" width="8.7265625" style="123"/>
  </cols>
  <sheetData>
    <row r="1" spans="1:9" x14ac:dyDescent="0.4">
      <c r="A1" s="122" t="s">
        <v>316</v>
      </c>
      <c r="B1" s="122" t="s">
        <v>366</v>
      </c>
      <c r="C1" s="122" t="s">
        <v>317</v>
      </c>
      <c r="D1" s="122" t="s">
        <v>318</v>
      </c>
      <c r="E1" s="122" t="s">
        <v>319</v>
      </c>
    </row>
    <row r="2" spans="1:9" x14ac:dyDescent="0.4">
      <c r="A2" s="135">
        <v>1</v>
      </c>
      <c r="B2" s="133" t="s">
        <v>343</v>
      </c>
      <c r="C2" s="134">
        <v>45783</v>
      </c>
      <c r="D2" s="188">
        <f>C2</f>
        <v>45783</v>
      </c>
      <c r="E2" s="189" t="s">
        <v>421</v>
      </c>
    </row>
    <row r="3" spans="1:9" x14ac:dyDescent="0.4">
      <c r="A3" s="135">
        <v>2</v>
      </c>
      <c r="B3" s="133" t="s">
        <v>344</v>
      </c>
      <c r="C3" s="134">
        <v>45803</v>
      </c>
      <c r="D3" s="188">
        <v>45807</v>
      </c>
      <c r="E3" s="189" t="s">
        <v>423</v>
      </c>
    </row>
    <row r="4" spans="1:9" x14ac:dyDescent="0.4">
      <c r="A4" s="124">
        <v>3</v>
      </c>
      <c r="B4" s="125" t="s">
        <v>345</v>
      </c>
      <c r="C4" s="126">
        <v>45816</v>
      </c>
      <c r="D4" s="184">
        <f t="shared" ref="D4:D21" si="0">C4</f>
        <v>45816</v>
      </c>
      <c r="E4" s="140"/>
    </row>
    <row r="5" spans="1:9" x14ac:dyDescent="0.4">
      <c r="A5" s="124">
        <v>4</v>
      </c>
      <c r="B5" s="125" t="s">
        <v>346</v>
      </c>
      <c r="C5" s="126">
        <v>45805</v>
      </c>
      <c r="D5" s="184">
        <v>45817</v>
      </c>
      <c r="E5" s="140"/>
    </row>
    <row r="6" spans="1:9" x14ac:dyDescent="0.4">
      <c r="A6" s="124">
        <v>5</v>
      </c>
      <c r="B6" s="125" t="s">
        <v>347</v>
      </c>
      <c r="C6" s="126">
        <v>45805</v>
      </c>
      <c r="D6" s="184">
        <v>45817</v>
      </c>
      <c r="E6" s="140"/>
    </row>
    <row r="7" spans="1:9" x14ac:dyDescent="0.4">
      <c r="A7" s="124">
        <v>6</v>
      </c>
      <c r="B7" s="125" t="s">
        <v>348</v>
      </c>
      <c r="C7" s="126">
        <v>45820</v>
      </c>
      <c r="D7" s="184">
        <f t="shared" si="0"/>
        <v>45820</v>
      </c>
      <c r="E7" s="140"/>
    </row>
    <row r="8" spans="1:9" x14ac:dyDescent="0.4">
      <c r="A8" s="124">
        <v>7</v>
      </c>
      <c r="B8" s="125" t="s">
        <v>349</v>
      </c>
      <c r="C8" s="126">
        <v>45814</v>
      </c>
      <c r="D8" s="184">
        <v>45818</v>
      </c>
      <c r="E8" s="140"/>
    </row>
    <row r="9" spans="1:9" x14ac:dyDescent="0.4">
      <c r="A9" s="135">
        <v>8</v>
      </c>
      <c r="B9" s="133" t="s">
        <v>350</v>
      </c>
      <c r="C9" s="134">
        <v>45797</v>
      </c>
      <c r="D9" s="188">
        <v>45790</v>
      </c>
      <c r="E9" s="189" t="s">
        <v>423</v>
      </c>
    </row>
    <row r="10" spans="1:9" x14ac:dyDescent="0.4">
      <c r="A10" s="124">
        <v>9</v>
      </c>
      <c r="B10" s="125" t="s">
        <v>352</v>
      </c>
      <c r="C10" s="126">
        <v>45788</v>
      </c>
      <c r="D10" s="184">
        <f>Ordering!E11+7</f>
        <v>45845</v>
      </c>
      <c r="E10" s="140"/>
    </row>
    <row r="11" spans="1:9" x14ac:dyDescent="0.4">
      <c r="A11" s="124">
        <v>10</v>
      </c>
      <c r="B11" s="125" t="s">
        <v>353</v>
      </c>
      <c r="C11" s="126">
        <v>45813</v>
      </c>
      <c r="D11" s="184">
        <v>45818</v>
      </c>
      <c r="E11" s="140"/>
      <c r="G11" s="191"/>
      <c r="H11"/>
      <c r="I11" s="191"/>
    </row>
    <row r="12" spans="1:9" x14ac:dyDescent="0.4">
      <c r="A12" s="124">
        <v>11</v>
      </c>
      <c r="B12" s="125" t="s">
        <v>354</v>
      </c>
      <c r="C12" s="126">
        <v>45799</v>
      </c>
      <c r="D12" s="184">
        <f>Ordering!E13+7</f>
        <v>45852</v>
      </c>
      <c r="E12" s="140"/>
      <c r="H12"/>
    </row>
    <row r="13" spans="1:9" x14ac:dyDescent="0.4">
      <c r="A13" s="124">
        <v>12</v>
      </c>
      <c r="B13" s="125" t="s">
        <v>355</v>
      </c>
      <c r="C13" s="126">
        <v>45791</v>
      </c>
      <c r="D13" s="184">
        <f>Ordering!E14+7</f>
        <v>45852</v>
      </c>
      <c r="E13" s="140"/>
    </row>
    <row r="14" spans="1:9" x14ac:dyDescent="0.4">
      <c r="A14" s="124">
        <v>13</v>
      </c>
      <c r="B14" s="125" t="s">
        <v>356</v>
      </c>
      <c r="C14" s="126">
        <v>45813</v>
      </c>
      <c r="D14" s="184">
        <v>45820</v>
      </c>
      <c r="E14" s="140"/>
    </row>
    <row r="15" spans="1:9" x14ac:dyDescent="0.4">
      <c r="A15" s="124">
        <v>14</v>
      </c>
      <c r="B15" s="125" t="s">
        <v>357</v>
      </c>
      <c r="C15" s="126">
        <v>45805</v>
      </c>
      <c r="D15" s="184">
        <f>Ordering!E16+7</f>
        <v>45852</v>
      </c>
      <c r="E15" s="140"/>
    </row>
    <row r="16" spans="1:9" x14ac:dyDescent="0.4">
      <c r="A16" s="124">
        <v>15</v>
      </c>
      <c r="B16" s="125" t="s">
        <v>358</v>
      </c>
      <c r="C16" s="126">
        <v>45805</v>
      </c>
      <c r="D16" s="184">
        <f>Ordering!E17+7</f>
        <v>45852</v>
      </c>
      <c r="E16" s="140"/>
    </row>
    <row r="17" spans="1:5" x14ac:dyDescent="0.4">
      <c r="A17" s="124">
        <v>16</v>
      </c>
      <c r="B17" s="125" t="s">
        <v>359</v>
      </c>
      <c r="C17" s="126">
        <v>45805</v>
      </c>
      <c r="D17" s="184">
        <f>Ordering!E18+7</f>
        <v>45822</v>
      </c>
      <c r="E17" s="140"/>
    </row>
    <row r="18" spans="1:5" x14ac:dyDescent="0.4">
      <c r="A18" s="124">
        <v>17</v>
      </c>
      <c r="B18" s="125" t="s">
        <v>360</v>
      </c>
      <c r="C18" s="126">
        <v>45813</v>
      </c>
      <c r="D18" s="184">
        <f>Ordering!E19+7</f>
        <v>45842</v>
      </c>
      <c r="E18" s="140"/>
    </row>
    <row r="19" spans="1:5" x14ac:dyDescent="0.4">
      <c r="A19" s="124">
        <v>18</v>
      </c>
      <c r="B19" s="125" t="s">
        <v>361</v>
      </c>
      <c r="C19" s="126">
        <v>45820</v>
      </c>
      <c r="D19" s="184">
        <f t="shared" si="0"/>
        <v>45820</v>
      </c>
      <c r="E19" s="140"/>
    </row>
    <row r="20" spans="1:5" x14ac:dyDescent="0.4">
      <c r="A20" s="124">
        <v>19</v>
      </c>
      <c r="B20" s="125" t="s">
        <v>362</v>
      </c>
      <c r="C20" s="126">
        <v>45839</v>
      </c>
      <c r="D20" s="184">
        <f t="shared" si="0"/>
        <v>45839</v>
      </c>
      <c r="E20" s="140"/>
    </row>
    <row r="21" spans="1:5" s="131" customFormat="1" ht="32" x14ac:dyDescent="0.35">
      <c r="A21" s="128">
        <v>20</v>
      </c>
      <c r="B21" s="129" t="s">
        <v>363</v>
      </c>
      <c r="C21" s="130">
        <v>45900</v>
      </c>
      <c r="D21" s="185">
        <f t="shared" si="0"/>
        <v>45900</v>
      </c>
      <c r="E21" s="186"/>
    </row>
    <row r="22" spans="1:5" x14ac:dyDescent="0.4">
      <c r="A22" s="122" t="s">
        <v>316</v>
      </c>
      <c r="B22" s="122" t="s">
        <v>390</v>
      </c>
      <c r="C22" s="122" t="s">
        <v>365</v>
      </c>
      <c r="D22" s="122" t="s">
        <v>318</v>
      </c>
      <c r="E22" s="122" t="s">
        <v>301</v>
      </c>
    </row>
    <row r="23" spans="1:5" s="131" customFormat="1" x14ac:dyDescent="0.35">
      <c r="A23" s="137">
        <v>1</v>
      </c>
      <c r="B23" s="139" t="s">
        <v>367</v>
      </c>
      <c r="C23" s="138">
        <v>45701</v>
      </c>
      <c r="D23" s="137" t="s">
        <v>368</v>
      </c>
      <c r="E23" s="152" t="s">
        <v>368</v>
      </c>
    </row>
    <row r="24" spans="1:5" s="131" customFormat="1" x14ac:dyDescent="0.35">
      <c r="A24" s="144">
        <v>2</v>
      </c>
      <c r="B24" s="145" t="s">
        <v>369</v>
      </c>
      <c r="C24" s="146">
        <v>45780</v>
      </c>
      <c r="D24" s="146">
        <f>C24</f>
        <v>45780</v>
      </c>
      <c r="E24" s="152" t="s">
        <v>442</v>
      </c>
    </row>
    <row r="25" spans="1:5" s="131" customFormat="1" x14ac:dyDescent="0.35">
      <c r="A25" s="128">
        <v>3</v>
      </c>
      <c r="B25" s="129" t="s">
        <v>370</v>
      </c>
      <c r="C25" s="130">
        <v>45823</v>
      </c>
      <c r="D25" s="130">
        <f>C25</f>
        <v>45823</v>
      </c>
      <c r="E25" s="211" t="s">
        <v>443</v>
      </c>
    </row>
    <row r="26" spans="1:5" s="131" customFormat="1" x14ac:dyDescent="0.35">
      <c r="A26" s="137">
        <v>4</v>
      </c>
      <c r="B26" s="139" t="s">
        <v>371</v>
      </c>
      <c r="C26" s="137" t="s">
        <v>372</v>
      </c>
      <c r="D26" s="138" t="s">
        <v>368</v>
      </c>
      <c r="E26" s="152" t="s">
        <v>399</v>
      </c>
    </row>
    <row r="27" spans="1:5" s="131" customFormat="1" x14ac:dyDescent="0.35">
      <c r="A27" s="128">
        <v>5</v>
      </c>
      <c r="B27" s="129" t="s">
        <v>373</v>
      </c>
      <c r="C27" s="130">
        <v>45812</v>
      </c>
      <c r="D27" s="130">
        <v>45828</v>
      </c>
      <c r="E27" s="190"/>
    </row>
    <row r="28" spans="1:5" s="131" customFormat="1" x14ac:dyDescent="0.35">
      <c r="A28" s="128">
        <v>6</v>
      </c>
      <c r="B28" s="129" t="s">
        <v>374</v>
      </c>
      <c r="C28" s="130">
        <v>45777</v>
      </c>
      <c r="D28" s="130">
        <v>45804</v>
      </c>
      <c r="E28" s="211" t="s">
        <v>444</v>
      </c>
    </row>
    <row r="29" spans="1:5" s="131" customFormat="1" hidden="1" x14ac:dyDescent="0.35">
      <c r="A29" s="128">
        <v>7</v>
      </c>
      <c r="B29" s="129" t="s">
        <v>375</v>
      </c>
      <c r="C29" s="130">
        <v>45794</v>
      </c>
      <c r="D29" s="130">
        <f t="shared" ref="D29:D31" si="1">C29</f>
        <v>45794</v>
      </c>
      <c r="E29" s="190"/>
    </row>
    <row r="30" spans="1:5" s="131" customFormat="1" ht="32" x14ac:dyDescent="0.35">
      <c r="A30" s="128">
        <v>8</v>
      </c>
      <c r="B30" s="129" t="s">
        <v>376</v>
      </c>
      <c r="C30" s="130">
        <v>45807</v>
      </c>
      <c r="D30" s="130">
        <f>D28+15</f>
        <v>45819</v>
      </c>
      <c r="E30" s="190"/>
    </row>
    <row r="31" spans="1:5" s="131" customFormat="1" ht="32" x14ac:dyDescent="0.35">
      <c r="A31" s="128">
        <v>9</v>
      </c>
      <c r="B31" s="129" t="s">
        <v>377</v>
      </c>
      <c r="C31" s="130">
        <v>45816</v>
      </c>
      <c r="D31" s="130">
        <f t="shared" si="1"/>
        <v>45816</v>
      </c>
      <c r="E31" s="190"/>
    </row>
    <row r="32" spans="1:5" s="131" customFormat="1" x14ac:dyDescent="0.35">
      <c r="A32" s="128">
        <v>10</v>
      </c>
      <c r="B32" s="129" t="s">
        <v>378</v>
      </c>
      <c r="C32" s="130">
        <v>45772</v>
      </c>
      <c r="D32" s="130">
        <v>45787</v>
      </c>
      <c r="E32" s="183" t="s">
        <v>445</v>
      </c>
    </row>
    <row r="33" spans="1:5" s="131" customFormat="1" x14ac:dyDescent="0.35">
      <c r="A33" s="192">
        <v>11</v>
      </c>
      <c r="B33" s="193" t="s">
        <v>379</v>
      </c>
      <c r="C33" s="194">
        <v>45772</v>
      </c>
      <c r="D33" s="194">
        <v>45773</v>
      </c>
      <c r="E33" s="152" t="s">
        <v>424</v>
      </c>
    </row>
    <row r="34" spans="1:5" s="131" customFormat="1" x14ac:dyDescent="0.35">
      <c r="A34" s="128">
        <v>12</v>
      </c>
      <c r="B34" s="129" t="s">
        <v>380</v>
      </c>
      <c r="C34" s="130">
        <v>45783</v>
      </c>
      <c r="D34" s="130">
        <v>45795</v>
      </c>
      <c r="E34" s="152" t="s">
        <v>426</v>
      </c>
    </row>
    <row r="35" spans="1:5" s="131" customFormat="1" ht="32" x14ac:dyDescent="0.35">
      <c r="A35" s="128">
        <v>13</v>
      </c>
      <c r="B35" s="129" t="s">
        <v>381</v>
      </c>
      <c r="C35" s="130">
        <v>45811</v>
      </c>
      <c r="D35" s="130">
        <v>45823</v>
      </c>
      <c r="E35" s="190"/>
    </row>
    <row r="36" spans="1:5" s="131" customFormat="1" ht="32" x14ac:dyDescent="0.35">
      <c r="A36" s="128">
        <v>14</v>
      </c>
      <c r="B36" s="129" t="s">
        <v>382</v>
      </c>
      <c r="C36" s="130">
        <v>45808</v>
      </c>
      <c r="D36" s="130">
        <v>45823</v>
      </c>
      <c r="E36" s="190"/>
    </row>
    <row r="37" spans="1:5" s="131" customFormat="1" ht="32" x14ac:dyDescent="0.35">
      <c r="A37" s="128">
        <v>15</v>
      </c>
      <c r="B37" s="129" t="s">
        <v>383</v>
      </c>
      <c r="C37" s="130">
        <v>45808</v>
      </c>
      <c r="D37" s="130">
        <v>45828</v>
      </c>
      <c r="E37" s="190"/>
    </row>
    <row r="38" spans="1:5" s="131" customFormat="1" ht="32" x14ac:dyDescent="0.35">
      <c r="A38" s="137">
        <v>16</v>
      </c>
      <c r="B38" s="139" t="s">
        <v>384</v>
      </c>
      <c r="C38" s="138">
        <v>45719</v>
      </c>
      <c r="D38" s="138" t="s">
        <v>368</v>
      </c>
      <c r="E38" s="152" t="s">
        <v>420</v>
      </c>
    </row>
    <row r="39" spans="1:5" s="131" customFormat="1" x14ac:dyDescent="0.35">
      <c r="A39" s="144">
        <v>17</v>
      </c>
      <c r="B39" s="145" t="s">
        <v>385</v>
      </c>
      <c r="C39" s="146">
        <v>45762</v>
      </c>
      <c r="D39" s="146"/>
      <c r="E39" s="183" t="s">
        <v>419</v>
      </c>
    </row>
    <row r="40" spans="1:5" s="131" customFormat="1" x14ac:dyDescent="0.35">
      <c r="A40" s="128">
        <v>18</v>
      </c>
      <c r="B40" s="129" t="s">
        <v>386</v>
      </c>
      <c r="C40" s="130">
        <v>45772</v>
      </c>
      <c r="D40" s="130">
        <v>45787</v>
      </c>
      <c r="E40" s="183" t="s">
        <v>422</v>
      </c>
    </row>
    <row r="41" spans="1:5" s="131" customFormat="1" ht="32" x14ac:dyDescent="0.35">
      <c r="A41" s="144">
        <v>19</v>
      </c>
      <c r="B41" s="145" t="s">
        <v>387</v>
      </c>
      <c r="C41" s="146">
        <v>45772</v>
      </c>
      <c r="D41" s="146"/>
      <c r="E41" s="183" t="s">
        <v>427</v>
      </c>
    </row>
    <row r="42" spans="1:5" s="131" customFormat="1" ht="32" x14ac:dyDescent="0.35">
      <c r="A42" s="128">
        <v>20</v>
      </c>
      <c r="B42" s="129" t="s">
        <v>388</v>
      </c>
      <c r="C42" s="130">
        <v>45797</v>
      </c>
      <c r="D42" s="130">
        <v>45814</v>
      </c>
      <c r="E42" s="190"/>
    </row>
    <row r="43" spans="1:5" s="131" customFormat="1" x14ac:dyDescent="0.35">
      <c r="A43" s="128">
        <v>19</v>
      </c>
      <c r="B43" s="129" t="s">
        <v>396</v>
      </c>
      <c r="C43" s="130"/>
      <c r="D43" s="130"/>
      <c r="E43" s="183" t="s">
        <v>442</v>
      </c>
    </row>
    <row r="44" spans="1:5" s="131" customFormat="1" ht="32" x14ac:dyDescent="0.35">
      <c r="A44" s="128">
        <v>20</v>
      </c>
      <c r="B44" s="129" t="s">
        <v>397</v>
      </c>
      <c r="C44" s="130"/>
      <c r="D44" s="130"/>
      <c r="E44" s="183" t="s">
        <v>442</v>
      </c>
    </row>
    <row r="45" spans="1:5" s="131" customFormat="1" ht="32" x14ac:dyDescent="0.35">
      <c r="A45" s="132" t="s">
        <v>316</v>
      </c>
      <c r="B45" s="132" t="s">
        <v>392</v>
      </c>
      <c r="C45" s="132" t="s">
        <v>305</v>
      </c>
      <c r="D45" s="132" t="s">
        <v>391</v>
      </c>
      <c r="E45" s="132" t="s">
        <v>301</v>
      </c>
    </row>
    <row r="46" spans="1:5" x14ac:dyDescent="0.4">
      <c r="A46" s="124">
        <v>1</v>
      </c>
      <c r="B46" s="125" t="s">
        <v>343</v>
      </c>
      <c r="C46" s="126">
        <v>45785</v>
      </c>
      <c r="D46" s="126">
        <v>45956</v>
      </c>
      <c r="E46" s="140"/>
    </row>
    <row r="47" spans="1:5" x14ac:dyDescent="0.4">
      <c r="A47" s="124">
        <v>2</v>
      </c>
      <c r="B47" s="125" t="s">
        <v>344</v>
      </c>
      <c r="C47" s="126">
        <v>45805</v>
      </c>
      <c r="D47" s="126">
        <v>45986</v>
      </c>
      <c r="E47" s="140"/>
    </row>
    <row r="48" spans="1:5" x14ac:dyDescent="0.4">
      <c r="A48" s="124">
        <v>3</v>
      </c>
      <c r="B48" s="125" t="s">
        <v>345</v>
      </c>
      <c r="C48" s="126">
        <v>45818</v>
      </c>
      <c r="D48" s="126">
        <v>45969</v>
      </c>
      <c r="E48" s="140"/>
    </row>
    <row r="49" spans="1:5" x14ac:dyDescent="0.4">
      <c r="A49" s="124">
        <v>4</v>
      </c>
      <c r="B49" s="125" t="s">
        <v>346</v>
      </c>
      <c r="C49" s="126">
        <v>45807</v>
      </c>
      <c r="D49" s="126">
        <v>45958</v>
      </c>
      <c r="E49" s="140"/>
    </row>
    <row r="50" spans="1:5" x14ac:dyDescent="0.4">
      <c r="A50" s="124">
        <v>5</v>
      </c>
      <c r="B50" s="125" t="s">
        <v>347</v>
      </c>
      <c r="C50" s="126">
        <v>45807</v>
      </c>
      <c r="D50" s="126">
        <v>45958</v>
      </c>
      <c r="E50" s="140"/>
    </row>
    <row r="51" spans="1:5" x14ac:dyDescent="0.4">
      <c r="A51" s="124">
        <v>6</v>
      </c>
      <c r="B51" s="125" t="s">
        <v>348</v>
      </c>
      <c r="C51" s="126">
        <v>45822</v>
      </c>
      <c r="D51" s="126">
        <v>45943</v>
      </c>
      <c r="E51" s="140"/>
    </row>
    <row r="52" spans="1:5" x14ac:dyDescent="0.4">
      <c r="A52" s="124">
        <v>7</v>
      </c>
      <c r="B52" s="125" t="s">
        <v>349</v>
      </c>
      <c r="C52" s="126">
        <v>45816</v>
      </c>
      <c r="D52" s="126">
        <v>45937</v>
      </c>
      <c r="E52" s="140"/>
    </row>
    <row r="53" spans="1:5" x14ac:dyDescent="0.4">
      <c r="A53" s="124">
        <v>8</v>
      </c>
      <c r="B53" s="125" t="s">
        <v>350</v>
      </c>
      <c r="C53" s="126">
        <v>45799</v>
      </c>
      <c r="D53" s="126">
        <v>45919</v>
      </c>
      <c r="E53" s="140"/>
    </row>
    <row r="54" spans="1:5" x14ac:dyDescent="0.4">
      <c r="A54" s="124">
        <v>9</v>
      </c>
      <c r="B54" s="125" t="s">
        <v>352</v>
      </c>
      <c r="C54" s="126">
        <v>45790</v>
      </c>
      <c r="D54" s="126">
        <v>45910</v>
      </c>
      <c r="E54" s="140"/>
    </row>
    <row r="55" spans="1:5" x14ac:dyDescent="0.4">
      <c r="A55" s="124">
        <v>10</v>
      </c>
      <c r="B55" s="125" t="s">
        <v>353</v>
      </c>
      <c r="C55" s="126">
        <v>45815</v>
      </c>
      <c r="D55" s="126">
        <v>45936</v>
      </c>
      <c r="E55" s="140"/>
    </row>
    <row r="56" spans="1:5" x14ac:dyDescent="0.4">
      <c r="A56" s="124">
        <v>11</v>
      </c>
      <c r="B56" s="125" t="s">
        <v>354</v>
      </c>
      <c r="C56" s="126">
        <v>45801</v>
      </c>
      <c r="D56" s="126">
        <v>45921</v>
      </c>
      <c r="E56" s="140"/>
    </row>
    <row r="57" spans="1:5" x14ac:dyDescent="0.4">
      <c r="A57" s="124">
        <v>12</v>
      </c>
      <c r="B57" s="125" t="s">
        <v>355</v>
      </c>
      <c r="C57" s="126">
        <v>45793</v>
      </c>
      <c r="D57" s="126">
        <v>45913</v>
      </c>
      <c r="E57" s="140"/>
    </row>
    <row r="58" spans="1:5" x14ac:dyDescent="0.4">
      <c r="A58" s="124">
        <v>13</v>
      </c>
      <c r="B58" s="125" t="s">
        <v>356</v>
      </c>
      <c r="C58" s="126">
        <v>45815</v>
      </c>
      <c r="D58" s="126">
        <v>45936</v>
      </c>
      <c r="E58" s="140"/>
    </row>
    <row r="59" spans="1:5" x14ac:dyDescent="0.4">
      <c r="A59" s="124">
        <v>14</v>
      </c>
      <c r="B59" s="125" t="s">
        <v>357</v>
      </c>
      <c r="C59" s="126">
        <v>45807</v>
      </c>
      <c r="D59" s="126">
        <v>45927</v>
      </c>
      <c r="E59" s="140"/>
    </row>
    <row r="60" spans="1:5" x14ac:dyDescent="0.4">
      <c r="A60" s="124">
        <v>15</v>
      </c>
      <c r="B60" s="125" t="s">
        <v>358</v>
      </c>
      <c r="C60" s="126">
        <v>45807</v>
      </c>
      <c r="D60" s="126">
        <v>45927</v>
      </c>
      <c r="E60" s="140"/>
    </row>
    <row r="61" spans="1:5" x14ac:dyDescent="0.4">
      <c r="A61" s="124">
        <v>16</v>
      </c>
      <c r="B61" s="125" t="s">
        <v>359</v>
      </c>
      <c r="C61" s="126">
        <v>45807</v>
      </c>
      <c r="D61" s="126">
        <v>45927</v>
      </c>
      <c r="E61" s="140"/>
    </row>
    <row r="62" spans="1:5" x14ac:dyDescent="0.4">
      <c r="A62" s="124">
        <v>17</v>
      </c>
      <c r="B62" s="125" t="s">
        <v>360</v>
      </c>
      <c r="C62" s="126">
        <v>45815</v>
      </c>
      <c r="D62" s="126">
        <v>45936</v>
      </c>
      <c r="E62" s="140"/>
    </row>
    <row r="63" spans="1:5" x14ac:dyDescent="0.4">
      <c r="A63" s="124">
        <v>18</v>
      </c>
      <c r="B63" s="125" t="s">
        <v>361</v>
      </c>
      <c r="C63" s="126">
        <v>45822</v>
      </c>
      <c r="D63" s="126">
        <v>45943</v>
      </c>
      <c r="E63" s="140"/>
    </row>
    <row r="64" spans="1:5" x14ac:dyDescent="0.4">
      <c r="A64" s="124">
        <v>19</v>
      </c>
      <c r="B64" s="125" t="s">
        <v>362</v>
      </c>
      <c r="C64" s="126">
        <v>45841</v>
      </c>
      <c r="D64" s="126">
        <v>45992</v>
      </c>
      <c r="E64" s="140"/>
    </row>
    <row r="65" spans="1:5" s="131" customFormat="1" ht="32" x14ac:dyDescent="0.35">
      <c r="A65" s="128">
        <v>20</v>
      </c>
      <c r="B65" s="129" t="s">
        <v>363</v>
      </c>
      <c r="C65" s="130">
        <v>45902</v>
      </c>
      <c r="D65" s="130">
        <v>46022</v>
      </c>
      <c r="E65" s="18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2892-22B2-4A5E-81B0-20FA9F4CE20E}">
  <dimension ref="A1:G7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4" sqref="F4"/>
    </sheetView>
  </sheetViews>
  <sheetFormatPr defaultColWidth="9.1796875" defaultRowHeight="13" x14ac:dyDescent="0.3"/>
  <cols>
    <col min="1" max="1" width="16.81640625" style="100" customWidth="1"/>
    <col min="2" max="3" width="14.453125" style="100" customWidth="1"/>
    <col min="4" max="4" width="43.7265625" style="101" customWidth="1"/>
    <col min="5" max="5" width="10.453125" style="100" customWidth="1"/>
    <col min="6" max="6" width="21.81640625" style="101" customWidth="1"/>
    <col min="7" max="7" width="18.453125" style="100" customWidth="1"/>
    <col min="8" max="16384" width="9.1796875" style="100"/>
  </cols>
  <sheetData>
    <row r="1" spans="1:7" ht="18.5" x14ac:dyDescent="0.45">
      <c r="A1" s="511" t="s">
        <v>297</v>
      </c>
      <c r="B1" s="512"/>
      <c r="C1" s="512"/>
      <c r="D1" s="512"/>
      <c r="E1" s="512"/>
      <c r="F1" s="513"/>
    </row>
    <row r="2" spans="1:7" ht="28.5" customHeight="1" x14ac:dyDescent="0.3">
      <c r="A2" s="102" t="s">
        <v>298</v>
      </c>
      <c r="B2" s="102" t="s">
        <v>299</v>
      </c>
      <c r="C2" s="102" t="s">
        <v>300</v>
      </c>
      <c r="D2" s="102" t="s">
        <v>0</v>
      </c>
      <c r="E2" s="102" t="s">
        <v>301</v>
      </c>
      <c r="F2" s="102" t="s">
        <v>302</v>
      </c>
      <c r="G2" s="111"/>
    </row>
    <row r="3" spans="1:7" x14ac:dyDescent="0.3">
      <c r="A3" s="103">
        <v>1</v>
      </c>
      <c r="B3" s="104"/>
      <c r="C3" s="105"/>
      <c r="D3" s="106"/>
      <c r="E3" s="107"/>
      <c r="F3" s="105"/>
      <c r="G3" s="112"/>
    </row>
    <row r="4" spans="1:7" x14ac:dyDescent="0.3">
      <c r="A4" s="103">
        <f>A3+1</f>
        <v>2</v>
      </c>
      <c r="B4" s="104"/>
      <c r="C4" s="105"/>
      <c r="D4" s="106"/>
      <c r="E4" s="107"/>
      <c r="F4" s="105"/>
      <c r="G4" s="112"/>
    </row>
    <row r="5" spans="1:7" x14ac:dyDescent="0.3">
      <c r="A5" s="103">
        <f>A4+1</f>
        <v>3</v>
      </c>
      <c r="B5" s="104"/>
      <c r="C5" s="105"/>
      <c r="D5" s="106"/>
      <c r="E5" s="107"/>
      <c r="F5" s="105"/>
      <c r="G5" s="112"/>
    </row>
    <row r="6" spans="1:7" x14ac:dyDescent="0.3">
      <c r="A6" s="103">
        <f>A5+1</f>
        <v>4</v>
      </c>
      <c r="B6" s="104"/>
      <c r="C6" s="105"/>
      <c r="D6" s="106"/>
      <c r="E6" s="107"/>
      <c r="F6" s="105"/>
      <c r="G6" s="112"/>
    </row>
    <row r="7" spans="1:7" x14ac:dyDescent="0.3">
      <c r="A7" s="103">
        <f t="shared" ref="A7:A70" si="0">A6+1</f>
        <v>5</v>
      </c>
      <c r="B7" s="104"/>
      <c r="C7" s="105"/>
      <c r="D7" s="106"/>
      <c r="E7" s="107"/>
      <c r="F7" s="105"/>
      <c r="G7" s="112"/>
    </row>
    <row r="8" spans="1:7" x14ac:dyDescent="0.3">
      <c r="A8" s="103">
        <f t="shared" si="0"/>
        <v>6</v>
      </c>
      <c r="B8" s="104"/>
      <c r="C8" s="105"/>
      <c r="D8" s="106"/>
      <c r="E8" s="107"/>
      <c r="F8" s="105"/>
      <c r="G8" s="112"/>
    </row>
    <row r="9" spans="1:7" x14ac:dyDescent="0.3">
      <c r="A9" s="103">
        <f t="shared" si="0"/>
        <v>7</v>
      </c>
      <c r="B9" s="104"/>
      <c r="C9" s="105"/>
      <c r="D9" s="106"/>
      <c r="E9" s="107"/>
      <c r="F9" s="105"/>
      <c r="G9" s="112"/>
    </row>
    <row r="10" spans="1:7" x14ac:dyDescent="0.3">
      <c r="A10" s="103">
        <f t="shared" si="0"/>
        <v>8</v>
      </c>
      <c r="B10" s="104"/>
      <c r="C10" s="105"/>
      <c r="D10" s="106"/>
      <c r="E10" s="107"/>
      <c r="F10" s="105"/>
      <c r="G10" s="112"/>
    </row>
    <row r="11" spans="1:7" x14ac:dyDescent="0.3">
      <c r="A11" s="103">
        <f t="shared" si="0"/>
        <v>9</v>
      </c>
      <c r="B11" s="104"/>
      <c r="C11" s="105"/>
      <c r="D11" s="106"/>
      <c r="E11" s="107"/>
      <c r="F11" s="105"/>
      <c r="G11" s="112"/>
    </row>
    <row r="12" spans="1:7" x14ac:dyDescent="0.3">
      <c r="A12" s="103">
        <f t="shared" si="0"/>
        <v>10</v>
      </c>
      <c r="B12" s="104"/>
      <c r="C12" s="105"/>
      <c r="D12" s="106"/>
      <c r="E12" s="107"/>
      <c r="F12" s="105"/>
      <c r="G12" s="112"/>
    </row>
    <row r="13" spans="1:7" x14ac:dyDescent="0.3">
      <c r="A13" s="103">
        <f t="shared" si="0"/>
        <v>11</v>
      </c>
      <c r="B13" s="104"/>
      <c r="C13" s="105"/>
      <c r="D13" s="106"/>
      <c r="E13" s="107"/>
      <c r="F13" s="105"/>
      <c r="G13" s="112"/>
    </row>
    <row r="14" spans="1:7" x14ac:dyDescent="0.3">
      <c r="A14" s="103">
        <f t="shared" si="0"/>
        <v>12</v>
      </c>
      <c r="B14" s="104"/>
      <c r="C14" s="105"/>
      <c r="D14" s="106"/>
      <c r="E14" s="107"/>
      <c r="F14" s="105"/>
      <c r="G14" s="112"/>
    </row>
    <row r="15" spans="1:7" x14ac:dyDescent="0.3">
      <c r="A15" s="103">
        <f t="shared" si="0"/>
        <v>13</v>
      </c>
      <c r="B15" s="104"/>
      <c r="C15" s="105"/>
      <c r="D15" s="106"/>
      <c r="E15" s="107"/>
      <c r="F15" s="105"/>
      <c r="G15" s="112"/>
    </row>
    <row r="16" spans="1:7" x14ac:dyDescent="0.3">
      <c r="A16" s="103">
        <f t="shared" si="0"/>
        <v>14</v>
      </c>
      <c r="B16" s="104"/>
      <c r="C16" s="105"/>
      <c r="D16" s="106"/>
      <c r="E16" s="107"/>
      <c r="F16" s="105"/>
      <c r="G16" s="112"/>
    </row>
    <row r="17" spans="1:7" x14ac:dyDescent="0.3">
      <c r="A17" s="103">
        <f t="shared" si="0"/>
        <v>15</v>
      </c>
      <c r="B17" s="104"/>
      <c r="C17" s="105"/>
      <c r="D17" s="106"/>
      <c r="E17" s="107"/>
      <c r="F17" s="105"/>
      <c r="G17" s="112"/>
    </row>
    <row r="18" spans="1:7" x14ac:dyDescent="0.3">
      <c r="A18" s="103">
        <f t="shared" si="0"/>
        <v>16</v>
      </c>
      <c r="B18" s="104"/>
      <c r="C18" s="105"/>
      <c r="D18" s="106"/>
      <c r="E18" s="107"/>
      <c r="F18" s="105"/>
      <c r="G18" s="112"/>
    </row>
    <row r="19" spans="1:7" x14ac:dyDescent="0.3">
      <c r="A19" s="103">
        <f t="shared" si="0"/>
        <v>17</v>
      </c>
      <c r="B19" s="104"/>
      <c r="C19" s="105"/>
      <c r="D19" s="106"/>
      <c r="E19" s="107"/>
      <c r="F19" s="103"/>
    </row>
    <row r="20" spans="1:7" x14ac:dyDescent="0.3">
      <c r="A20" s="103">
        <f t="shared" si="0"/>
        <v>18</v>
      </c>
      <c r="B20" s="104"/>
      <c r="C20" s="105"/>
      <c r="D20" s="106"/>
      <c r="E20" s="107"/>
      <c r="F20" s="103"/>
    </row>
    <row r="21" spans="1:7" x14ac:dyDescent="0.3">
      <c r="A21" s="103">
        <f t="shared" si="0"/>
        <v>19</v>
      </c>
      <c r="B21" s="104"/>
      <c r="C21" s="105"/>
      <c r="D21" s="106"/>
      <c r="E21" s="107"/>
      <c r="F21" s="103"/>
    </row>
    <row r="22" spans="1:7" x14ac:dyDescent="0.3">
      <c r="A22" s="103">
        <f t="shared" si="0"/>
        <v>20</v>
      </c>
      <c r="B22" s="104"/>
      <c r="C22" s="105"/>
      <c r="D22" s="106"/>
      <c r="E22" s="107"/>
      <c r="F22" s="103"/>
    </row>
    <row r="23" spans="1:7" x14ac:dyDescent="0.3">
      <c r="A23" s="103">
        <f t="shared" si="0"/>
        <v>21</v>
      </c>
      <c r="B23" s="104"/>
      <c r="C23" s="105"/>
      <c r="D23" s="106"/>
      <c r="E23" s="107"/>
      <c r="F23" s="103"/>
    </row>
    <row r="24" spans="1:7" x14ac:dyDescent="0.3">
      <c r="A24" s="103">
        <f t="shared" si="0"/>
        <v>22</v>
      </c>
      <c r="B24" s="104"/>
      <c r="C24" s="105"/>
      <c r="D24" s="106"/>
      <c r="E24" s="107"/>
      <c r="F24" s="103"/>
    </row>
    <row r="25" spans="1:7" x14ac:dyDescent="0.3">
      <c r="A25" s="103">
        <f t="shared" si="0"/>
        <v>23</v>
      </c>
      <c r="B25" s="104"/>
      <c r="C25" s="105"/>
      <c r="D25" s="106"/>
      <c r="E25" s="107"/>
      <c r="F25" s="103"/>
    </row>
    <row r="26" spans="1:7" x14ac:dyDescent="0.3">
      <c r="A26" s="103">
        <f t="shared" si="0"/>
        <v>24</v>
      </c>
      <c r="B26" s="104"/>
      <c r="C26" s="105"/>
      <c r="D26" s="106"/>
      <c r="E26" s="107"/>
      <c r="F26" s="103"/>
    </row>
    <row r="27" spans="1:7" x14ac:dyDescent="0.3">
      <c r="A27" s="103">
        <f t="shared" si="0"/>
        <v>25</v>
      </c>
      <c r="B27" s="104"/>
      <c r="C27" s="105"/>
      <c r="D27" s="106"/>
      <c r="E27" s="107"/>
      <c r="F27" s="103"/>
    </row>
    <row r="28" spans="1:7" x14ac:dyDescent="0.3">
      <c r="A28" s="103">
        <f t="shared" si="0"/>
        <v>26</v>
      </c>
      <c r="B28" s="104"/>
      <c r="C28" s="105"/>
      <c r="D28" s="106"/>
      <c r="E28" s="107"/>
      <c r="F28" s="103"/>
    </row>
    <row r="29" spans="1:7" x14ac:dyDescent="0.3">
      <c r="A29" s="103">
        <f t="shared" si="0"/>
        <v>27</v>
      </c>
      <c r="B29" s="104"/>
      <c r="C29" s="105"/>
      <c r="D29" s="106"/>
      <c r="E29" s="107"/>
      <c r="F29" s="103"/>
    </row>
    <row r="30" spans="1:7" x14ac:dyDescent="0.3">
      <c r="A30" s="103">
        <f t="shared" si="0"/>
        <v>28</v>
      </c>
      <c r="B30" s="104"/>
      <c r="C30" s="105"/>
      <c r="D30" s="106"/>
      <c r="E30" s="107"/>
      <c r="F30" s="103"/>
    </row>
    <row r="31" spans="1:7" x14ac:dyDescent="0.3">
      <c r="A31" s="103">
        <f t="shared" si="0"/>
        <v>29</v>
      </c>
      <c r="B31" s="104"/>
      <c r="C31" s="105"/>
      <c r="D31" s="106"/>
      <c r="E31" s="107"/>
      <c r="F31" s="103"/>
    </row>
    <row r="32" spans="1:7" x14ac:dyDescent="0.3">
      <c r="A32" s="103">
        <f t="shared" si="0"/>
        <v>30</v>
      </c>
      <c r="B32" s="104"/>
      <c r="C32" s="105"/>
      <c r="D32" s="106"/>
      <c r="E32" s="107"/>
      <c r="F32" s="103"/>
    </row>
    <row r="33" spans="1:6" x14ac:dyDescent="0.3">
      <c r="A33" s="103">
        <f t="shared" si="0"/>
        <v>31</v>
      </c>
      <c r="B33" s="104"/>
      <c r="C33" s="105"/>
      <c r="D33" s="106"/>
      <c r="E33" s="107"/>
      <c r="F33" s="103"/>
    </row>
    <row r="34" spans="1:6" x14ac:dyDescent="0.3">
      <c r="A34" s="103">
        <f t="shared" si="0"/>
        <v>32</v>
      </c>
      <c r="B34" s="104"/>
      <c r="C34" s="105"/>
      <c r="D34" s="106"/>
      <c r="E34" s="107"/>
      <c r="F34" s="103"/>
    </row>
    <row r="35" spans="1:6" x14ac:dyDescent="0.3">
      <c r="A35" s="103">
        <f t="shared" si="0"/>
        <v>33</v>
      </c>
      <c r="B35" s="104"/>
      <c r="C35" s="105"/>
      <c r="D35" s="106"/>
      <c r="E35" s="107"/>
      <c r="F35" s="103"/>
    </row>
    <row r="36" spans="1:6" x14ac:dyDescent="0.3">
      <c r="A36" s="103">
        <f t="shared" si="0"/>
        <v>34</v>
      </c>
      <c r="B36" s="104"/>
      <c r="C36" s="105"/>
      <c r="D36" s="106"/>
      <c r="E36" s="107"/>
      <c r="F36" s="103"/>
    </row>
    <row r="37" spans="1:6" x14ac:dyDescent="0.3">
      <c r="A37" s="103">
        <f t="shared" si="0"/>
        <v>35</v>
      </c>
      <c r="B37" s="104"/>
      <c r="C37" s="105"/>
      <c r="D37" s="106"/>
      <c r="E37" s="107"/>
      <c r="F37" s="103"/>
    </row>
    <row r="38" spans="1:6" x14ac:dyDescent="0.3">
      <c r="A38" s="103">
        <f t="shared" si="0"/>
        <v>36</v>
      </c>
      <c r="B38" s="104"/>
      <c r="C38" s="105"/>
      <c r="D38" s="106"/>
      <c r="E38" s="108"/>
      <c r="F38" s="103"/>
    </row>
    <row r="39" spans="1:6" x14ac:dyDescent="0.3">
      <c r="A39" s="103">
        <f t="shared" si="0"/>
        <v>37</v>
      </c>
      <c r="B39" s="104"/>
      <c r="C39" s="105"/>
      <c r="D39" s="106"/>
      <c r="E39" s="107"/>
      <c r="F39" s="103"/>
    </row>
    <row r="40" spans="1:6" x14ac:dyDescent="0.3">
      <c r="A40" s="103">
        <f t="shared" si="0"/>
        <v>38</v>
      </c>
      <c r="B40" s="104"/>
      <c r="C40" s="105"/>
      <c r="D40" s="106"/>
      <c r="E40" s="107"/>
      <c r="F40" s="103"/>
    </row>
    <row r="41" spans="1:6" x14ac:dyDescent="0.3">
      <c r="A41" s="103">
        <f t="shared" si="0"/>
        <v>39</v>
      </c>
      <c r="B41" s="104"/>
      <c r="C41" s="105"/>
      <c r="D41" s="106"/>
      <c r="E41" s="107"/>
      <c r="F41" s="103"/>
    </row>
    <row r="42" spans="1:6" x14ac:dyDescent="0.3">
      <c r="A42" s="103">
        <f t="shared" si="0"/>
        <v>40</v>
      </c>
      <c r="B42" s="104"/>
      <c r="C42" s="105"/>
      <c r="D42" s="106"/>
      <c r="E42" s="107"/>
      <c r="F42" s="103"/>
    </row>
    <row r="43" spans="1:6" x14ac:dyDescent="0.3">
      <c r="A43" s="103">
        <f t="shared" si="0"/>
        <v>41</v>
      </c>
      <c r="B43" s="104"/>
      <c r="C43" s="105"/>
      <c r="D43" s="106"/>
      <c r="E43" s="108"/>
      <c r="F43" s="103"/>
    </row>
    <row r="44" spans="1:6" x14ac:dyDescent="0.3">
      <c r="A44" s="103">
        <f t="shared" si="0"/>
        <v>42</v>
      </c>
      <c r="B44" s="104"/>
      <c r="C44" s="105"/>
      <c r="D44" s="106"/>
      <c r="E44" s="108"/>
      <c r="F44" s="103"/>
    </row>
    <row r="45" spans="1:6" x14ac:dyDescent="0.3">
      <c r="A45" s="103">
        <f t="shared" si="0"/>
        <v>43</v>
      </c>
      <c r="B45" s="104"/>
      <c r="C45" s="105"/>
      <c r="D45" s="106"/>
      <c r="E45" s="108"/>
      <c r="F45" s="103"/>
    </row>
    <row r="46" spans="1:6" x14ac:dyDescent="0.3">
      <c r="A46" s="103">
        <f t="shared" si="0"/>
        <v>44</v>
      </c>
      <c r="B46" s="104"/>
      <c r="C46" s="105"/>
      <c r="D46" s="106"/>
      <c r="E46" s="108"/>
      <c r="F46" s="103"/>
    </row>
    <row r="47" spans="1:6" x14ac:dyDescent="0.3">
      <c r="A47" s="103">
        <f t="shared" si="0"/>
        <v>45</v>
      </c>
      <c r="B47" s="104"/>
      <c r="C47" s="105"/>
      <c r="D47" s="106"/>
      <c r="E47" s="108"/>
      <c r="F47" s="103"/>
    </row>
    <row r="48" spans="1:6" x14ac:dyDescent="0.3">
      <c r="A48" s="103">
        <f t="shared" si="0"/>
        <v>46</v>
      </c>
      <c r="B48" s="104"/>
      <c r="C48" s="105"/>
      <c r="D48" s="106"/>
      <c r="E48" s="108"/>
      <c r="F48" s="103"/>
    </row>
    <row r="49" spans="1:6" x14ac:dyDescent="0.3">
      <c r="A49" s="103">
        <f t="shared" si="0"/>
        <v>47</v>
      </c>
      <c r="B49" s="104"/>
      <c r="C49" s="105"/>
      <c r="D49" s="106"/>
      <c r="E49" s="108"/>
      <c r="F49" s="103"/>
    </row>
    <row r="50" spans="1:6" x14ac:dyDescent="0.3">
      <c r="A50" s="103">
        <f t="shared" si="0"/>
        <v>48</v>
      </c>
      <c r="B50" s="104"/>
      <c r="C50" s="105"/>
      <c r="D50" s="106"/>
      <c r="E50" s="108"/>
      <c r="F50" s="103"/>
    </row>
    <row r="51" spans="1:6" x14ac:dyDescent="0.3">
      <c r="A51" s="103">
        <f t="shared" si="0"/>
        <v>49</v>
      </c>
      <c r="B51" s="104"/>
      <c r="C51" s="105"/>
      <c r="D51" s="106"/>
      <c r="E51" s="108"/>
      <c r="F51" s="103"/>
    </row>
    <row r="52" spans="1:6" x14ac:dyDescent="0.3">
      <c r="A52" s="103">
        <f t="shared" si="0"/>
        <v>50</v>
      </c>
      <c r="B52" s="104"/>
      <c r="C52" s="105"/>
      <c r="D52" s="106"/>
      <c r="E52" s="108"/>
      <c r="F52" s="103"/>
    </row>
    <row r="53" spans="1:6" x14ac:dyDescent="0.3">
      <c r="A53" s="103">
        <f t="shared" si="0"/>
        <v>51</v>
      </c>
      <c r="B53" s="104"/>
      <c r="C53" s="105"/>
      <c r="D53" s="106"/>
      <c r="E53" s="108"/>
      <c r="F53" s="103"/>
    </row>
    <row r="54" spans="1:6" x14ac:dyDescent="0.3">
      <c r="A54" s="103">
        <f t="shared" si="0"/>
        <v>52</v>
      </c>
      <c r="B54" s="104"/>
      <c r="C54" s="105"/>
      <c r="D54" s="106"/>
      <c r="E54" s="108"/>
      <c r="F54" s="103"/>
    </row>
    <row r="55" spans="1:6" x14ac:dyDescent="0.3">
      <c r="A55" s="103">
        <f t="shared" si="0"/>
        <v>53</v>
      </c>
      <c r="B55" s="104"/>
      <c r="C55" s="105"/>
      <c r="D55" s="106"/>
      <c r="E55" s="108"/>
      <c r="F55" s="103"/>
    </row>
    <row r="56" spans="1:6" x14ac:dyDescent="0.3">
      <c r="A56" s="103">
        <f t="shared" si="0"/>
        <v>54</v>
      </c>
      <c r="B56" s="104"/>
      <c r="C56" s="105"/>
      <c r="D56" s="106"/>
      <c r="E56" s="108"/>
      <c r="F56" s="103"/>
    </row>
    <row r="57" spans="1:6" x14ac:dyDescent="0.3">
      <c r="A57" s="103">
        <f t="shared" si="0"/>
        <v>55</v>
      </c>
      <c r="B57" s="104"/>
      <c r="C57" s="105"/>
      <c r="D57" s="106"/>
      <c r="E57" s="108"/>
      <c r="F57" s="103"/>
    </row>
    <row r="58" spans="1:6" x14ac:dyDescent="0.3">
      <c r="A58" s="103">
        <f t="shared" si="0"/>
        <v>56</v>
      </c>
      <c r="B58" s="104"/>
      <c r="C58" s="105"/>
      <c r="D58" s="106"/>
      <c r="E58" s="108"/>
      <c r="F58" s="103"/>
    </row>
    <row r="59" spans="1:6" x14ac:dyDescent="0.3">
      <c r="A59" s="103">
        <f t="shared" si="0"/>
        <v>57</v>
      </c>
      <c r="B59" s="104"/>
      <c r="C59" s="105"/>
      <c r="D59" s="106"/>
      <c r="E59" s="108"/>
      <c r="F59" s="103"/>
    </row>
    <row r="60" spans="1:6" x14ac:dyDescent="0.3">
      <c r="A60" s="103">
        <f t="shared" si="0"/>
        <v>58</v>
      </c>
      <c r="B60" s="104"/>
      <c r="C60" s="105"/>
      <c r="D60" s="106"/>
      <c r="E60" s="108"/>
      <c r="F60" s="103"/>
    </row>
    <row r="61" spans="1:6" x14ac:dyDescent="0.3">
      <c r="A61" s="103">
        <f t="shared" si="0"/>
        <v>59</v>
      </c>
      <c r="B61" s="104"/>
      <c r="C61" s="105"/>
      <c r="D61" s="106"/>
      <c r="E61" s="108"/>
      <c r="F61" s="103"/>
    </row>
    <row r="62" spans="1:6" x14ac:dyDescent="0.3">
      <c r="A62" s="103">
        <f t="shared" si="0"/>
        <v>60</v>
      </c>
      <c r="B62" s="104"/>
      <c r="C62" s="105"/>
      <c r="D62" s="106"/>
      <c r="E62" s="108"/>
      <c r="F62" s="103"/>
    </row>
    <row r="63" spans="1:6" x14ac:dyDescent="0.3">
      <c r="A63" s="103">
        <f t="shared" si="0"/>
        <v>61</v>
      </c>
      <c r="B63" s="104"/>
      <c r="C63" s="105"/>
      <c r="D63" s="106"/>
      <c r="E63" s="108"/>
      <c r="F63" s="103"/>
    </row>
    <row r="64" spans="1:6" x14ac:dyDescent="0.3">
      <c r="A64" s="103">
        <f t="shared" si="0"/>
        <v>62</v>
      </c>
      <c r="B64" s="104"/>
      <c r="C64" s="105"/>
      <c r="D64" s="106"/>
      <c r="E64" s="108"/>
      <c r="F64" s="103"/>
    </row>
    <row r="65" spans="1:6" x14ac:dyDescent="0.3">
      <c r="A65" s="103">
        <f t="shared" si="0"/>
        <v>63</v>
      </c>
      <c r="B65" s="104"/>
      <c r="C65" s="105"/>
      <c r="D65" s="106"/>
      <c r="E65" s="108"/>
      <c r="F65" s="103"/>
    </row>
    <row r="66" spans="1:6" x14ac:dyDescent="0.3">
      <c r="A66" s="103">
        <f t="shared" si="0"/>
        <v>64</v>
      </c>
      <c r="B66" s="104"/>
      <c r="C66" s="105"/>
      <c r="D66" s="106"/>
      <c r="E66" s="108"/>
      <c r="F66" s="103"/>
    </row>
    <row r="67" spans="1:6" x14ac:dyDescent="0.3">
      <c r="A67" s="103">
        <f t="shared" si="0"/>
        <v>65</v>
      </c>
      <c r="B67" s="104"/>
      <c r="C67" s="105"/>
      <c r="D67" s="106"/>
      <c r="E67" s="108"/>
      <c r="F67" s="103"/>
    </row>
    <row r="68" spans="1:6" x14ac:dyDescent="0.3">
      <c r="A68" s="103">
        <f t="shared" si="0"/>
        <v>66</v>
      </c>
      <c r="B68" s="104"/>
      <c r="C68" s="105"/>
      <c r="D68" s="106"/>
      <c r="E68" s="108"/>
      <c r="F68" s="103"/>
    </row>
    <row r="69" spans="1:6" x14ac:dyDescent="0.3">
      <c r="A69" s="103">
        <f t="shared" si="0"/>
        <v>67</v>
      </c>
      <c r="B69" s="104"/>
      <c r="C69" s="105"/>
      <c r="D69" s="106"/>
      <c r="E69" s="108"/>
      <c r="F69" s="103"/>
    </row>
    <row r="70" spans="1:6" x14ac:dyDescent="0.3">
      <c r="A70" s="103">
        <f t="shared" si="0"/>
        <v>68</v>
      </c>
      <c r="B70" s="104"/>
      <c r="C70" s="105"/>
      <c r="D70" s="106"/>
      <c r="E70" s="108"/>
      <c r="F70" s="103"/>
    </row>
    <row r="71" spans="1:6" x14ac:dyDescent="0.3">
      <c r="A71" s="103">
        <f t="shared" ref="A71:A76" si="1">A70+1</f>
        <v>69</v>
      </c>
      <c r="B71" s="104"/>
      <c r="C71" s="105"/>
      <c r="D71" s="106"/>
      <c r="E71" s="108"/>
      <c r="F71" s="103"/>
    </row>
    <row r="72" spans="1:6" x14ac:dyDescent="0.3">
      <c r="A72" s="103">
        <f t="shared" si="1"/>
        <v>70</v>
      </c>
      <c r="B72" s="104"/>
      <c r="C72" s="105"/>
      <c r="D72" s="106"/>
      <c r="E72" s="108"/>
      <c r="F72" s="103"/>
    </row>
    <row r="73" spans="1:6" x14ac:dyDescent="0.3">
      <c r="A73" s="103">
        <f t="shared" si="1"/>
        <v>71</v>
      </c>
      <c r="B73" s="104"/>
      <c r="C73" s="105"/>
      <c r="D73" s="106"/>
      <c r="E73" s="108"/>
      <c r="F73" s="103"/>
    </row>
    <row r="74" spans="1:6" x14ac:dyDescent="0.3">
      <c r="A74" s="103">
        <f t="shared" si="1"/>
        <v>72</v>
      </c>
      <c r="B74" s="104"/>
      <c r="C74" s="105"/>
      <c r="D74" s="106"/>
      <c r="E74" s="108"/>
      <c r="F74" s="103"/>
    </row>
    <row r="75" spans="1:6" x14ac:dyDescent="0.3">
      <c r="A75" s="103">
        <f t="shared" si="1"/>
        <v>73</v>
      </c>
      <c r="B75" s="104"/>
      <c r="C75" s="105"/>
      <c r="D75" s="106"/>
      <c r="E75" s="108"/>
      <c r="F75" s="103"/>
    </row>
    <row r="76" spans="1:6" x14ac:dyDescent="0.3">
      <c r="A76" s="103">
        <f t="shared" si="1"/>
        <v>74</v>
      </c>
      <c r="B76" s="104"/>
      <c r="C76" s="105"/>
      <c r="D76" s="106"/>
      <c r="E76" s="108"/>
      <c r="F76" s="103"/>
    </row>
    <row r="77" spans="1:6" ht="16" x14ac:dyDescent="0.4">
      <c r="A77" s="109" t="s">
        <v>303</v>
      </c>
      <c r="B77" s="109">
        <f>COUNT(B3:B76)</f>
        <v>0</v>
      </c>
      <c r="C77" s="108"/>
      <c r="D77" s="103"/>
      <c r="E77" s="108"/>
      <c r="F77" s="110">
        <f>SUM(F3:F76)</f>
        <v>0</v>
      </c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56A2-7511-42F6-A270-41F39C5B78D3}">
  <dimension ref="B1:BL165"/>
  <sheetViews>
    <sheetView topLeftCell="B1" zoomScale="73" zoomScaleNormal="130" workbookViewId="0">
      <pane xSplit="15" ySplit="3" topLeftCell="Q4" activePane="bottomRight" state="frozen"/>
      <selection activeCell="B1" sqref="B1"/>
      <selection pane="topRight" activeCell="Q1" sqref="Q1"/>
      <selection pane="bottomLeft" activeCell="B4" sqref="B4"/>
      <selection pane="bottomRight" activeCell="AH19" sqref="AH19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28.54296875" style="57" customWidth="1"/>
    <col min="5" max="6" width="14.08984375" style="57" hidden="1" customWidth="1"/>
    <col min="7" max="7" width="17.6328125" style="57" hidden="1" customWidth="1"/>
    <col min="8" max="8" width="16" style="57" hidden="1" customWidth="1"/>
    <col min="9" max="9" width="5.1796875" style="22" bestFit="1" customWidth="1"/>
    <col min="10" max="10" width="6.6328125" style="54" bestFit="1" customWidth="1"/>
    <col min="11" max="11" width="13.81640625" style="55" hidden="1" customWidth="1"/>
    <col min="12" max="12" width="13.7265625" style="55" hidden="1" customWidth="1"/>
    <col min="13" max="13" width="9" style="22" hidden="1" customWidth="1"/>
    <col min="14" max="14" width="13.81640625" style="22" hidden="1" customWidth="1"/>
    <col min="15" max="15" width="12.453125" style="22" customWidth="1"/>
    <col min="16" max="16" width="8.81640625" style="54" bestFit="1" customWidth="1"/>
    <col min="17" max="17" width="7.6328125" style="54" bestFit="1" customWidth="1"/>
    <col min="18" max="18" width="6.7265625" style="54" bestFit="1" customWidth="1"/>
    <col min="19" max="19" width="12.26953125" style="56" bestFit="1" customWidth="1"/>
    <col min="20" max="25" width="4.90625" style="56" bestFit="1" customWidth="1"/>
    <col min="26" max="26" width="5.36328125" style="56" bestFit="1" customWidth="1"/>
    <col min="27" max="32" width="4.90625" style="56" bestFit="1" customWidth="1"/>
    <col min="33" max="33" width="5.36328125" style="56" bestFit="1" customWidth="1"/>
    <col min="34" max="39" width="4.90625" style="56" bestFit="1" customWidth="1"/>
    <col min="40" max="40" width="5.36328125" style="56" bestFit="1" customWidth="1"/>
    <col min="41" max="42" width="4.90625" style="56" bestFit="1" customWidth="1"/>
    <col min="43" max="43" width="6.6328125" style="56" bestFit="1" customWidth="1"/>
    <col min="44" max="58" width="11.7265625" style="56" bestFit="1" customWidth="1"/>
    <col min="59" max="64" width="13.54296875" style="56" bestFit="1" customWidth="1"/>
    <col min="65" max="16384" width="12.1796875" style="56"/>
  </cols>
  <sheetData>
    <row r="1" spans="2:64" x14ac:dyDescent="0.4">
      <c r="C1" s="52" t="s">
        <v>10</v>
      </c>
      <c r="D1" s="53">
        <f>'Construction DASHBOARD'!B6</f>
        <v>45815</v>
      </c>
      <c r="E1" s="121"/>
      <c r="F1" s="121"/>
      <c r="G1" s="121"/>
      <c r="H1" s="121"/>
      <c r="S1" s="159" t="s">
        <v>401</v>
      </c>
    </row>
    <row r="2" spans="2:64" s="22" customFormat="1" ht="72" customHeight="1" x14ac:dyDescent="0.35">
      <c r="B2" s="487" t="s">
        <v>96</v>
      </c>
      <c r="C2" s="488" t="s">
        <v>97</v>
      </c>
      <c r="D2" s="484" t="s">
        <v>98</v>
      </c>
      <c r="E2" s="494" t="s">
        <v>306</v>
      </c>
      <c r="F2" s="494" t="s">
        <v>307</v>
      </c>
      <c r="G2" s="494" t="s">
        <v>308</v>
      </c>
      <c r="H2" s="494" t="s">
        <v>309</v>
      </c>
      <c r="I2" s="488" t="s">
        <v>99</v>
      </c>
      <c r="J2" s="482" t="s">
        <v>1</v>
      </c>
      <c r="K2" s="514" t="s">
        <v>100</v>
      </c>
      <c r="L2" s="514" t="s">
        <v>101</v>
      </c>
      <c r="M2" s="484" t="s">
        <v>102</v>
      </c>
      <c r="N2" s="484" t="s">
        <v>103</v>
      </c>
      <c r="O2" s="484" t="s">
        <v>255</v>
      </c>
      <c r="P2" s="482" t="s">
        <v>104</v>
      </c>
      <c r="Q2" s="482" t="s">
        <v>105</v>
      </c>
      <c r="R2" s="483" t="s">
        <v>254</v>
      </c>
      <c r="S2" s="59">
        <v>45746</v>
      </c>
      <c r="T2" s="59">
        <v>45750</v>
      </c>
      <c r="U2" s="59">
        <v>45751</v>
      </c>
      <c r="V2" s="59">
        <v>45752</v>
      </c>
      <c r="W2" s="59">
        <v>45753</v>
      </c>
      <c r="X2" s="59">
        <v>45754</v>
      </c>
      <c r="Y2" s="59">
        <v>45755</v>
      </c>
      <c r="Z2" s="59">
        <v>45756</v>
      </c>
      <c r="AA2" s="59">
        <v>45757</v>
      </c>
      <c r="AB2" s="59">
        <v>45758</v>
      </c>
      <c r="AC2" s="59">
        <v>45759</v>
      </c>
      <c r="AD2" s="59">
        <v>45760</v>
      </c>
      <c r="AE2" s="59">
        <v>45761</v>
      </c>
      <c r="AF2" s="59">
        <v>45762</v>
      </c>
      <c r="AG2" s="59">
        <v>45763</v>
      </c>
      <c r="AH2" s="59">
        <v>45764</v>
      </c>
      <c r="AI2" s="59">
        <v>45765</v>
      </c>
      <c r="AJ2" s="59">
        <v>45766</v>
      </c>
      <c r="AK2" s="59">
        <v>45767</v>
      </c>
      <c r="AL2" s="59">
        <v>45768</v>
      </c>
      <c r="AM2" s="59">
        <v>45769</v>
      </c>
      <c r="AN2" s="59">
        <v>45770</v>
      </c>
      <c r="AO2" s="59">
        <v>45771</v>
      </c>
      <c r="AP2" s="59">
        <v>45772</v>
      </c>
      <c r="AQ2" s="59">
        <v>45773</v>
      </c>
      <c r="AR2" s="59">
        <v>45774</v>
      </c>
      <c r="AS2" s="59">
        <v>45775</v>
      </c>
      <c r="AT2" s="59">
        <v>45776</v>
      </c>
      <c r="AU2" s="59">
        <v>45777</v>
      </c>
      <c r="AV2" s="59">
        <v>45778</v>
      </c>
      <c r="AW2" s="59">
        <v>45779</v>
      </c>
      <c r="AX2" s="59">
        <v>45780</v>
      </c>
      <c r="AY2" s="59">
        <v>45781</v>
      </c>
      <c r="AZ2" s="59">
        <v>45782</v>
      </c>
      <c r="BA2" s="59">
        <v>45783</v>
      </c>
      <c r="BB2" s="59">
        <v>45784</v>
      </c>
      <c r="BC2" s="59">
        <v>45785</v>
      </c>
      <c r="BD2" s="59">
        <v>45786</v>
      </c>
      <c r="BE2" s="59">
        <v>45787</v>
      </c>
      <c r="BF2" s="59">
        <v>45788</v>
      </c>
      <c r="BG2" s="59">
        <v>45789</v>
      </c>
      <c r="BH2" s="59">
        <v>45790</v>
      </c>
      <c r="BI2" s="59">
        <v>45791</v>
      </c>
      <c r="BJ2" s="59">
        <v>45792</v>
      </c>
      <c r="BK2" s="59">
        <v>45793</v>
      </c>
      <c r="BL2" s="59">
        <v>45794</v>
      </c>
    </row>
    <row r="3" spans="2:64" s="22" customFormat="1" ht="24" customHeight="1" x14ac:dyDescent="0.35">
      <c r="B3" s="487"/>
      <c r="C3" s="488"/>
      <c r="D3" s="484"/>
      <c r="E3" s="495"/>
      <c r="F3" s="495"/>
      <c r="G3" s="495"/>
      <c r="H3" s="495"/>
      <c r="I3" s="488"/>
      <c r="J3" s="482"/>
      <c r="K3" s="515"/>
      <c r="L3" s="515"/>
      <c r="M3" s="484"/>
      <c r="N3" s="484"/>
      <c r="O3" s="484"/>
      <c r="P3" s="482"/>
      <c r="Q3" s="482"/>
      <c r="R3" s="483"/>
      <c r="S3" s="58" t="str">
        <f t="shared" ref="S3:BL3" si="0">TEXT(S2,"ddd")</f>
        <v>Sun</v>
      </c>
      <c r="T3" s="58" t="str">
        <f t="shared" si="0"/>
        <v>Thu</v>
      </c>
      <c r="U3" s="58" t="str">
        <f t="shared" si="0"/>
        <v>Fri</v>
      </c>
      <c r="V3" s="58" t="str">
        <f t="shared" si="0"/>
        <v>Sat</v>
      </c>
      <c r="W3" s="58" t="str">
        <f t="shared" si="0"/>
        <v>Sun</v>
      </c>
      <c r="X3" s="58" t="str">
        <f t="shared" si="0"/>
        <v>Mon</v>
      </c>
      <c r="Y3" s="58" t="str">
        <f t="shared" si="0"/>
        <v>Tue</v>
      </c>
      <c r="Z3" s="58" t="str">
        <f t="shared" si="0"/>
        <v>Wed</v>
      </c>
      <c r="AA3" s="58" t="str">
        <f t="shared" si="0"/>
        <v>Thu</v>
      </c>
      <c r="AB3" s="58" t="str">
        <f t="shared" si="0"/>
        <v>Fri</v>
      </c>
      <c r="AC3" s="58" t="str">
        <f t="shared" si="0"/>
        <v>Sat</v>
      </c>
      <c r="AD3" s="58" t="str">
        <f t="shared" si="0"/>
        <v>Sun</v>
      </c>
      <c r="AE3" s="58" t="str">
        <f t="shared" si="0"/>
        <v>Mon</v>
      </c>
      <c r="AF3" s="58" t="str">
        <f t="shared" si="0"/>
        <v>Tue</v>
      </c>
      <c r="AG3" s="58" t="str">
        <f t="shared" si="0"/>
        <v>Wed</v>
      </c>
      <c r="AH3" s="58" t="str">
        <f t="shared" si="0"/>
        <v>Thu</v>
      </c>
      <c r="AI3" s="58" t="str">
        <f t="shared" si="0"/>
        <v>Fri</v>
      </c>
      <c r="AJ3" s="58" t="str">
        <f t="shared" si="0"/>
        <v>Sat</v>
      </c>
      <c r="AK3" s="58" t="str">
        <f t="shared" si="0"/>
        <v>Sun</v>
      </c>
      <c r="AL3" s="58" t="str">
        <f t="shared" si="0"/>
        <v>Mon</v>
      </c>
      <c r="AM3" s="58" t="str">
        <f t="shared" si="0"/>
        <v>Tue</v>
      </c>
      <c r="AN3" s="58" t="str">
        <f t="shared" si="0"/>
        <v>Wed</v>
      </c>
      <c r="AO3" s="58" t="str">
        <f t="shared" si="0"/>
        <v>Thu</v>
      </c>
      <c r="AP3" s="58" t="str">
        <f t="shared" si="0"/>
        <v>Fri</v>
      </c>
      <c r="AQ3" s="58" t="str">
        <f t="shared" si="0"/>
        <v>Sat</v>
      </c>
      <c r="AR3" s="58" t="str">
        <f t="shared" si="0"/>
        <v>Sun</v>
      </c>
      <c r="AS3" s="58" t="str">
        <f t="shared" si="0"/>
        <v>Mon</v>
      </c>
      <c r="AT3" s="58" t="str">
        <f t="shared" si="0"/>
        <v>Tue</v>
      </c>
      <c r="AU3" s="58" t="str">
        <f t="shared" si="0"/>
        <v>Wed</v>
      </c>
      <c r="AV3" s="58" t="str">
        <f t="shared" si="0"/>
        <v>Thu</v>
      </c>
      <c r="AW3" s="58" t="str">
        <f t="shared" si="0"/>
        <v>Fri</v>
      </c>
      <c r="AX3" s="58" t="str">
        <f t="shared" si="0"/>
        <v>Sat</v>
      </c>
      <c r="AY3" s="58" t="str">
        <f t="shared" si="0"/>
        <v>Sun</v>
      </c>
      <c r="AZ3" s="58" t="str">
        <f t="shared" si="0"/>
        <v>Mon</v>
      </c>
      <c r="BA3" s="58" t="str">
        <f t="shared" si="0"/>
        <v>Tue</v>
      </c>
      <c r="BB3" s="58" t="str">
        <f t="shared" si="0"/>
        <v>Wed</v>
      </c>
      <c r="BC3" s="58" t="str">
        <f t="shared" si="0"/>
        <v>Thu</v>
      </c>
      <c r="BD3" s="58" t="str">
        <f t="shared" si="0"/>
        <v>Fri</v>
      </c>
      <c r="BE3" s="58" t="str">
        <f t="shared" si="0"/>
        <v>Sat</v>
      </c>
      <c r="BF3" s="58" t="str">
        <f t="shared" si="0"/>
        <v>Sun</v>
      </c>
      <c r="BG3" s="58" t="str">
        <f t="shared" si="0"/>
        <v>Mon</v>
      </c>
      <c r="BH3" s="58" t="str">
        <f t="shared" si="0"/>
        <v>Tue</v>
      </c>
      <c r="BI3" s="58" t="str">
        <f t="shared" si="0"/>
        <v>Wed</v>
      </c>
      <c r="BJ3" s="58" t="str">
        <f t="shared" si="0"/>
        <v>Thu</v>
      </c>
      <c r="BK3" s="58" t="str">
        <f t="shared" si="0"/>
        <v>Fri</v>
      </c>
      <c r="BL3" s="58" t="str">
        <f t="shared" si="0"/>
        <v>Sat</v>
      </c>
    </row>
    <row r="4" spans="2:64" s="23" customFormat="1" ht="33.5" customHeight="1" x14ac:dyDescent="0.35">
      <c r="B4" s="147" t="s">
        <v>106</v>
      </c>
      <c r="C4" s="60">
        <v>1</v>
      </c>
      <c r="D4" s="148" t="s">
        <v>18</v>
      </c>
      <c r="E4" s="61">
        <v>45750</v>
      </c>
      <c r="F4" s="61">
        <v>45870</v>
      </c>
      <c r="G4" s="61">
        <v>45752</v>
      </c>
      <c r="H4" s="61">
        <v>45870</v>
      </c>
      <c r="I4" s="60" t="s">
        <v>5</v>
      </c>
      <c r="J4" s="70">
        <v>1030</v>
      </c>
      <c r="K4" s="61">
        <v>45752</v>
      </c>
      <c r="L4" s="61">
        <v>45796</v>
      </c>
      <c r="M4" s="62">
        <f>IF(OR(L4="",K4=""),"",INT(L4-K4+1))</f>
        <v>45</v>
      </c>
      <c r="N4" s="63">
        <f>IFERROR(J4/M4,"-")</f>
        <v>22.888888888888889</v>
      </c>
      <c r="O4" s="64">
        <f t="shared" ref="O4:O67" si="1">IFERROR(SUMIF($S$2:$AR$2,"&lt;="&amp;$D$1,S4:BL4)/J4,"-")</f>
        <v>0.24854368932038834</v>
      </c>
      <c r="P4" s="158">
        <f t="shared" ref="P4:P11" si="2">SUMIF($S$2:$AR$2,"&lt;="&amp;$D$1,S4:AR4)</f>
        <v>256</v>
      </c>
      <c r="Q4" s="158">
        <f t="shared" ref="Q4:Q67" si="3">J4-P4</f>
        <v>774</v>
      </c>
      <c r="R4" s="158">
        <f t="shared" ref="R4" si="4">SUM(S4:XFD4)</f>
        <v>256</v>
      </c>
      <c r="S4" s="149">
        <v>0</v>
      </c>
      <c r="T4" s="149">
        <v>0</v>
      </c>
      <c r="U4" s="149"/>
      <c r="V4" s="149"/>
      <c r="W4" s="149"/>
      <c r="X4" s="153">
        <v>1.5</v>
      </c>
      <c r="Y4" s="153">
        <v>3.5</v>
      </c>
      <c r="Z4" s="153">
        <v>4</v>
      </c>
      <c r="AA4" s="153">
        <v>4</v>
      </c>
      <c r="AB4" s="153">
        <v>4</v>
      </c>
      <c r="AC4" s="153">
        <v>4</v>
      </c>
      <c r="AD4" s="153">
        <v>3</v>
      </c>
      <c r="AE4" s="153">
        <v>2</v>
      </c>
      <c r="AF4" s="153"/>
      <c r="AG4" s="153"/>
      <c r="AH4" s="153">
        <v>20</v>
      </c>
      <c r="AI4" s="153">
        <v>20</v>
      </c>
      <c r="AJ4" s="153">
        <v>20</v>
      </c>
      <c r="AK4" s="153">
        <v>20</v>
      </c>
      <c r="AL4" s="153">
        <v>40</v>
      </c>
      <c r="AM4" s="153">
        <v>40</v>
      </c>
      <c r="AN4" s="153">
        <v>30</v>
      </c>
      <c r="AO4" s="153">
        <v>20</v>
      </c>
      <c r="AP4" s="153">
        <v>10</v>
      </c>
      <c r="AQ4" s="149">
        <v>10</v>
      </c>
      <c r="AR4" s="149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0"/>
      <c r="BL4" s="150"/>
    </row>
    <row r="5" spans="2:64" x14ac:dyDescent="0.4">
      <c r="B5" s="485" t="s">
        <v>19</v>
      </c>
      <c r="C5" s="60">
        <v>2</v>
      </c>
      <c r="D5" s="68" t="s">
        <v>310</v>
      </c>
      <c r="E5" s="61">
        <v>45700</v>
      </c>
      <c r="F5" s="61">
        <v>45709</v>
      </c>
      <c r="G5" s="61">
        <v>45700</v>
      </c>
      <c r="H5" s="61">
        <v>45709</v>
      </c>
      <c r="I5" s="60" t="s">
        <v>256</v>
      </c>
      <c r="J5" s="70">
        <v>1</v>
      </c>
      <c r="K5" s="61"/>
      <c r="L5" s="61"/>
      <c r="M5" s="62"/>
      <c r="N5" s="63" t="str">
        <f t="shared" ref="N5:N68" si="5">IFERROR(J5/M5,"-")</f>
        <v>-</v>
      </c>
      <c r="O5" s="64">
        <f t="shared" si="1"/>
        <v>1</v>
      </c>
      <c r="P5" s="65">
        <f t="shared" si="2"/>
        <v>1</v>
      </c>
      <c r="Q5" s="65">
        <f t="shared" si="3"/>
        <v>0</v>
      </c>
      <c r="R5" s="65">
        <f t="shared" ref="R5:R34" si="6">SUM(S5:XFD5)</f>
        <v>1</v>
      </c>
      <c r="S5" s="157">
        <v>1</v>
      </c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</row>
    <row r="6" spans="2:64" x14ac:dyDescent="0.4">
      <c r="B6" s="485"/>
      <c r="C6" s="60">
        <v>3</v>
      </c>
      <c r="D6" s="68" t="s">
        <v>108</v>
      </c>
      <c r="E6" s="61">
        <v>45711</v>
      </c>
      <c r="F6" s="61">
        <v>45730</v>
      </c>
      <c r="G6" s="61">
        <v>45711</v>
      </c>
      <c r="H6" s="61">
        <v>45730</v>
      </c>
      <c r="I6" s="60" t="s">
        <v>256</v>
      </c>
      <c r="J6" s="70">
        <v>1</v>
      </c>
      <c r="K6" s="61"/>
      <c r="L6" s="61"/>
      <c r="M6" s="62" t="str">
        <f t="shared" ref="M6:M69" si="7">IF(OR(L6="",K6=""),"",INT(L6-K6+1))</f>
        <v/>
      </c>
      <c r="N6" s="63" t="str">
        <f t="shared" si="5"/>
        <v>-</v>
      </c>
      <c r="O6" s="64">
        <f t="shared" si="1"/>
        <v>1</v>
      </c>
      <c r="P6" s="65">
        <f t="shared" si="2"/>
        <v>1</v>
      </c>
      <c r="Q6" s="65">
        <f t="shared" si="3"/>
        <v>0</v>
      </c>
      <c r="R6" s="65">
        <f t="shared" si="6"/>
        <v>1</v>
      </c>
      <c r="S6" s="157">
        <v>1</v>
      </c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</row>
    <row r="7" spans="2:64" x14ac:dyDescent="0.4">
      <c r="B7" s="485"/>
      <c r="C7" s="60">
        <v>4</v>
      </c>
      <c r="D7" s="68" t="s">
        <v>311</v>
      </c>
      <c r="E7" s="61">
        <v>45703</v>
      </c>
      <c r="F7" s="61">
        <v>45762</v>
      </c>
      <c r="G7" s="61">
        <v>45703</v>
      </c>
      <c r="H7" s="61">
        <v>45775</v>
      </c>
      <c r="I7" s="60" t="s">
        <v>315</v>
      </c>
      <c r="J7" s="70">
        <v>79</v>
      </c>
      <c r="K7" s="61">
        <v>45711</v>
      </c>
      <c r="L7" s="61"/>
      <c r="M7" s="62" t="str">
        <f t="shared" si="7"/>
        <v/>
      </c>
      <c r="N7" s="63" t="str">
        <f t="shared" si="5"/>
        <v>-</v>
      </c>
      <c r="O7" s="64">
        <f t="shared" si="1"/>
        <v>0.94936708860759489</v>
      </c>
      <c r="P7" s="65">
        <f t="shared" si="2"/>
        <v>75</v>
      </c>
      <c r="Q7" s="65">
        <f t="shared" si="3"/>
        <v>4</v>
      </c>
      <c r="R7" s="154">
        <f t="shared" si="6"/>
        <v>75</v>
      </c>
      <c r="S7" s="157">
        <v>52</v>
      </c>
      <c r="T7" s="157">
        <v>2</v>
      </c>
      <c r="U7" s="157">
        <v>2</v>
      </c>
      <c r="V7" s="157">
        <v>2</v>
      </c>
      <c r="W7" s="157">
        <v>2</v>
      </c>
      <c r="X7" s="157">
        <v>2</v>
      </c>
      <c r="Y7" s="157">
        <v>1</v>
      </c>
      <c r="Z7" s="157">
        <v>1</v>
      </c>
      <c r="AA7" s="157">
        <v>1</v>
      </c>
      <c r="AB7" s="157">
        <v>1</v>
      </c>
      <c r="AC7" s="157">
        <v>1</v>
      </c>
      <c r="AD7" s="157">
        <v>1</v>
      </c>
      <c r="AE7" s="157"/>
      <c r="AF7" s="157">
        <v>1</v>
      </c>
      <c r="AG7" s="157">
        <v>1</v>
      </c>
      <c r="AH7" s="157"/>
      <c r="AI7" s="157"/>
      <c r="AJ7" s="157">
        <v>1</v>
      </c>
      <c r="AK7" s="157">
        <v>1</v>
      </c>
      <c r="AL7" s="157">
        <v>1</v>
      </c>
      <c r="AM7" s="157">
        <v>1</v>
      </c>
      <c r="AN7" s="157">
        <v>1</v>
      </c>
      <c r="AO7" s="157"/>
      <c r="AP7" s="155"/>
      <c r="AQ7" s="66"/>
      <c r="AR7" s="66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</row>
    <row r="8" spans="2:64" x14ac:dyDescent="0.4">
      <c r="B8" s="485"/>
      <c r="C8" s="60">
        <v>5</v>
      </c>
      <c r="D8" s="68" t="s">
        <v>312</v>
      </c>
      <c r="E8" s="61">
        <v>45749</v>
      </c>
      <c r="F8" s="61">
        <v>45760</v>
      </c>
      <c r="G8" s="61">
        <v>45753</v>
      </c>
      <c r="H8" s="61">
        <v>45774</v>
      </c>
      <c r="I8" s="60" t="s">
        <v>256</v>
      </c>
      <c r="J8" s="70">
        <v>36</v>
      </c>
      <c r="K8" s="61">
        <v>45711</v>
      </c>
      <c r="L8" s="61">
        <v>45727</v>
      </c>
      <c r="M8" s="62">
        <f t="shared" si="7"/>
        <v>17</v>
      </c>
      <c r="N8" s="63">
        <f t="shared" si="5"/>
        <v>2.1176470588235294</v>
      </c>
      <c r="O8" s="64">
        <f t="shared" si="1"/>
        <v>1</v>
      </c>
      <c r="P8" s="65">
        <f t="shared" si="2"/>
        <v>36</v>
      </c>
      <c r="Q8" s="65">
        <f t="shared" si="3"/>
        <v>0</v>
      </c>
      <c r="R8" s="65">
        <f t="shared" si="6"/>
        <v>36</v>
      </c>
      <c r="S8" s="66">
        <v>0</v>
      </c>
      <c r="T8" s="66">
        <v>0</v>
      </c>
      <c r="U8" s="66"/>
      <c r="V8" s="66"/>
      <c r="W8" s="156">
        <v>4</v>
      </c>
      <c r="X8" s="156">
        <v>8</v>
      </c>
      <c r="Y8" s="156">
        <v>8</v>
      </c>
      <c r="Z8" s="156">
        <v>10</v>
      </c>
      <c r="AA8" s="156">
        <v>6</v>
      </c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</row>
    <row r="9" spans="2:64" x14ac:dyDescent="0.4">
      <c r="B9" s="485"/>
      <c r="C9" s="60">
        <v>6</v>
      </c>
      <c r="D9" s="68" t="s">
        <v>313</v>
      </c>
      <c r="E9" s="61">
        <v>45759</v>
      </c>
      <c r="F9" s="61">
        <v>45773</v>
      </c>
      <c r="G9" s="61">
        <v>45759</v>
      </c>
      <c r="H9" s="61">
        <v>45773</v>
      </c>
      <c r="I9" s="60" t="s">
        <v>256</v>
      </c>
      <c r="J9" s="70">
        <v>236</v>
      </c>
      <c r="K9" s="61"/>
      <c r="L9" s="61"/>
      <c r="M9" s="62" t="str">
        <f t="shared" si="7"/>
        <v/>
      </c>
      <c r="N9" s="63" t="str">
        <f t="shared" si="5"/>
        <v>-</v>
      </c>
      <c r="O9" s="64">
        <f t="shared" si="1"/>
        <v>0</v>
      </c>
      <c r="P9" s="65">
        <f t="shared" si="2"/>
        <v>0</v>
      </c>
      <c r="Q9" s="65">
        <f t="shared" si="3"/>
        <v>236</v>
      </c>
      <c r="R9" s="65">
        <f t="shared" si="6"/>
        <v>0</v>
      </c>
      <c r="S9" s="66">
        <v>0</v>
      </c>
      <c r="T9" s="66">
        <v>0</v>
      </c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</row>
    <row r="10" spans="2:64" x14ac:dyDescent="0.4">
      <c r="B10" s="485"/>
      <c r="C10" s="60">
        <v>7</v>
      </c>
      <c r="D10" s="68" t="s">
        <v>314</v>
      </c>
      <c r="E10" s="61">
        <v>45762</v>
      </c>
      <c r="F10" s="61">
        <v>45801</v>
      </c>
      <c r="G10" s="61">
        <v>45762</v>
      </c>
      <c r="H10" s="61">
        <v>45801</v>
      </c>
      <c r="I10" s="60" t="s">
        <v>256</v>
      </c>
      <c r="J10" s="70">
        <v>236</v>
      </c>
      <c r="K10" s="61"/>
      <c r="L10" s="61"/>
      <c r="M10" s="62" t="str">
        <f t="shared" si="7"/>
        <v/>
      </c>
      <c r="N10" s="63" t="str">
        <f t="shared" si="5"/>
        <v>-</v>
      </c>
      <c r="O10" s="64">
        <f t="shared" si="1"/>
        <v>0</v>
      </c>
      <c r="P10" s="65">
        <f t="shared" si="2"/>
        <v>0</v>
      </c>
      <c r="Q10" s="65">
        <f t="shared" si="3"/>
        <v>236</v>
      </c>
      <c r="R10" s="65">
        <f t="shared" si="6"/>
        <v>0</v>
      </c>
      <c r="S10" s="66">
        <v>0</v>
      </c>
      <c r="T10" s="66">
        <v>0</v>
      </c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</row>
    <row r="11" spans="2:64" x14ac:dyDescent="0.4">
      <c r="B11" s="485" t="s">
        <v>109</v>
      </c>
      <c r="C11" s="60">
        <v>8</v>
      </c>
      <c r="D11" s="68" t="s">
        <v>110</v>
      </c>
      <c r="E11" s="68"/>
      <c r="F11" s="68"/>
      <c r="G11" s="68"/>
      <c r="H11" s="68"/>
      <c r="I11" s="60" t="s">
        <v>107</v>
      </c>
      <c r="J11" s="70"/>
      <c r="K11" s="61"/>
      <c r="L11" s="61"/>
      <c r="M11" s="62" t="str">
        <f t="shared" si="7"/>
        <v/>
      </c>
      <c r="N11" s="63" t="str">
        <f t="shared" si="5"/>
        <v>-</v>
      </c>
      <c r="O11" s="64" t="str">
        <f t="shared" si="1"/>
        <v>-</v>
      </c>
      <c r="P11" s="65">
        <f t="shared" si="2"/>
        <v>0</v>
      </c>
      <c r="Q11" s="65">
        <f t="shared" si="3"/>
        <v>0</v>
      </c>
      <c r="R11" s="65">
        <f t="shared" si="6"/>
        <v>0</v>
      </c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</row>
    <row r="12" spans="2:64" x14ac:dyDescent="0.4">
      <c r="B12" s="485"/>
      <c r="C12" s="60">
        <v>9</v>
      </c>
      <c r="D12" s="68" t="s">
        <v>111</v>
      </c>
      <c r="E12" s="68"/>
      <c r="F12" s="68"/>
      <c r="G12" s="68"/>
      <c r="H12" s="68"/>
      <c r="I12" s="60" t="s">
        <v>107</v>
      </c>
      <c r="J12" s="70"/>
      <c r="K12" s="61"/>
      <c r="L12" s="61"/>
      <c r="M12" s="62" t="str">
        <f t="shared" si="7"/>
        <v/>
      </c>
      <c r="N12" s="63" t="str">
        <f t="shared" si="5"/>
        <v>-</v>
      </c>
      <c r="O12" s="64" t="str">
        <f t="shared" si="1"/>
        <v>-</v>
      </c>
      <c r="P12" s="65">
        <f>SUMIF($S$2:$AR$2,"&lt;="&amp;$D$1,S12:BL12)</f>
        <v>0</v>
      </c>
      <c r="Q12" s="65">
        <f t="shared" si="3"/>
        <v>0</v>
      </c>
      <c r="R12" s="65">
        <f t="shared" si="6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</row>
    <row r="13" spans="2:64" x14ac:dyDescent="0.4">
      <c r="B13" s="485"/>
      <c r="C13" s="60">
        <v>10</v>
      </c>
      <c r="D13" s="68" t="s">
        <v>112</v>
      </c>
      <c r="E13" s="68"/>
      <c r="F13" s="68"/>
      <c r="G13" s="68"/>
      <c r="H13" s="68"/>
      <c r="I13" s="60" t="s">
        <v>107</v>
      </c>
      <c r="J13" s="70"/>
      <c r="K13" s="61"/>
      <c r="L13" s="61"/>
      <c r="M13" s="62" t="str">
        <f t="shared" si="7"/>
        <v/>
      </c>
      <c r="N13" s="63" t="str">
        <f t="shared" si="5"/>
        <v>-</v>
      </c>
      <c r="O13" s="64" t="str">
        <f t="shared" si="1"/>
        <v>-</v>
      </c>
      <c r="P13" s="65">
        <f>SUMIF($S$2:$AR$2,"&lt;="&amp;$D$1,S13:BL13)</f>
        <v>0</v>
      </c>
      <c r="Q13" s="65">
        <f t="shared" si="3"/>
        <v>0</v>
      </c>
      <c r="R13" s="65">
        <f t="shared" si="6"/>
        <v>0</v>
      </c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</row>
    <row r="14" spans="2:64" x14ac:dyDescent="0.4">
      <c r="B14" s="485"/>
      <c r="C14" s="60">
        <v>11</v>
      </c>
      <c r="D14" s="68" t="s">
        <v>113</v>
      </c>
      <c r="E14" s="68"/>
      <c r="F14" s="68"/>
      <c r="G14" s="68"/>
      <c r="H14" s="68"/>
      <c r="I14" s="60" t="s">
        <v>107</v>
      </c>
      <c r="J14" s="70"/>
      <c r="K14" s="61"/>
      <c r="L14" s="61"/>
      <c r="M14" s="62" t="str">
        <f t="shared" si="7"/>
        <v/>
      </c>
      <c r="N14" s="63" t="str">
        <f t="shared" si="5"/>
        <v>-</v>
      </c>
      <c r="O14" s="64" t="str">
        <f t="shared" si="1"/>
        <v>-</v>
      </c>
      <c r="P14" s="65">
        <f t="shared" ref="P14:P77" si="8">SUMIF($S$2:$AR$2,"&lt;="&amp;$D$1,S14:AR14)</f>
        <v>0</v>
      </c>
      <c r="Q14" s="65">
        <f t="shared" si="3"/>
        <v>0</v>
      </c>
      <c r="R14" s="65">
        <f t="shared" si="6"/>
        <v>0</v>
      </c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</row>
    <row r="15" spans="2:64" x14ac:dyDescent="0.4">
      <c r="B15" s="485" t="s">
        <v>114</v>
      </c>
      <c r="C15" s="60">
        <v>12</v>
      </c>
      <c r="D15" s="68" t="s">
        <v>115</v>
      </c>
      <c r="E15" s="68"/>
      <c r="F15" s="68"/>
      <c r="G15" s="68"/>
      <c r="H15" s="68"/>
      <c r="I15" s="60" t="s">
        <v>107</v>
      </c>
      <c r="J15" s="70"/>
      <c r="K15" s="61"/>
      <c r="L15" s="61"/>
      <c r="M15" s="62" t="str">
        <f t="shared" si="7"/>
        <v/>
      </c>
      <c r="N15" s="63" t="str">
        <f t="shared" si="5"/>
        <v>-</v>
      </c>
      <c r="O15" s="64" t="str">
        <f t="shared" si="1"/>
        <v>-</v>
      </c>
      <c r="P15" s="65">
        <f t="shared" si="8"/>
        <v>0</v>
      </c>
      <c r="Q15" s="65">
        <f t="shared" si="3"/>
        <v>0</v>
      </c>
      <c r="R15" s="65">
        <f t="shared" si="6"/>
        <v>0</v>
      </c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</row>
    <row r="16" spans="2:64" x14ac:dyDescent="0.4">
      <c r="B16" s="485"/>
      <c r="C16" s="60">
        <v>13</v>
      </c>
      <c r="D16" s="68" t="s">
        <v>116</v>
      </c>
      <c r="E16" s="68"/>
      <c r="F16" s="68"/>
      <c r="G16" s="68"/>
      <c r="H16" s="68"/>
      <c r="I16" s="60" t="s">
        <v>107</v>
      </c>
      <c r="J16" s="70"/>
      <c r="K16" s="61"/>
      <c r="L16" s="61"/>
      <c r="M16" s="62" t="str">
        <f t="shared" si="7"/>
        <v/>
      </c>
      <c r="N16" s="63" t="str">
        <f t="shared" si="5"/>
        <v>-</v>
      </c>
      <c r="O16" s="64" t="str">
        <f t="shared" si="1"/>
        <v>-</v>
      </c>
      <c r="P16" s="65">
        <f t="shared" si="8"/>
        <v>0</v>
      </c>
      <c r="Q16" s="65">
        <f t="shared" si="3"/>
        <v>0</v>
      </c>
      <c r="R16" s="65">
        <f t="shared" si="6"/>
        <v>0</v>
      </c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</row>
    <row r="17" spans="2:64" x14ac:dyDescent="0.4">
      <c r="B17" s="485"/>
      <c r="C17" s="60">
        <v>14</v>
      </c>
      <c r="D17" s="68" t="s">
        <v>117</v>
      </c>
      <c r="E17" s="68"/>
      <c r="F17" s="68"/>
      <c r="G17" s="68"/>
      <c r="H17" s="68"/>
      <c r="I17" s="60" t="s">
        <v>107</v>
      </c>
      <c r="J17" s="70"/>
      <c r="K17" s="61"/>
      <c r="L17" s="61"/>
      <c r="M17" s="62" t="str">
        <f t="shared" si="7"/>
        <v/>
      </c>
      <c r="N17" s="63" t="str">
        <f t="shared" si="5"/>
        <v>-</v>
      </c>
      <c r="O17" s="64" t="str">
        <f t="shared" si="1"/>
        <v>-</v>
      </c>
      <c r="P17" s="65">
        <f t="shared" si="8"/>
        <v>0</v>
      </c>
      <c r="Q17" s="65">
        <f t="shared" si="3"/>
        <v>0</v>
      </c>
      <c r="R17" s="65">
        <f t="shared" si="6"/>
        <v>0</v>
      </c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</row>
    <row r="18" spans="2:64" x14ac:dyDescent="0.4">
      <c r="B18" s="485"/>
      <c r="C18" s="60">
        <v>15</v>
      </c>
      <c r="D18" s="68" t="s">
        <v>118</v>
      </c>
      <c r="E18" s="68"/>
      <c r="F18" s="68"/>
      <c r="G18" s="68"/>
      <c r="H18" s="68"/>
      <c r="I18" s="60" t="s">
        <v>107</v>
      </c>
      <c r="J18" s="70"/>
      <c r="K18" s="61"/>
      <c r="L18" s="61"/>
      <c r="M18" s="62" t="str">
        <f t="shared" si="7"/>
        <v/>
      </c>
      <c r="N18" s="63" t="str">
        <f t="shared" si="5"/>
        <v>-</v>
      </c>
      <c r="O18" s="64" t="str">
        <f t="shared" si="1"/>
        <v>-</v>
      </c>
      <c r="P18" s="65">
        <f t="shared" si="8"/>
        <v>0</v>
      </c>
      <c r="Q18" s="65">
        <f t="shared" si="3"/>
        <v>0</v>
      </c>
      <c r="R18" s="65">
        <f t="shared" si="6"/>
        <v>0</v>
      </c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</row>
    <row r="19" spans="2:64" x14ac:dyDescent="0.4">
      <c r="B19" s="485"/>
      <c r="C19" s="60">
        <v>16</v>
      </c>
      <c r="D19" s="68" t="s">
        <v>119</v>
      </c>
      <c r="E19" s="68"/>
      <c r="F19" s="68"/>
      <c r="G19" s="68"/>
      <c r="H19" s="68"/>
      <c r="I19" s="60" t="s">
        <v>107</v>
      </c>
      <c r="J19" s="70"/>
      <c r="K19" s="61"/>
      <c r="L19" s="61"/>
      <c r="M19" s="62" t="str">
        <f t="shared" si="7"/>
        <v/>
      </c>
      <c r="N19" s="63" t="str">
        <f t="shared" si="5"/>
        <v>-</v>
      </c>
      <c r="O19" s="64" t="str">
        <f t="shared" si="1"/>
        <v>-</v>
      </c>
      <c r="P19" s="65">
        <f t="shared" si="8"/>
        <v>0</v>
      </c>
      <c r="Q19" s="65">
        <f t="shared" si="3"/>
        <v>0</v>
      </c>
      <c r="R19" s="65">
        <f t="shared" si="6"/>
        <v>0</v>
      </c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</row>
    <row r="20" spans="2:64" x14ac:dyDescent="0.4">
      <c r="B20" s="485"/>
      <c r="C20" s="60">
        <v>17</v>
      </c>
      <c r="D20" s="68" t="s">
        <v>120</v>
      </c>
      <c r="E20" s="68"/>
      <c r="F20" s="68"/>
      <c r="G20" s="68"/>
      <c r="H20" s="68"/>
      <c r="I20" s="60" t="s">
        <v>107</v>
      </c>
      <c r="J20" s="70"/>
      <c r="K20" s="61"/>
      <c r="L20" s="61"/>
      <c r="M20" s="62" t="str">
        <f t="shared" si="7"/>
        <v/>
      </c>
      <c r="N20" s="63" t="str">
        <f t="shared" si="5"/>
        <v>-</v>
      </c>
      <c r="O20" s="64" t="str">
        <f t="shared" si="1"/>
        <v>-</v>
      </c>
      <c r="P20" s="65">
        <f t="shared" si="8"/>
        <v>0</v>
      </c>
      <c r="Q20" s="65">
        <f t="shared" si="3"/>
        <v>0</v>
      </c>
      <c r="R20" s="65">
        <f t="shared" si="6"/>
        <v>0</v>
      </c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</row>
    <row r="21" spans="2:64" x14ac:dyDescent="0.4">
      <c r="B21" s="485"/>
      <c r="C21" s="60">
        <v>18</v>
      </c>
      <c r="D21" s="68" t="s">
        <v>121</v>
      </c>
      <c r="E21" s="68"/>
      <c r="F21" s="68"/>
      <c r="G21" s="68"/>
      <c r="H21" s="68"/>
      <c r="I21" s="60" t="s">
        <v>107</v>
      </c>
      <c r="J21" s="70"/>
      <c r="K21" s="61"/>
      <c r="L21" s="61"/>
      <c r="M21" s="62" t="str">
        <f t="shared" si="7"/>
        <v/>
      </c>
      <c r="N21" s="63" t="str">
        <f t="shared" si="5"/>
        <v>-</v>
      </c>
      <c r="O21" s="64" t="str">
        <f t="shared" si="1"/>
        <v>-</v>
      </c>
      <c r="P21" s="65">
        <f t="shared" si="8"/>
        <v>0</v>
      </c>
      <c r="Q21" s="65">
        <f t="shared" si="3"/>
        <v>0</v>
      </c>
      <c r="R21" s="65">
        <f t="shared" si="6"/>
        <v>0</v>
      </c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</row>
    <row r="22" spans="2:64" x14ac:dyDescent="0.4">
      <c r="B22" s="485"/>
      <c r="C22" s="60">
        <v>19</v>
      </c>
      <c r="D22" s="68" t="s">
        <v>122</v>
      </c>
      <c r="E22" s="68"/>
      <c r="F22" s="68"/>
      <c r="G22" s="68"/>
      <c r="H22" s="68"/>
      <c r="I22" s="60" t="s">
        <v>107</v>
      </c>
      <c r="J22" s="70"/>
      <c r="K22" s="61"/>
      <c r="L22" s="61"/>
      <c r="M22" s="62" t="str">
        <f t="shared" si="7"/>
        <v/>
      </c>
      <c r="N22" s="63" t="str">
        <f t="shared" si="5"/>
        <v>-</v>
      </c>
      <c r="O22" s="64" t="str">
        <f t="shared" si="1"/>
        <v>-</v>
      </c>
      <c r="P22" s="65">
        <f t="shared" si="8"/>
        <v>0</v>
      </c>
      <c r="Q22" s="65">
        <f t="shared" si="3"/>
        <v>0</v>
      </c>
      <c r="R22" s="65">
        <f t="shared" si="6"/>
        <v>0</v>
      </c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</row>
    <row r="23" spans="2:64" x14ac:dyDescent="0.4">
      <c r="B23" s="485"/>
      <c r="C23" s="60">
        <v>20</v>
      </c>
      <c r="D23" s="68" t="s">
        <v>123</v>
      </c>
      <c r="E23" s="68"/>
      <c r="F23" s="68"/>
      <c r="G23" s="68"/>
      <c r="H23" s="68"/>
      <c r="I23" s="60" t="s">
        <v>107</v>
      </c>
      <c r="J23" s="70"/>
      <c r="K23" s="61"/>
      <c r="L23" s="61"/>
      <c r="M23" s="62" t="str">
        <f t="shared" si="7"/>
        <v/>
      </c>
      <c r="N23" s="63" t="str">
        <f t="shared" si="5"/>
        <v>-</v>
      </c>
      <c r="O23" s="64" t="str">
        <f t="shared" si="1"/>
        <v>-</v>
      </c>
      <c r="P23" s="65">
        <f t="shared" si="8"/>
        <v>0</v>
      </c>
      <c r="Q23" s="65">
        <f t="shared" si="3"/>
        <v>0</v>
      </c>
      <c r="R23" s="65">
        <f t="shared" si="6"/>
        <v>0</v>
      </c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</row>
    <row r="24" spans="2:64" x14ac:dyDescent="0.4">
      <c r="B24" s="485"/>
      <c r="C24" s="60">
        <v>21</v>
      </c>
      <c r="D24" s="68" t="s">
        <v>124</v>
      </c>
      <c r="E24" s="68"/>
      <c r="F24" s="68"/>
      <c r="G24" s="68"/>
      <c r="H24" s="68"/>
      <c r="I24" s="60" t="s">
        <v>107</v>
      </c>
      <c r="J24" s="70"/>
      <c r="K24" s="61"/>
      <c r="L24" s="61"/>
      <c r="M24" s="62" t="str">
        <f t="shared" si="7"/>
        <v/>
      </c>
      <c r="N24" s="63" t="str">
        <f t="shared" si="5"/>
        <v>-</v>
      </c>
      <c r="O24" s="64" t="str">
        <f t="shared" si="1"/>
        <v>-</v>
      </c>
      <c r="P24" s="65">
        <f t="shared" si="8"/>
        <v>0</v>
      </c>
      <c r="Q24" s="65">
        <f t="shared" si="3"/>
        <v>0</v>
      </c>
      <c r="R24" s="65">
        <f t="shared" si="6"/>
        <v>0</v>
      </c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</row>
    <row r="25" spans="2:64" x14ac:dyDescent="0.4">
      <c r="B25" s="485"/>
      <c r="C25" s="60">
        <v>22</v>
      </c>
      <c r="D25" s="68" t="s">
        <v>125</v>
      </c>
      <c r="E25" s="68"/>
      <c r="F25" s="68"/>
      <c r="G25" s="68"/>
      <c r="H25" s="68"/>
      <c r="I25" s="60" t="s">
        <v>107</v>
      </c>
      <c r="J25" s="70"/>
      <c r="K25" s="61"/>
      <c r="L25" s="61"/>
      <c r="M25" s="62" t="str">
        <f t="shared" si="7"/>
        <v/>
      </c>
      <c r="N25" s="63" t="str">
        <f t="shared" si="5"/>
        <v>-</v>
      </c>
      <c r="O25" s="64" t="str">
        <f t="shared" si="1"/>
        <v>-</v>
      </c>
      <c r="P25" s="65">
        <f t="shared" si="8"/>
        <v>0</v>
      </c>
      <c r="Q25" s="65">
        <f t="shared" si="3"/>
        <v>0</v>
      </c>
      <c r="R25" s="65">
        <f t="shared" si="6"/>
        <v>0</v>
      </c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  <c r="BD25" s="67"/>
      <c r="BE25" s="67"/>
      <c r="BF25" s="67"/>
      <c r="BG25" s="67"/>
      <c r="BH25" s="67"/>
      <c r="BI25" s="67"/>
      <c r="BJ25" s="67"/>
      <c r="BK25" s="67"/>
      <c r="BL25" s="67"/>
    </row>
    <row r="26" spans="2:64" ht="32" x14ac:dyDescent="0.4">
      <c r="B26" s="485"/>
      <c r="C26" s="60">
        <v>23</v>
      </c>
      <c r="D26" s="68" t="s">
        <v>126</v>
      </c>
      <c r="E26" s="68"/>
      <c r="F26" s="68"/>
      <c r="G26" s="68"/>
      <c r="H26" s="68"/>
      <c r="I26" s="60" t="s">
        <v>107</v>
      </c>
      <c r="J26" s="70"/>
      <c r="K26" s="61"/>
      <c r="L26" s="61"/>
      <c r="M26" s="62" t="str">
        <f t="shared" si="7"/>
        <v/>
      </c>
      <c r="N26" s="63" t="str">
        <f t="shared" si="5"/>
        <v>-</v>
      </c>
      <c r="O26" s="64" t="str">
        <f t="shared" si="1"/>
        <v>-</v>
      </c>
      <c r="P26" s="65">
        <f t="shared" si="8"/>
        <v>0</v>
      </c>
      <c r="Q26" s="65">
        <f t="shared" si="3"/>
        <v>0</v>
      </c>
      <c r="R26" s="65">
        <f t="shared" si="6"/>
        <v>0</v>
      </c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</row>
    <row r="27" spans="2:64" x14ac:dyDescent="0.4">
      <c r="B27" s="485"/>
      <c r="C27" s="60">
        <v>24</v>
      </c>
      <c r="D27" s="68" t="s">
        <v>127</v>
      </c>
      <c r="E27" s="68"/>
      <c r="F27" s="68"/>
      <c r="G27" s="68"/>
      <c r="H27" s="68"/>
      <c r="I27" s="60" t="s">
        <v>107</v>
      </c>
      <c r="J27" s="70"/>
      <c r="K27" s="61"/>
      <c r="L27" s="61"/>
      <c r="M27" s="62" t="str">
        <f t="shared" si="7"/>
        <v/>
      </c>
      <c r="N27" s="63" t="str">
        <f t="shared" si="5"/>
        <v>-</v>
      </c>
      <c r="O27" s="64" t="str">
        <f t="shared" si="1"/>
        <v>-</v>
      </c>
      <c r="P27" s="65">
        <f t="shared" si="8"/>
        <v>0</v>
      </c>
      <c r="Q27" s="65">
        <f t="shared" si="3"/>
        <v>0</v>
      </c>
      <c r="R27" s="65">
        <f t="shared" si="6"/>
        <v>0</v>
      </c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</row>
    <row r="28" spans="2:64" x14ac:dyDescent="0.4">
      <c r="B28" s="485"/>
      <c r="C28" s="60">
        <v>25</v>
      </c>
      <c r="D28" s="68" t="s">
        <v>128</v>
      </c>
      <c r="E28" s="68"/>
      <c r="F28" s="68"/>
      <c r="G28" s="68"/>
      <c r="H28" s="68"/>
      <c r="I28" s="60" t="s">
        <v>107</v>
      </c>
      <c r="J28" s="70"/>
      <c r="K28" s="61"/>
      <c r="L28" s="61"/>
      <c r="M28" s="62" t="str">
        <f t="shared" si="7"/>
        <v/>
      </c>
      <c r="N28" s="63" t="str">
        <f t="shared" si="5"/>
        <v>-</v>
      </c>
      <c r="O28" s="64" t="str">
        <f t="shared" si="1"/>
        <v>-</v>
      </c>
      <c r="P28" s="65">
        <f t="shared" si="8"/>
        <v>0</v>
      </c>
      <c r="Q28" s="65">
        <f t="shared" si="3"/>
        <v>0</v>
      </c>
      <c r="R28" s="65">
        <f t="shared" si="6"/>
        <v>0</v>
      </c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</row>
    <row r="29" spans="2:64" x14ac:dyDescent="0.4">
      <c r="B29" s="485"/>
      <c r="C29" s="60">
        <v>26</v>
      </c>
      <c r="D29" s="68" t="s">
        <v>129</v>
      </c>
      <c r="E29" s="68"/>
      <c r="F29" s="68"/>
      <c r="G29" s="68"/>
      <c r="H29" s="68"/>
      <c r="I29" s="60" t="s">
        <v>107</v>
      </c>
      <c r="J29" s="70"/>
      <c r="K29" s="61"/>
      <c r="L29" s="61"/>
      <c r="M29" s="62" t="str">
        <f t="shared" si="7"/>
        <v/>
      </c>
      <c r="N29" s="63" t="str">
        <f t="shared" si="5"/>
        <v>-</v>
      </c>
      <c r="O29" s="64" t="str">
        <f t="shared" si="1"/>
        <v>-</v>
      </c>
      <c r="P29" s="65">
        <f t="shared" si="8"/>
        <v>0</v>
      </c>
      <c r="Q29" s="65">
        <f t="shared" si="3"/>
        <v>0</v>
      </c>
      <c r="R29" s="65">
        <f t="shared" si="6"/>
        <v>0</v>
      </c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</row>
    <row r="30" spans="2:64" ht="32" x14ac:dyDescent="0.4">
      <c r="B30" s="485"/>
      <c r="C30" s="60">
        <v>27</v>
      </c>
      <c r="D30" s="68" t="s">
        <v>130</v>
      </c>
      <c r="E30" s="68"/>
      <c r="F30" s="68"/>
      <c r="G30" s="68"/>
      <c r="H30" s="68"/>
      <c r="I30" s="60" t="s">
        <v>107</v>
      </c>
      <c r="J30" s="70"/>
      <c r="K30" s="61"/>
      <c r="L30" s="61"/>
      <c r="M30" s="62" t="str">
        <f t="shared" si="7"/>
        <v/>
      </c>
      <c r="N30" s="63" t="str">
        <f t="shared" si="5"/>
        <v>-</v>
      </c>
      <c r="O30" s="64" t="str">
        <f t="shared" si="1"/>
        <v>-</v>
      </c>
      <c r="P30" s="65">
        <f t="shared" si="8"/>
        <v>0</v>
      </c>
      <c r="Q30" s="65">
        <f t="shared" si="3"/>
        <v>0</v>
      </c>
      <c r="R30" s="65">
        <f t="shared" si="6"/>
        <v>0</v>
      </c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</row>
    <row r="31" spans="2:64" x14ac:dyDescent="0.4">
      <c r="B31" s="485"/>
      <c r="C31" s="60">
        <v>28</v>
      </c>
      <c r="D31" s="68" t="s">
        <v>131</v>
      </c>
      <c r="E31" s="68"/>
      <c r="F31" s="68"/>
      <c r="G31" s="68"/>
      <c r="H31" s="68"/>
      <c r="I31" s="60" t="s">
        <v>107</v>
      </c>
      <c r="J31" s="70"/>
      <c r="K31" s="61"/>
      <c r="L31" s="61"/>
      <c r="M31" s="62" t="str">
        <f t="shared" si="7"/>
        <v/>
      </c>
      <c r="N31" s="63" t="str">
        <f t="shared" si="5"/>
        <v>-</v>
      </c>
      <c r="O31" s="64" t="str">
        <f t="shared" si="1"/>
        <v>-</v>
      </c>
      <c r="P31" s="65">
        <f t="shared" si="8"/>
        <v>0</v>
      </c>
      <c r="Q31" s="65">
        <f t="shared" si="3"/>
        <v>0</v>
      </c>
      <c r="R31" s="65">
        <f t="shared" si="6"/>
        <v>0</v>
      </c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7"/>
      <c r="BD31" s="67"/>
      <c r="BE31" s="67"/>
      <c r="BF31" s="67"/>
      <c r="BG31" s="67"/>
      <c r="BH31" s="67"/>
      <c r="BI31" s="67"/>
      <c r="BJ31" s="67"/>
      <c r="BK31" s="67"/>
      <c r="BL31" s="67"/>
    </row>
    <row r="32" spans="2:64" x14ac:dyDescent="0.4">
      <c r="B32" s="485"/>
      <c r="C32" s="60">
        <v>29</v>
      </c>
      <c r="D32" s="68" t="s">
        <v>132</v>
      </c>
      <c r="E32" s="68"/>
      <c r="F32" s="68"/>
      <c r="G32" s="68"/>
      <c r="H32" s="68"/>
      <c r="I32" s="60" t="s">
        <v>107</v>
      </c>
      <c r="J32" s="70"/>
      <c r="K32" s="61"/>
      <c r="L32" s="61"/>
      <c r="M32" s="62" t="str">
        <f t="shared" si="7"/>
        <v/>
      </c>
      <c r="N32" s="63" t="str">
        <f t="shared" si="5"/>
        <v>-</v>
      </c>
      <c r="O32" s="64" t="str">
        <f t="shared" si="1"/>
        <v>-</v>
      </c>
      <c r="P32" s="65">
        <f t="shared" si="8"/>
        <v>0</v>
      </c>
      <c r="Q32" s="65">
        <f t="shared" si="3"/>
        <v>0</v>
      </c>
      <c r="R32" s="65">
        <f t="shared" si="6"/>
        <v>0</v>
      </c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7"/>
      <c r="BD32" s="67"/>
      <c r="BE32" s="67"/>
      <c r="BF32" s="67"/>
      <c r="BG32" s="67"/>
      <c r="BH32" s="67"/>
      <c r="BI32" s="67"/>
      <c r="BJ32" s="67"/>
      <c r="BK32" s="67"/>
      <c r="BL32" s="67"/>
    </row>
    <row r="33" spans="2:64" x14ac:dyDescent="0.4">
      <c r="B33" s="485" t="s">
        <v>133</v>
      </c>
      <c r="C33" s="60">
        <v>30</v>
      </c>
      <c r="D33" s="68" t="s">
        <v>134</v>
      </c>
      <c r="E33" s="68"/>
      <c r="F33" s="68"/>
      <c r="G33" s="68"/>
      <c r="H33" s="68"/>
      <c r="I33" s="60" t="s">
        <v>107</v>
      </c>
      <c r="J33" s="70"/>
      <c r="K33" s="61"/>
      <c r="L33" s="61"/>
      <c r="M33" s="62" t="str">
        <f t="shared" si="7"/>
        <v/>
      </c>
      <c r="N33" s="63" t="str">
        <f t="shared" si="5"/>
        <v>-</v>
      </c>
      <c r="O33" s="64" t="str">
        <f t="shared" si="1"/>
        <v>-</v>
      </c>
      <c r="P33" s="65">
        <f t="shared" si="8"/>
        <v>0</v>
      </c>
      <c r="Q33" s="65">
        <f t="shared" si="3"/>
        <v>0</v>
      </c>
      <c r="R33" s="65">
        <f t="shared" si="6"/>
        <v>0</v>
      </c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</row>
    <row r="34" spans="2:64" x14ac:dyDescent="0.4">
      <c r="B34" s="485"/>
      <c r="C34" s="60">
        <v>31</v>
      </c>
      <c r="D34" s="68" t="s">
        <v>135</v>
      </c>
      <c r="E34" s="68"/>
      <c r="F34" s="68"/>
      <c r="G34" s="68"/>
      <c r="H34" s="68"/>
      <c r="I34" s="60" t="s">
        <v>107</v>
      </c>
      <c r="J34" s="70"/>
      <c r="K34" s="61"/>
      <c r="L34" s="61"/>
      <c r="M34" s="62" t="str">
        <f t="shared" si="7"/>
        <v/>
      </c>
      <c r="N34" s="63" t="str">
        <f t="shared" si="5"/>
        <v>-</v>
      </c>
      <c r="O34" s="64" t="str">
        <f t="shared" si="1"/>
        <v>-</v>
      </c>
      <c r="P34" s="65">
        <f t="shared" si="8"/>
        <v>0</v>
      </c>
      <c r="Q34" s="65">
        <f t="shared" si="3"/>
        <v>0</v>
      </c>
      <c r="R34" s="65">
        <f t="shared" si="6"/>
        <v>0</v>
      </c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</row>
    <row r="35" spans="2:64" x14ac:dyDescent="0.4">
      <c r="B35" s="485"/>
      <c r="C35" s="60">
        <v>32</v>
      </c>
      <c r="D35" s="68" t="s">
        <v>136</v>
      </c>
      <c r="E35" s="68"/>
      <c r="F35" s="68"/>
      <c r="G35" s="68"/>
      <c r="H35" s="68"/>
      <c r="I35" s="60" t="s">
        <v>107</v>
      </c>
      <c r="J35" s="70"/>
      <c r="K35" s="61"/>
      <c r="L35" s="61"/>
      <c r="M35" s="62" t="str">
        <f t="shared" si="7"/>
        <v/>
      </c>
      <c r="N35" s="63" t="str">
        <f t="shared" si="5"/>
        <v>-</v>
      </c>
      <c r="O35" s="64" t="str">
        <f t="shared" si="1"/>
        <v>-</v>
      </c>
      <c r="P35" s="65">
        <f t="shared" si="8"/>
        <v>0</v>
      </c>
      <c r="Q35" s="65">
        <f t="shared" si="3"/>
        <v>0</v>
      </c>
      <c r="R35" s="65">
        <f t="shared" ref="R35:R98" si="9">SUM(S35:XFD35)</f>
        <v>0</v>
      </c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</row>
    <row r="36" spans="2:64" x14ac:dyDescent="0.4">
      <c r="B36" s="485"/>
      <c r="C36" s="60">
        <v>33</v>
      </c>
      <c r="D36" s="68" t="s">
        <v>137</v>
      </c>
      <c r="E36" s="68"/>
      <c r="F36" s="68"/>
      <c r="G36" s="68"/>
      <c r="H36" s="68"/>
      <c r="I36" s="60" t="s">
        <v>107</v>
      </c>
      <c r="J36" s="70"/>
      <c r="K36" s="61"/>
      <c r="L36" s="61"/>
      <c r="M36" s="62" t="str">
        <f t="shared" si="7"/>
        <v/>
      </c>
      <c r="N36" s="63" t="str">
        <f t="shared" si="5"/>
        <v>-</v>
      </c>
      <c r="O36" s="64" t="str">
        <f t="shared" si="1"/>
        <v>-</v>
      </c>
      <c r="P36" s="65">
        <f t="shared" si="8"/>
        <v>0</v>
      </c>
      <c r="Q36" s="65">
        <f t="shared" si="3"/>
        <v>0</v>
      </c>
      <c r="R36" s="65">
        <f t="shared" si="9"/>
        <v>0</v>
      </c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</row>
    <row r="37" spans="2:64" x14ac:dyDescent="0.4">
      <c r="B37" s="485"/>
      <c r="C37" s="60">
        <v>34</v>
      </c>
      <c r="D37" s="68" t="s">
        <v>138</v>
      </c>
      <c r="E37" s="68"/>
      <c r="F37" s="68"/>
      <c r="G37" s="68"/>
      <c r="H37" s="68"/>
      <c r="I37" s="60" t="s">
        <v>11</v>
      </c>
      <c r="J37" s="70"/>
      <c r="K37" s="61"/>
      <c r="L37" s="61"/>
      <c r="M37" s="62" t="str">
        <f t="shared" si="7"/>
        <v/>
      </c>
      <c r="N37" s="63" t="str">
        <f t="shared" si="5"/>
        <v>-</v>
      </c>
      <c r="O37" s="64" t="str">
        <f t="shared" si="1"/>
        <v>-</v>
      </c>
      <c r="P37" s="65">
        <f t="shared" si="8"/>
        <v>0</v>
      </c>
      <c r="Q37" s="65">
        <f t="shared" si="3"/>
        <v>0</v>
      </c>
      <c r="R37" s="65">
        <f t="shared" si="9"/>
        <v>0</v>
      </c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</row>
    <row r="38" spans="2:64" x14ac:dyDescent="0.4">
      <c r="B38" s="485"/>
      <c r="C38" s="60">
        <v>35</v>
      </c>
      <c r="D38" s="68" t="s">
        <v>139</v>
      </c>
      <c r="E38" s="68"/>
      <c r="F38" s="68"/>
      <c r="G38" s="68"/>
      <c r="H38" s="68"/>
      <c r="I38" s="60" t="s">
        <v>11</v>
      </c>
      <c r="J38" s="70"/>
      <c r="K38" s="61"/>
      <c r="L38" s="61"/>
      <c r="M38" s="62" t="str">
        <f t="shared" si="7"/>
        <v/>
      </c>
      <c r="N38" s="63" t="str">
        <f t="shared" si="5"/>
        <v>-</v>
      </c>
      <c r="O38" s="64" t="str">
        <f t="shared" si="1"/>
        <v>-</v>
      </c>
      <c r="P38" s="65">
        <f t="shared" si="8"/>
        <v>0</v>
      </c>
      <c r="Q38" s="65">
        <f t="shared" si="3"/>
        <v>0</v>
      </c>
      <c r="R38" s="65">
        <f t="shared" si="9"/>
        <v>0</v>
      </c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</row>
    <row r="39" spans="2:64" x14ac:dyDescent="0.4">
      <c r="B39" s="485"/>
      <c r="C39" s="60">
        <v>36</v>
      </c>
      <c r="D39" s="68" t="s">
        <v>140</v>
      </c>
      <c r="E39" s="68"/>
      <c r="F39" s="68"/>
      <c r="G39" s="68"/>
      <c r="H39" s="68"/>
      <c r="I39" s="60" t="s">
        <v>107</v>
      </c>
      <c r="J39" s="70"/>
      <c r="K39" s="61"/>
      <c r="L39" s="61"/>
      <c r="M39" s="62" t="str">
        <f t="shared" si="7"/>
        <v/>
      </c>
      <c r="N39" s="63" t="str">
        <f t="shared" si="5"/>
        <v>-</v>
      </c>
      <c r="O39" s="64" t="str">
        <f t="shared" si="1"/>
        <v>-</v>
      </c>
      <c r="P39" s="65">
        <f t="shared" si="8"/>
        <v>0</v>
      </c>
      <c r="Q39" s="65">
        <f t="shared" si="3"/>
        <v>0</v>
      </c>
      <c r="R39" s="65">
        <f t="shared" si="9"/>
        <v>0</v>
      </c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</row>
    <row r="40" spans="2:64" x14ac:dyDescent="0.4">
      <c r="B40" s="485"/>
      <c r="C40" s="60">
        <v>37</v>
      </c>
      <c r="D40" s="68" t="s">
        <v>141</v>
      </c>
      <c r="E40" s="68"/>
      <c r="F40" s="68"/>
      <c r="G40" s="68"/>
      <c r="H40" s="68"/>
      <c r="I40" s="60" t="s">
        <v>107</v>
      </c>
      <c r="J40" s="70"/>
      <c r="K40" s="61"/>
      <c r="L40" s="61"/>
      <c r="M40" s="62" t="str">
        <f t="shared" si="7"/>
        <v/>
      </c>
      <c r="N40" s="63" t="str">
        <f t="shared" si="5"/>
        <v>-</v>
      </c>
      <c r="O40" s="64" t="str">
        <f t="shared" si="1"/>
        <v>-</v>
      </c>
      <c r="P40" s="65">
        <f t="shared" si="8"/>
        <v>0</v>
      </c>
      <c r="Q40" s="65">
        <f t="shared" si="3"/>
        <v>0</v>
      </c>
      <c r="R40" s="65">
        <f t="shared" si="9"/>
        <v>0</v>
      </c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</row>
    <row r="41" spans="2:64" x14ac:dyDescent="0.4">
      <c r="B41" s="485"/>
      <c r="C41" s="60">
        <v>38</v>
      </c>
      <c r="D41" s="68" t="s">
        <v>142</v>
      </c>
      <c r="E41" s="68"/>
      <c r="F41" s="68"/>
      <c r="G41" s="68"/>
      <c r="H41" s="68"/>
      <c r="I41" s="60" t="s">
        <v>11</v>
      </c>
      <c r="J41" s="70"/>
      <c r="K41" s="61"/>
      <c r="L41" s="61"/>
      <c r="M41" s="62" t="str">
        <f t="shared" si="7"/>
        <v/>
      </c>
      <c r="N41" s="63" t="str">
        <f t="shared" si="5"/>
        <v>-</v>
      </c>
      <c r="O41" s="64" t="str">
        <f t="shared" si="1"/>
        <v>-</v>
      </c>
      <c r="P41" s="65">
        <f t="shared" si="8"/>
        <v>0</v>
      </c>
      <c r="Q41" s="65">
        <f t="shared" si="3"/>
        <v>0</v>
      </c>
      <c r="R41" s="65">
        <f t="shared" si="9"/>
        <v>0</v>
      </c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</row>
    <row r="42" spans="2:64" x14ac:dyDescent="0.4">
      <c r="B42" s="485"/>
      <c r="C42" s="60">
        <v>39</v>
      </c>
      <c r="D42" s="68" t="s">
        <v>143</v>
      </c>
      <c r="E42" s="68"/>
      <c r="F42" s="68"/>
      <c r="G42" s="68"/>
      <c r="H42" s="68"/>
      <c r="I42" s="60" t="s">
        <v>11</v>
      </c>
      <c r="J42" s="70"/>
      <c r="K42" s="61"/>
      <c r="L42" s="61"/>
      <c r="M42" s="62" t="str">
        <f t="shared" si="7"/>
        <v/>
      </c>
      <c r="N42" s="63" t="str">
        <f t="shared" si="5"/>
        <v>-</v>
      </c>
      <c r="O42" s="64" t="str">
        <f t="shared" si="1"/>
        <v>-</v>
      </c>
      <c r="P42" s="65">
        <f t="shared" si="8"/>
        <v>0</v>
      </c>
      <c r="Q42" s="65">
        <f t="shared" si="3"/>
        <v>0</v>
      </c>
      <c r="R42" s="65">
        <f t="shared" si="9"/>
        <v>0</v>
      </c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</row>
    <row r="43" spans="2:64" x14ac:dyDescent="0.4">
      <c r="B43" s="485"/>
      <c r="C43" s="60">
        <v>40</v>
      </c>
      <c r="D43" s="68" t="s">
        <v>144</v>
      </c>
      <c r="E43" s="68"/>
      <c r="F43" s="68"/>
      <c r="G43" s="68"/>
      <c r="H43" s="68"/>
      <c r="I43" s="60" t="s">
        <v>11</v>
      </c>
      <c r="J43" s="70"/>
      <c r="K43" s="61"/>
      <c r="L43" s="61"/>
      <c r="M43" s="62" t="str">
        <f t="shared" si="7"/>
        <v/>
      </c>
      <c r="N43" s="63" t="str">
        <f t="shared" si="5"/>
        <v>-</v>
      </c>
      <c r="O43" s="64" t="str">
        <f t="shared" si="1"/>
        <v>-</v>
      </c>
      <c r="P43" s="65">
        <f t="shared" si="8"/>
        <v>0</v>
      </c>
      <c r="Q43" s="65">
        <f t="shared" si="3"/>
        <v>0</v>
      </c>
      <c r="R43" s="65">
        <f t="shared" si="9"/>
        <v>0</v>
      </c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</row>
    <row r="44" spans="2:64" x14ac:dyDescent="0.4">
      <c r="B44" s="485"/>
      <c r="C44" s="60">
        <v>41</v>
      </c>
      <c r="D44" s="68" t="s">
        <v>145</v>
      </c>
      <c r="E44" s="68"/>
      <c r="F44" s="68"/>
      <c r="G44" s="68"/>
      <c r="H44" s="68"/>
      <c r="I44" s="60" t="s">
        <v>11</v>
      </c>
      <c r="J44" s="70"/>
      <c r="K44" s="61"/>
      <c r="L44" s="61"/>
      <c r="M44" s="62" t="str">
        <f t="shared" si="7"/>
        <v/>
      </c>
      <c r="N44" s="63" t="str">
        <f t="shared" si="5"/>
        <v>-</v>
      </c>
      <c r="O44" s="64" t="str">
        <f t="shared" si="1"/>
        <v>-</v>
      </c>
      <c r="P44" s="65">
        <f t="shared" si="8"/>
        <v>0</v>
      </c>
      <c r="Q44" s="65">
        <f t="shared" si="3"/>
        <v>0</v>
      </c>
      <c r="R44" s="65">
        <f t="shared" si="9"/>
        <v>0</v>
      </c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</row>
    <row r="45" spans="2:64" x14ac:dyDescent="0.4">
      <c r="B45" s="485"/>
      <c r="C45" s="60">
        <v>42</v>
      </c>
      <c r="D45" s="68" t="s">
        <v>146</v>
      </c>
      <c r="E45" s="68"/>
      <c r="F45" s="68"/>
      <c r="G45" s="68"/>
      <c r="H45" s="68"/>
      <c r="I45" s="60" t="s">
        <v>11</v>
      </c>
      <c r="J45" s="70"/>
      <c r="K45" s="61"/>
      <c r="L45" s="61"/>
      <c r="M45" s="62" t="str">
        <f t="shared" si="7"/>
        <v/>
      </c>
      <c r="N45" s="63" t="str">
        <f t="shared" si="5"/>
        <v>-</v>
      </c>
      <c r="O45" s="64" t="str">
        <f t="shared" si="1"/>
        <v>-</v>
      </c>
      <c r="P45" s="65">
        <f t="shared" si="8"/>
        <v>0</v>
      </c>
      <c r="Q45" s="65">
        <f t="shared" si="3"/>
        <v>0</v>
      </c>
      <c r="R45" s="65">
        <f t="shared" si="9"/>
        <v>0</v>
      </c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</row>
    <row r="46" spans="2:64" x14ac:dyDescent="0.4">
      <c r="B46" s="485"/>
      <c r="C46" s="60">
        <v>43</v>
      </c>
      <c r="D46" s="68" t="s">
        <v>147</v>
      </c>
      <c r="E46" s="68"/>
      <c r="F46" s="68"/>
      <c r="G46" s="68"/>
      <c r="H46" s="68"/>
      <c r="I46" s="60" t="s">
        <v>11</v>
      </c>
      <c r="J46" s="70"/>
      <c r="K46" s="61"/>
      <c r="L46" s="61"/>
      <c r="M46" s="62" t="str">
        <f t="shared" si="7"/>
        <v/>
      </c>
      <c r="N46" s="63" t="str">
        <f t="shared" si="5"/>
        <v>-</v>
      </c>
      <c r="O46" s="64" t="str">
        <f t="shared" si="1"/>
        <v>-</v>
      </c>
      <c r="P46" s="65">
        <f t="shared" si="8"/>
        <v>0</v>
      </c>
      <c r="Q46" s="65">
        <f t="shared" si="3"/>
        <v>0</v>
      </c>
      <c r="R46" s="65">
        <f t="shared" si="9"/>
        <v>0</v>
      </c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</row>
    <row r="47" spans="2:64" x14ac:dyDescent="0.4">
      <c r="B47" s="485"/>
      <c r="C47" s="60">
        <v>44</v>
      </c>
      <c r="D47" s="68" t="s">
        <v>148</v>
      </c>
      <c r="E47" s="68"/>
      <c r="F47" s="68"/>
      <c r="G47" s="68"/>
      <c r="H47" s="68"/>
      <c r="I47" s="60" t="s">
        <v>11</v>
      </c>
      <c r="J47" s="70"/>
      <c r="K47" s="61"/>
      <c r="L47" s="61"/>
      <c r="M47" s="62" t="str">
        <f t="shared" si="7"/>
        <v/>
      </c>
      <c r="N47" s="63" t="str">
        <f t="shared" si="5"/>
        <v>-</v>
      </c>
      <c r="O47" s="64" t="str">
        <f t="shared" si="1"/>
        <v>-</v>
      </c>
      <c r="P47" s="65">
        <f t="shared" si="8"/>
        <v>0</v>
      </c>
      <c r="Q47" s="65">
        <f t="shared" si="3"/>
        <v>0</v>
      </c>
      <c r="R47" s="65">
        <f t="shared" si="9"/>
        <v>0</v>
      </c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</row>
    <row r="48" spans="2:64" x14ac:dyDescent="0.4">
      <c r="B48" s="485"/>
      <c r="C48" s="60">
        <v>45</v>
      </c>
      <c r="D48" s="68" t="s">
        <v>149</v>
      </c>
      <c r="E48" s="68"/>
      <c r="F48" s="68"/>
      <c r="G48" s="68"/>
      <c r="H48" s="68"/>
      <c r="I48" s="60" t="s">
        <v>11</v>
      </c>
      <c r="J48" s="70"/>
      <c r="K48" s="61"/>
      <c r="L48" s="61"/>
      <c r="M48" s="62" t="str">
        <f t="shared" si="7"/>
        <v/>
      </c>
      <c r="N48" s="63" t="str">
        <f t="shared" si="5"/>
        <v>-</v>
      </c>
      <c r="O48" s="64" t="str">
        <f t="shared" si="1"/>
        <v>-</v>
      </c>
      <c r="P48" s="65">
        <f t="shared" si="8"/>
        <v>0</v>
      </c>
      <c r="Q48" s="65">
        <f t="shared" si="3"/>
        <v>0</v>
      </c>
      <c r="R48" s="65">
        <f t="shared" si="9"/>
        <v>0</v>
      </c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</row>
    <row r="49" spans="2:64" x14ac:dyDescent="0.4">
      <c r="B49" s="485"/>
      <c r="C49" s="60">
        <v>46</v>
      </c>
      <c r="D49" s="68" t="s">
        <v>150</v>
      </c>
      <c r="E49" s="68"/>
      <c r="F49" s="68"/>
      <c r="G49" s="68"/>
      <c r="H49" s="68"/>
      <c r="I49" s="60" t="s">
        <v>11</v>
      </c>
      <c r="J49" s="70"/>
      <c r="K49" s="61"/>
      <c r="L49" s="61"/>
      <c r="M49" s="62" t="str">
        <f t="shared" si="7"/>
        <v/>
      </c>
      <c r="N49" s="63" t="str">
        <f t="shared" si="5"/>
        <v>-</v>
      </c>
      <c r="O49" s="64" t="str">
        <f t="shared" si="1"/>
        <v>-</v>
      </c>
      <c r="P49" s="65">
        <f t="shared" si="8"/>
        <v>0</v>
      </c>
      <c r="Q49" s="65">
        <f t="shared" si="3"/>
        <v>0</v>
      </c>
      <c r="R49" s="65">
        <f t="shared" si="9"/>
        <v>0</v>
      </c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</row>
    <row r="50" spans="2:64" x14ac:dyDescent="0.4">
      <c r="B50" s="485"/>
      <c r="C50" s="60">
        <v>47</v>
      </c>
      <c r="D50" s="68" t="s">
        <v>151</v>
      </c>
      <c r="E50" s="68"/>
      <c r="F50" s="68"/>
      <c r="G50" s="68"/>
      <c r="H50" s="68"/>
      <c r="I50" s="60" t="s">
        <v>11</v>
      </c>
      <c r="J50" s="70"/>
      <c r="K50" s="61"/>
      <c r="L50" s="61"/>
      <c r="M50" s="62" t="str">
        <f t="shared" si="7"/>
        <v/>
      </c>
      <c r="N50" s="63" t="str">
        <f t="shared" si="5"/>
        <v>-</v>
      </c>
      <c r="O50" s="64" t="str">
        <f t="shared" si="1"/>
        <v>-</v>
      </c>
      <c r="P50" s="65">
        <f t="shared" si="8"/>
        <v>0</v>
      </c>
      <c r="Q50" s="65">
        <f t="shared" si="3"/>
        <v>0</v>
      </c>
      <c r="R50" s="65">
        <f t="shared" si="9"/>
        <v>0</v>
      </c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7"/>
      <c r="BD50" s="67"/>
      <c r="BE50" s="67"/>
      <c r="BF50" s="67"/>
      <c r="BG50" s="67"/>
      <c r="BH50" s="67"/>
      <c r="BI50" s="67"/>
      <c r="BJ50" s="67"/>
      <c r="BK50" s="67"/>
      <c r="BL50" s="67"/>
    </row>
    <row r="51" spans="2:64" ht="32" x14ac:dyDescent="0.4">
      <c r="B51" s="485" t="s">
        <v>152</v>
      </c>
      <c r="C51" s="60">
        <v>48</v>
      </c>
      <c r="D51" s="68" t="s">
        <v>153</v>
      </c>
      <c r="E51" s="68"/>
      <c r="F51" s="68"/>
      <c r="G51" s="68"/>
      <c r="H51" s="68"/>
      <c r="I51" s="60" t="s">
        <v>154</v>
      </c>
      <c r="J51" s="70"/>
      <c r="K51" s="61"/>
      <c r="L51" s="61"/>
      <c r="M51" s="62" t="str">
        <f t="shared" si="7"/>
        <v/>
      </c>
      <c r="N51" s="63" t="str">
        <f t="shared" si="5"/>
        <v>-</v>
      </c>
      <c r="O51" s="64" t="str">
        <f t="shared" si="1"/>
        <v>-</v>
      </c>
      <c r="P51" s="65">
        <f t="shared" si="8"/>
        <v>0</v>
      </c>
      <c r="Q51" s="65">
        <f t="shared" si="3"/>
        <v>0</v>
      </c>
      <c r="R51" s="65">
        <f t="shared" si="9"/>
        <v>0</v>
      </c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</row>
    <row r="52" spans="2:64" x14ac:dyDescent="0.4">
      <c r="B52" s="485"/>
      <c r="C52" s="60">
        <v>49</v>
      </c>
      <c r="D52" s="68" t="s">
        <v>155</v>
      </c>
      <c r="E52" s="68"/>
      <c r="F52" s="68"/>
      <c r="G52" s="68"/>
      <c r="H52" s="68"/>
      <c r="I52" s="60" t="s">
        <v>154</v>
      </c>
      <c r="J52" s="70"/>
      <c r="K52" s="61"/>
      <c r="L52" s="61"/>
      <c r="M52" s="62" t="str">
        <f t="shared" si="7"/>
        <v/>
      </c>
      <c r="N52" s="63" t="str">
        <f t="shared" si="5"/>
        <v>-</v>
      </c>
      <c r="O52" s="64" t="str">
        <f t="shared" si="1"/>
        <v>-</v>
      </c>
      <c r="P52" s="65">
        <f t="shared" si="8"/>
        <v>0</v>
      </c>
      <c r="Q52" s="65">
        <f t="shared" si="3"/>
        <v>0</v>
      </c>
      <c r="R52" s="65">
        <f t="shared" si="9"/>
        <v>0</v>
      </c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</row>
    <row r="53" spans="2:64" x14ac:dyDescent="0.4">
      <c r="B53" s="485"/>
      <c r="C53" s="60">
        <v>50</v>
      </c>
      <c r="D53" s="68" t="s">
        <v>156</v>
      </c>
      <c r="E53" s="68"/>
      <c r="F53" s="68"/>
      <c r="G53" s="68"/>
      <c r="H53" s="68"/>
      <c r="I53" s="60" t="s">
        <v>154</v>
      </c>
      <c r="J53" s="70"/>
      <c r="K53" s="61"/>
      <c r="L53" s="61"/>
      <c r="M53" s="62" t="str">
        <f t="shared" si="7"/>
        <v/>
      </c>
      <c r="N53" s="63" t="str">
        <f t="shared" si="5"/>
        <v>-</v>
      </c>
      <c r="O53" s="64" t="str">
        <f t="shared" si="1"/>
        <v>-</v>
      </c>
      <c r="P53" s="65">
        <f t="shared" si="8"/>
        <v>0</v>
      </c>
      <c r="Q53" s="65">
        <f t="shared" si="3"/>
        <v>0</v>
      </c>
      <c r="R53" s="65">
        <f t="shared" si="9"/>
        <v>0</v>
      </c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</row>
    <row r="54" spans="2:64" x14ac:dyDescent="0.4">
      <c r="B54" s="485"/>
      <c r="C54" s="60">
        <v>51</v>
      </c>
      <c r="D54" s="68" t="s">
        <v>157</v>
      </c>
      <c r="E54" s="68"/>
      <c r="F54" s="68"/>
      <c r="G54" s="68"/>
      <c r="H54" s="68"/>
      <c r="I54" s="60" t="s">
        <v>154</v>
      </c>
      <c r="J54" s="70"/>
      <c r="K54" s="61"/>
      <c r="L54" s="61"/>
      <c r="M54" s="62" t="str">
        <f t="shared" si="7"/>
        <v/>
      </c>
      <c r="N54" s="63" t="str">
        <f t="shared" si="5"/>
        <v>-</v>
      </c>
      <c r="O54" s="64" t="str">
        <f t="shared" si="1"/>
        <v>-</v>
      </c>
      <c r="P54" s="65">
        <f t="shared" si="8"/>
        <v>0</v>
      </c>
      <c r="Q54" s="65">
        <f t="shared" si="3"/>
        <v>0</v>
      </c>
      <c r="R54" s="65">
        <f t="shared" si="9"/>
        <v>0</v>
      </c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</row>
    <row r="55" spans="2:64" x14ac:dyDescent="0.4">
      <c r="B55" s="485"/>
      <c r="C55" s="60">
        <v>52</v>
      </c>
      <c r="D55" s="68" t="s">
        <v>158</v>
      </c>
      <c r="E55" s="68"/>
      <c r="F55" s="68"/>
      <c r="G55" s="68"/>
      <c r="H55" s="68"/>
      <c r="I55" s="60" t="s">
        <v>154</v>
      </c>
      <c r="J55" s="70"/>
      <c r="K55" s="61"/>
      <c r="L55" s="61"/>
      <c r="M55" s="62" t="str">
        <f t="shared" si="7"/>
        <v/>
      </c>
      <c r="N55" s="63" t="str">
        <f t="shared" si="5"/>
        <v>-</v>
      </c>
      <c r="O55" s="64" t="str">
        <f t="shared" si="1"/>
        <v>-</v>
      </c>
      <c r="P55" s="65">
        <f t="shared" si="8"/>
        <v>0</v>
      </c>
      <c r="Q55" s="65">
        <f t="shared" si="3"/>
        <v>0</v>
      </c>
      <c r="R55" s="65">
        <f t="shared" si="9"/>
        <v>0</v>
      </c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</row>
    <row r="56" spans="2:64" x14ac:dyDescent="0.4">
      <c r="B56" s="485"/>
      <c r="C56" s="60">
        <v>53</v>
      </c>
      <c r="D56" s="68" t="s">
        <v>159</v>
      </c>
      <c r="E56" s="68"/>
      <c r="F56" s="68"/>
      <c r="G56" s="68"/>
      <c r="H56" s="68"/>
      <c r="I56" s="60" t="s">
        <v>154</v>
      </c>
      <c r="J56" s="70"/>
      <c r="K56" s="61"/>
      <c r="L56" s="61"/>
      <c r="M56" s="62" t="str">
        <f t="shared" si="7"/>
        <v/>
      </c>
      <c r="N56" s="63" t="str">
        <f t="shared" si="5"/>
        <v>-</v>
      </c>
      <c r="O56" s="64" t="str">
        <f t="shared" si="1"/>
        <v>-</v>
      </c>
      <c r="P56" s="65">
        <f t="shared" si="8"/>
        <v>0</v>
      </c>
      <c r="Q56" s="65">
        <f t="shared" si="3"/>
        <v>0</v>
      </c>
      <c r="R56" s="65">
        <f t="shared" si="9"/>
        <v>0</v>
      </c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</row>
    <row r="57" spans="2:64" x14ac:dyDescent="0.4">
      <c r="B57" s="485"/>
      <c r="C57" s="60">
        <v>54</v>
      </c>
      <c r="D57" s="68" t="s">
        <v>160</v>
      </c>
      <c r="E57" s="68"/>
      <c r="F57" s="68"/>
      <c r="G57" s="68"/>
      <c r="H57" s="68"/>
      <c r="I57" s="60" t="s">
        <v>154</v>
      </c>
      <c r="J57" s="70"/>
      <c r="K57" s="61"/>
      <c r="L57" s="61"/>
      <c r="M57" s="62" t="str">
        <f t="shared" si="7"/>
        <v/>
      </c>
      <c r="N57" s="63" t="str">
        <f t="shared" si="5"/>
        <v>-</v>
      </c>
      <c r="O57" s="64" t="str">
        <f t="shared" si="1"/>
        <v>-</v>
      </c>
      <c r="P57" s="65">
        <f t="shared" si="8"/>
        <v>0</v>
      </c>
      <c r="Q57" s="65">
        <f t="shared" si="3"/>
        <v>0</v>
      </c>
      <c r="R57" s="65">
        <f t="shared" si="9"/>
        <v>0</v>
      </c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</row>
    <row r="58" spans="2:64" x14ac:dyDescent="0.4">
      <c r="B58" s="485"/>
      <c r="C58" s="60">
        <v>55</v>
      </c>
      <c r="D58" s="68" t="s">
        <v>161</v>
      </c>
      <c r="E58" s="68"/>
      <c r="F58" s="68"/>
      <c r="G58" s="68"/>
      <c r="H58" s="68"/>
      <c r="I58" s="60" t="s">
        <v>154</v>
      </c>
      <c r="J58" s="70"/>
      <c r="K58" s="61"/>
      <c r="L58" s="61"/>
      <c r="M58" s="62" t="str">
        <f t="shared" si="7"/>
        <v/>
      </c>
      <c r="N58" s="63" t="str">
        <f t="shared" si="5"/>
        <v>-</v>
      </c>
      <c r="O58" s="64" t="str">
        <f t="shared" si="1"/>
        <v>-</v>
      </c>
      <c r="P58" s="65">
        <f t="shared" si="8"/>
        <v>0</v>
      </c>
      <c r="Q58" s="65">
        <f t="shared" si="3"/>
        <v>0</v>
      </c>
      <c r="R58" s="65">
        <f t="shared" si="9"/>
        <v>0</v>
      </c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</row>
    <row r="59" spans="2:64" x14ac:dyDescent="0.4">
      <c r="B59" s="485"/>
      <c r="C59" s="60">
        <v>56</v>
      </c>
      <c r="D59" s="68" t="s">
        <v>162</v>
      </c>
      <c r="E59" s="68"/>
      <c r="F59" s="68"/>
      <c r="G59" s="68"/>
      <c r="H59" s="68"/>
      <c r="I59" s="60" t="s">
        <v>154</v>
      </c>
      <c r="J59" s="70"/>
      <c r="K59" s="61"/>
      <c r="L59" s="61"/>
      <c r="M59" s="62" t="str">
        <f t="shared" si="7"/>
        <v/>
      </c>
      <c r="N59" s="63" t="str">
        <f t="shared" si="5"/>
        <v>-</v>
      </c>
      <c r="O59" s="64" t="str">
        <f t="shared" si="1"/>
        <v>-</v>
      </c>
      <c r="P59" s="65">
        <f t="shared" si="8"/>
        <v>0</v>
      </c>
      <c r="Q59" s="65">
        <f t="shared" si="3"/>
        <v>0</v>
      </c>
      <c r="R59" s="65">
        <f t="shared" si="9"/>
        <v>0</v>
      </c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</row>
    <row r="60" spans="2:64" ht="32" x14ac:dyDescent="0.4">
      <c r="B60" s="485"/>
      <c r="C60" s="60">
        <v>57</v>
      </c>
      <c r="D60" s="68" t="s">
        <v>163</v>
      </c>
      <c r="E60" s="68"/>
      <c r="F60" s="68"/>
      <c r="G60" s="68"/>
      <c r="H60" s="68"/>
      <c r="I60" s="60" t="s">
        <v>154</v>
      </c>
      <c r="J60" s="70"/>
      <c r="K60" s="61"/>
      <c r="L60" s="61"/>
      <c r="M60" s="62" t="str">
        <f t="shared" si="7"/>
        <v/>
      </c>
      <c r="N60" s="63" t="str">
        <f t="shared" si="5"/>
        <v>-</v>
      </c>
      <c r="O60" s="64" t="str">
        <f t="shared" si="1"/>
        <v>-</v>
      </c>
      <c r="P60" s="65">
        <f t="shared" si="8"/>
        <v>0</v>
      </c>
      <c r="Q60" s="65">
        <f t="shared" si="3"/>
        <v>0</v>
      </c>
      <c r="R60" s="65">
        <f t="shared" si="9"/>
        <v>0</v>
      </c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</row>
    <row r="61" spans="2:64" x14ac:dyDescent="0.4">
      <c r="B61" s="485"/>
      <c r="C61" s="60">
        <v>58</v>
      </c>
      <c r="D61" s="68" t="s">
        <v>164</v>
      </c>
      <c r="E61" s="68"/>
      <c r="F61" s="68"/>
      <c r="G61" s="68"/>
      <c r="H61" s="68"/>
      <c r="I61" s="60" t="s">
        <v>154</v>
      </c>
      <c r="J61" s="70"/>
      <c r="K61" s="61"/>
      <c r="L61" s="61"/>
      <c r="M61" s="62" t="str">
        <f t="shared" si="7"/>
        <v/>
      </c>
      <c r="N61" s="63" t="str">
        <f t="shared" si="5"/>
        <v>-</v>
      </c>
      <c r="O61" s="64" t="str">
        <f t="shared" si="1"/>
        <v>-</v>
      </c>
      <c r="P61" s="65">
        <f t="shared" si="8"/>
        <v>0</v>
      </c>
      <c r="Q61" s="65">
        <f t="shared" si="3"/>
        <v>0</v>
      </c>
      <c r="R61" s="65">
        <f t="shared" si="9"/>
        <v>0</v>
      </c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</row>
    <row r="62" spans="2:64" ht="32" x14ac:dyDescent="0.4">
      <c r="B62" s="485"/>
      <c r="C62" s="60">
        <v>59</v>
      </c>
      <c r="D62" s="68" t="s">
        <v>165</v>
      </c>
      <c r="E62" s="68"/>
      <c r="F62" s="68"/>
      <c r="G62" s="68"/>
      <c r="H62" s="68"/>
      <c r="I62" s="60" t="s">
        <v>154</v>
      </c>
      <c r="J62" s="70"/>
      <c r="K62" s="61"/>
      <c r="L62" s="61"/>
      <c r="M62" s="62" t="str">
        <f t="shared" si="7"/>
        <v/>
      </c>
      <c r="N62" s="63" t="str">
        <f t="shared" si="5"/>
        <v>-</v>
      </c>
      <c r="O62" s="64" t="str">
        <f t="shared" si="1"/>
        <v>-</v>
      </c>
      <c r="P62" s="65">
        <f t="shared" si="8"/>
        <v>0</v>
      </c>
      <c r="Q62" s="65">
        <f t="shared" si="3"/>
        <v>0</v>
      </c>
      <c r="R62" s="65">
        <f t="shared" si="9"/>
        <v>0</v>
      </c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</row>
    <row r="63" spans="2:64" x14ac:dyDescent="0.4">
      <c r="B63" s="485"/>
      <c r="C63" s="60">
        <v>60</v>
      </c>
      <c r="D63" s="68" t="s">
        <v>166</v>
      </c>
      <c r="E63" s="68"/>
      <c r="F63" s="68"/>
      <c r="G63" s="68"/>
      <c r="H63" s="68"/>
      <c r="I63" s="60" t="s">
        <v>154</v>
      </c>
      <c r="J63" s="70"/>
      <c r="K63" s="61"/>
      <c r="L63" s="61"/>
      <c r="M63" s="62" t="str">
        <f t="shared" si="7"/>
        <v/>
      </c>
      <c r="N63" s="63" t="str">
        <f t="shared" si="5"/>
        <v>-</v>
      </c>
      <c r="O63" s="64" t="str">
        <f t="shared" si="1"/>
        <v>-</v>
      </c>
      <c r="P63" s="65">
        <f t="shared" si="8"/>
        <v>0</v>
      </c>
      <c r="Q63" s="65">
        <f t="shared" si="3"/>
        <v>0</v>
      </c>
      <c r="R63" s="65">
        <f t="shared" si="9"/>
        <v>0</v>
      </c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</row>
    <row r="64" spans="2:64" x14ac:dyDescent="0.4">
      <c r="B64" s="485"/>
      <c r="C64" s="60">
        <v>61</v>
      </c>
      <c r="D64" s="68" t="s">
        <v>167</v>
      </c>
      <c r="E64" s="68"/>
      <c r="F64" s="68"/>
      <c r="G64" s="68"/>
      <c r="H64" s="68"/>
      <c r="I64" s="60" t="s">
        <v>154</v>
      </c>
      <c r="J64" s="70"/>
      <c r="K64" s="61"/>
      <c r="L64" s="61"/>
      <c r="M64" s="62" t="str">
        <f t="shared" si="7"/>
        <v/>
      </c>
      <c r="N64" s="63" t="str">
        <f t="shared" si="5"/>
        <v>-</v>
      </c>
      <c r="O64" s="64" t="str">
        <f t="shared" si="1"/>
        <v>-</v>
      </c>
      <c r="P64" s="65">
        <f t="shared" si="8"/>
        <v>0</v>
      </c>
      <c r="Q64" s="65">
        <f t="shared" si="3"/>
        <v>0</v>
      </c>
      <c r="R64" s="65">
        <f t="shared" si="9"/>
        <v>0</v>
      </c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</row>
    <row r="65" spans="2:64" ht="32" x14ac:dyDescent="0.4">
      <c r="B65" s="485"/>
      <c r="C65" s="60">
        <v>62</v>
      </c>
      <c r="D65" s="68" t="s">
        <v>168</v>
      </c>
      <c r="E65" s="68"/>
      <c r="F65" s="68"/>
      <c r="G65" s="68"/>
      <c r="H65" s="68"/>
      <c r="I65" s="60" t="s">
        <v>154</v>
      </c>
      <c r="J65" s="70"/>
      <c r="K65" s="61"/>
      <c r="L65" s="61"/>
      <c r="M65" s="62" t="str">
        <f t="shared" si="7"/>
        <v/>
      </c>
      <c r="N65" s="63" t="str">
        <f t="shared" si="5"/>
        <v>-</v>
      </c>
      <c r="O65" s="64" t="str">
        <f t="shared" si="1"/>
        <v>-</v>
      </c>
      <c r="P65" s="65">
        <f t="shared" si="8"/>
        <v>0</v>
      </c>
      <c r="Q65" s="65">
        <f t="shared" si="3"/>
        <v>0</v>
      </c>
      <c r="R65" s="65">
        <f t="shared" si="9"/>
        <v>0</v>
      </c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</row>
    <row r="66" spans="2:64" ht="32" x14ac:dyDescent="0.4">
      <c r="B66" s="485"/>
      <c r="C66" s="60">
        <v>63</v>
      </c>
      <c r="D66" s="68" t="s">
        <v>169</v>
      </c>
      <c r="E66" s="68"/>
      <c r="F66" s="68"/>
      <c r="G66" s="68"/>
      <c r="H66" s="68"/>
      <c r="I66" s="60" t="s">
        <v>154</v>
      </c>
      <c r="J66" s="70"/>
      <c r="K66" s="61"/>
      <c r="L66" s="61"/>
      <c r="M66" s="62" t="str">
        <f t="shared" si="7"/>
        <v/>
      </c>
      <c r="N66" s="63" t="str">
        <f t="shared" si="5"/>
        <v>-</v>
      </c>
      <c r="O66" s="64" t="str">
        <f t="shared" si="1"/>
        <v>-</v>
      </c>
      <c r="P66" s="65">
        <f t="shared" si="8"/>
        <v>0</v>
      </c>
      <c r="Q66" s="65">
        <f t="shared" si="3"/>
        <v>0</v>
      </c>
      <c r="R66" s="65">
        <f t="shared" si="9"/>
        <v>0</v>
      </c>
      <c r="S66" s="65"/>
      <c r="T66" s="65"/>
      <c r="U66" s="65"/>
      <c r="V66" s="65"/>
      <c r="W66" s="65"/>
      <c r="X66" s="65"/>
      <c r="Y66" s="65"/>
      <c r="Z66" s="65"/>
      <c r="AA66" s="65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</row>
    <row r="67" spans="2:64" ht="32" x14ac:dyDescent="0.4">
      <c r="B67" s="485"/>
      <c r="C67" s="60">
        <v>64</v>
      </c>
      <c r="D67" s="68" t="s">
        <v>170</v>
      </c>
      <c r="E67" s="68"/>
      <c r="F67" s="68"/>
      <c r="G67" s="68"/>
      <c r="H67" s="68"/>
      <c r="I67" s="60" t="s">
        <v>154</v>
      </c>
      <c r="J67" s="70"/>
      <c r="K67" s="61"/>
      <c r="L67" s="61"/>
      <c r="M67" s="62" t="str">
        <f t="shared" si="7"/>
        <v/>
      </c>
      <c r="N67" s="63" t="str">
        <f t="shared" si="5"/>
        <v>-</v>
      </c>
      <c r="O67" s="64" t="str">
        <f t="shared" si="1"/>
        <v>-</v>
      </c>
      <c r="P67" s="65">
        <f t="shared" si="8"/>
        <v>0</v>
      </c>
      <c r="Q67" s="65">
        <f t="shared" si="3"/>
        <v>0</v>
      </c>
      <c r="R67" s="65">
        <f t="shared" si="9"/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</row>
    <row r="68" spans="2:64" x14ac:dyDescent="0.4">
      <c r="B68" s="485"/>
      <c r="C68" s="60">
        <v>65</v>
      </c>
      <c r="D68" s="68" t="s">
        <v>171</v>
      </c>
      <c r="E68" s="68"/>
      <c r="F68" s="68"/>
      <c r="G68" s="68"/>
      <c r="H68" s="68"/>
      <c r="I68" s="60" t="s">
        <v>154</v>
      </c>
      <c r="J68" s="70"/>
      <c r="K68" s="61"/>
      <c r="L68" s="61"/>
      <c r="M68" s="62" t="str">
        <f t="shared" si="7"/>
        <v/>
      </c>
      <c r="N68" s="63" t="str">
        <f t="shared" si="5"/>
        <v>-</v>
      </c>
      <c r="O68" s="64" t="str">
        <f t="shared" ref="O68:O131" si="10">IFERROR(SUMIF($S$2:$AR$2,"&lt;="&amp;$D$1,S68:BL68)/J68,"-")</f>
        <v>-</v>
      </c>
      <c r="P68" s="65">
        <f t="shared" si="8"/>
        <v>0</v>
      </c>
      <c r="Q68" s="65">
        <f t="shared" ref="Q68:Q131" si="11">J68-P68</f>
        <v>0</v>
      </c>
      <c r="R68" s="65">
        <f t="shared" si="9"/>
        <v>0</v>
      </c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</row>
    <row r="69" spans="2:64" ht="32" x14ac:dyDescent="0.4">
      <c r="B69" s="485"/>
      <c r="C69" s="60">
        <v>66</v>
      </c>
      <c r="D69" s="68" t="s">
        <v>172</v>
      </c>
      <c r="E69" s="68"/>
      <c r="F69" s="68"/>
      <c r="G69" s="68"/>
      <c r="H69" s="68"/>
      <c r="I69" s="60" t="s">
        <v>154</v>
      </c>
      <c r="J69" s="70"/>
      <c r="K69" s="61"/>
      <c r="L69" s="61"/>
      <c r="M69" s="62" t="str">
        <f t="shared" si="7"/>
        <v/>
      </c>
      <c r="N69" s="63" t="str">
        <f t="shared" ref="N69:N132" si="12">IFERROR(J69/M69,"-")</f>
        <v>-</v>
      </c>
      <c r="O69" s="64" t="str">
        <f t="shared" si="10"/>
        <v>-</v>
      </c>
      <c r="P69" s="65">
        <f t="shared" si="8"/>
        <v>0</v>
      </c>
      <c r="Q69" s="65">
        <f t="shared" si="11"/>
        <v>0</v>
      </c>
      <c r="R69" s="65">
        <f t="shared" si="9"/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</row>
    <row r="70" spans="2:64" x14ac:dyDescent="0.4">
      <c r="B70" s="485"/>
      <c r="C70" s="60">
        <v>67</v>
      </c>
      <c r="D70" s="68" t="s">
        <v>173</v>
      </c>
      <c r="E70" s="68"/>
      <c r="F70" s="68"/>
      <c r="G70" s="68"/>
      <c r="H70" s="68"/>
      <c r="I70" s="60" t="s">
        <v>154</v>
      </c>
      <c r="J70" s="70"/>
      <c r="K70" s="61"/>
      <c r="L70" s="61"/>
      <c r="M70" s="62" t="str">
        <f t="shared" ref="M70:M133" si="13">IF(OR(L70="",K70=""),"",INT(L70-K70+1))</f>
        <v/>
      </c>
      <c r="N70" s="63" t="str">
        <f t="shared" si="12"/>
        <v>-</v>
      </c>
      <c r="O70" s="64" t="str">
        <f t="shared" si="10"/>
        <v>-</v>
      </c>
      <c r="P70" s="65">
        <f t="shared" si="8"/>
        <v>0</v>
      </c>
      <c r="Q70" s="65">
        <f t="shared" si="11"/>
        <v>0</v>
      </c>
      <c r="R70" s="65">
        <f t="shared" si="9"/>
        <v>0</v>
      </c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</row>
    <row r="71" spans="2:64" x14ac:dyDescent="0.4">
      <c r="B71" s="485"/>
      <c r="C71" s="60">
        <v>68</v>
      </c>
      <c r="D71" s="68" t="s">
        <v>174</v>
      </c>
      <c r="E71" s="68"/>
      <c r="F71" s="68"/>
      <c r="G71" s="68"/>
      <c r="H71" s="68"/>
      <c r="I71" s="60" t="s">
        <v>154</v>
      </c>
      <c r="J71" s="70"/>
      <c r="K71" s="61"/>
      <c r="L71" s="61"/>
      <c r="M71" s="62" t="str">
        <f t="shared" si="13"/>
        <v/>
      </c>
      <c r="N71" s="63" t="str">
        <f t="shared" si="12"/>
        <v>-</v>
      </c>
      <c r="O71" s="64" t="str">
        <f t="shared" si="10"/>
        <v>-</v>
      </c>
      <c r="P71" s="65">
        <f t="shared" si="8"/>
        <v>0</v>
      </c>
      <c r="Q71" s="65">
        <f t="shared" si="11"/>
        <v>0</v>
      </c>
      <c r="R71" s="65">
        <f t="shared" si="9"/>
        <v>0</v>
      </c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</row>
    <row r="72" spans="2:64" x14ac:dyDescent="0.4">
      <c r="B72" s="485"/>
      <c r="C72" s="60">
        <v>69</v>
      </c>
      <c r="D72" s="68" t="s">
        <v>175</v>
      </c>
      <c r="E72" s="68"/>
      <c r="F72" s="68"/>
      <c r="G72" s="68"/>
      <c r="H72" s="68"/>
      <c r="I72" s="60" t="s">
        <v>154</v>
      </c>
      <c r="J72" s="70"/>
      <c r="K72" s="61"/>
      <c r="L72" s="61"/>
      <c r="M72" s="62" t="str">
        <f t="shared" si="13"/>
        <v/>
      </c>
      <c r="N72" s="63" t="str">
        <f t="shared" si="12"/>
        <v>-</v>
      </c>
      <c r="O72" s="64" t="str">
        <f t="shared" si="10"/>
        <v>-</v>
      </c>
      <c r="P72" s="65">
        <f t="shared" si="8"/>
        <v>0</v>
      </c>
      <c r="Q72" s="65">
        <f t="shared" si="11"/>
        <v>0</v>
      </c>
      <c r="R72" s="65">
        <f t="shared" si="9"/>
        <v>0</v>
      </c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</row>
    <row r="73" spans="2:64" ht="43.5" x14ac:dyDescent="0.4">
      <c r="B73" s="485" t="s">
        <v>176</v>
      </c>
      <c r="C73" s="60">
        <v>70</v>
      </c>
      <c r="D73" s="69" t="s">
        <v>257</v>
      </c>
      <c r="E73" s="69"/>
      <c r="F73" s="69"/>
      <c r="G73" s="69"/>
      <c r="H73" s="69"/>
      <c r="I73" s="60" t="s">
        <v>107</v>
      </c>
      <c r="J73" s="70"/>
      <c r="K73" s="61"/>
      <c r="L73" s="61"/>
      <c r="M73" s="62" t="str">
        <f t="shared" si="13"/>
        <v/>
      </c>
      <c r="N73" s="63" t="str">
        <f t="shared" si="12"/>
        <v>-</v>
      </c>
      <c r="O73" s="64" t="str">
        <f t="shared" si="10"/>
        <v>-</v>
      </c>
      <c r="P73" s="65">
        <f t="shared" si="8"/>
        <v>0</v>
      </c>
      <c r="Q73" s="65">
        <f t="shared" si="11"/>
        <v>0</v>
      </c>
      <c r="R73" s="65">
        <f t="shared" si="9"/>
        <v>0</v>
      </c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</row>
    <row r="74" spans="2:64" x14ac:dyDescent="0.4">
      <c r="B74" s="485"/>
      <c r="C74" s="60">
        <v>71</v>
      </c>
      <c r="D74" s="69" t="s">
        <v>259</v>
      </c>
      <c r="E74" s="69"/>
      <c r="F74" s="69"/>
      <c r="G74" s="69"/>
      <c r="H74" s="69"/>
      <c r="I74" s="60" t="s">
        <v>107</v>
      </c>
      <c r="J74" s="70"/>
      <c r="K74" s="61"/>
      <c r="L74" s="61"/>
      <c r="M74" s="62" t="str">
        <f t="shared" si="13"/>
        <v/>
      </c>
      <c r="N74" s="63" t="str">
        <f t="shared" si="12"/>
        <v>-</v>
      </c>
      <c r="O74" s="64" t="str">
        <f t="shared" si="10"/>
        <v>-</v>
      </c>
      <c r="P74" s="65">
        <f t="shared" si="8"/>
        <v>0</v>
      </c>
      <c r="Q74" s="65">
        <f t="shared" si="11"/>
        <v>0</v>
      </c>
      <c r="R74" s="65">
        <f t="shared" si="9"/>
        <v>0</v>
      </c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</row>
    <row r="75" spans="2:64" x14ac:dyDescent="0.4">
      <c r="B75" s="485"/>
      <c r="C75" s="60">
        <v>72</v>
      </c>
      <c r="D75" s="69" t="s">
        <v>258</v>
      </c>
      <c r="E75" s="69"/>
      <c r="F75" s="69"/>
      <c r="G75" s="69"/>
      <c r="H75" s="69"/>
      <c r="I75" s="60" t="s">
        <v>107</v>
      </c>
      <c r="J75" s="70"/>
      <c r="K75" s="61"/>
      <c r="L75" s="61"/>
      <c r="M75" s="62" t="str">
        <f t="shared" si="13"/>
        <v/>
      </c>
      <c r="N75" s="63" t="str">
        <f t="shared" si="12"/>
        <v>-</v>
      </c>
      <c r="O75" s="64" t="str">
        <f t="shared" si="10"/>
        <v>-</v>
      </c>
      <c r="P75" s="65">
        <f t="shared" si="8"/>
        <v>0</v>
      </c>
      <c r="Q75" s="65">
        <f t="shared" si="11"/>
        <v>0</v>
      </c>
      <c r="R75" s="65">
        <f t="shared" si="9"/>
        <v>0</v>
      </c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7"/>
      <c r="BE75" s="67"/>
      <c r="BF75" s="67"/>
      <c r="BG75" s="67"/>
      <c r="BH75" s="67"/>
      <c r="BI75" s="67"/>
      <c r="BJ75" s="67"/>
      <c r="BK75" s="67"/>
      <c r="BL75" s="67"/>
    </row>
    <row r="76" spans="2:64" x14ac:dyDescent="0.4">
      <c r="B76" s="485"/>
      <c r="C76" s="60">
        <v>73</v>
      </c>
      <c r="D76" s="69" t="s">
        <v>263</v>
      </c>
      <c r="E76" s="69"/>
      <c r="F76" s="69"/>
      <c r="G76" s="69"/>
      <c r="H76" s="69"/>
      <c r="I76" s="60" t="s">
        <v>107</v>
      </c>
      <c r="J76" s="70"/>
      <c r="K76" s="61"/>
      <c r="L76" s="61"/>
      <c r="M76" s="62" t="str">
        <f t="shared" si="13"/>
        <v/>
      </c>
      <c r="N76" s="63" t="str">
        <f t="shared" si="12"/>
        <v>-</v>
      </c>
      <c r="O76" s="64" t="str">
        <f t="shared" si="10"/>
        <v>-</v>
      </c>
      <c r="P76" s="65">
        <f t="shared" si="8"/>
        <v>0</v>
      </c>
      <c r="Q76" s="65">
        <f t="shared" si="11"/>
        <v>0</v>
      </c>
      <c r="R76" s="65">
        <f t="shared" si="9"/>
        <v>0</v>
      </c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</row>
    <row r="77" spans="2:64" ht="29" x14ac:dyDescent="0.4">
      <c r="B77" s="485"/>
      <c r="C77" s="60">
        <v>74</v>
      </c>
      <c r="D77" s="69" t="s">
        <v>264</v>
      </c>
      <c r="E77" s="69"/>
      <c r="F77" s="69"/>
      <c r="G77" s="69"/>
      <c r="H77" s="69"/>
      <c r="I77" s="60" t="s">
        <v>177</v>
      </c>
      <c r="J77" s="70"/>
      <c r="K77" s="61"/>
      <c r="L77" s="61"/>
      <c r="M77" s="62" t="str">
        <f t="shared" si="13"/>
        <v/>
      </c>
      <c r="N77" s="63" t="str">
        <f t="shared" si="12"/>
        <v>-</v>
      </c>
      <c r="O77" s="64" t="str">
        <f t="shared" si="10"/>
        <v>-</v>
      </c>
      <c r="P77" s="65">
        <f t="shared" si="8"/>
        <v>0</v>
      </c>
      <c r="Q77" s="65">
        <f t="shared" si="11"/>
        <v>0</v>
      </c>
      <c r="R77" s="65">
        <f t="shared" si="9"/>
        <v>0</v>
      </c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</row>
    <row r="78" spans="2:64" x14ac:dyDescent="0.4">
      <c r="B78" s="485"/>
      <c r="C78" s="60">
        <v>75</v>
      </c>
      <c r="D78" s="69" t="s">
        <v>178</v>
      </c>
      <c r="E78" s="69"/>
      <c r="F78" s="69"/>
      <c r="G78" s="69"/>
      <c r="H78" s="69"/>
      <c r="I78" s="60" t="s">
        <v>177</v>
      </c>
      <c r="J78" s="70"/>
      <c r="K78" s="61"/>
      <c r="L78" s="61"/>
      <c r="M78" s="62" t="str">
        <f t="shared" si="13"/>
        <v/>
      </c>
      <c r="N78" s="63" t="str">
        <f t="shared" si="12"/>
        <v>-</v>
      </c>
      <c r="O78" s="64" t="str">
        <f t="shared" si="10"/>
        <v>-</v>
      </c>
      <c r="P78" s="65">
        <f t="shared" ref="P78:P141" si="14">SUMIF($S$2:$AR$2,"&lt;="&amp;$D$1,S78:AR78)</f>
        <v>0</v>
      </c>
      <c r="Q78" s="65">
        <f t="shared" si="11"/>
        <v>0</v>
      </c>
      <c r="R78" s="65">
        <f t="shared" si="9"/>
        <v>0</v>
      </c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</row>
    <row r="79" spans="2:64" x14ac:dyDescent="0.4">
      <c r="B79" s="485"/>
      <c r="C79" s="60">
        <v>76</v>
      </c>
      <c r="D79" s="69" t="s">
        <v>260</v>
      </c>
      <c r="E79" s="69"/>
      <c r="F79" s="69"/>
      <c r="G79" s="69"/>
      <c r="H79" s="69"/>
      <c r="I79" s="60" t="s">
        <v>107</v>
      </c>
      <c r="J79" s="70"/>
      <c r="K79" s="61"/>
      <c r="L79" s="61"/>
      <c r="M79" s="62" t="str">
        <f t="shared" si="13"/>
        <v/>
      </c>
      <c r="N79" s="63" t="str">
        <f t="shared" si="12"/>
        <v>-</v>
      </c>
      <c r="O79" s="64" t="str">
        <f t="shared" si="10"/>
        <v>-</v>
      </c>
      <c r="P79" s="65">
        <f t="shared" si="14"/>
        <v>0</v>
      </c>
      <c r="Q79" s="65">
        <f t="shared" si="11"/>
        <v>0</v>
      </c>
      <c r="R79" s="65">
        <f t="shared" si="9"/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</row>
    <row r="80" spans="2:64" x14ac:dyDescent="0.4">
      <c r="B80" s="485"/>
      <c r="C80" s="60">
        <v>77</v>
      </c>
      <c r="D80" s="69" t="s">
        <v>261</v>
      </c>
      <c r="E80" s="69"/>
      <c r="F80" s="69"/>
      <c r="G80" s="69"/>
      <c r="H80" s="69"/>
      <c r="I80" s="60" t="s">
        <v>107</v>
      </c>
      <c r="J80" s="70"/>
      <c r="K80" s="61"/>
      <c r="L80" s="61"/>
      <c r="M80" s="62" t="str">
        <f t="shared" si="13"/>
        <v/>
      </c>
      <c r="N80" s="63" t="str">
        <f t="shared" si="12"/>
        <v>-</v>
      </c>
      <c r="O80" s="64" t="str">
        <f t="shared" si="10"/>
        <v>-</v>
      </c>
      <c r="P80" s="65">
        <f t="shared" si="14"/>
        <v>0</v>
      </c>
      <c r="Q80" s="65">
        <f t="shared" si="11"/>
        <v>0</v>
      </c>
      <c r="R80" s="65">
        <f t="shared" si="9"/>
        <v>0</v>
      </c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</row>
    <row r="81" spans="2:64" x14ac:dyDescent="0.4">
      <c r="B81" s="485"/>
      <c r="C81" s="60">
        <v>78</v>
      </c>
      <c r="D81" s="69" t="s">
        <v>179</v>
      </c>
      <c r="E81" s="69"/>
      <c r="F81" s="69"/>
      <c r="G81" s="69"/>
      <c r="H81" s="69"/>
      <c r="I81" s="60" t="s">
        <v>107</v>
      </c>
      <c r="J81" s="70"/>
      <c r="K81" s="61"/>
      <c r="L81" s="61"/>
      <c r="M81" s="62" t="str">
        <f t="shared" si="13"/>
        <v/>
      </c>
      <c r="N81" s="63" t="str">
        <f t="shared" si="12"/>
        <v>-</v>
      </c>
      <c r="O81" s="64" t="str">
        <f t="shared" si="10"/>
        <v>-</v>
      </c>
      <c r="P81" s="65">
        <f t="shared" si="14"/>
        <v>0</v>
      </c>
      <c r="Q81" s="65">
        <f t="shared" si="11"/>
        <v>0</v>
      </c>
      <c r="R81" s="65">
        <f t="shared" si="9"/>
        <v>0</v>
      </c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</row>
    <row r="82" spans="2:64" x14ac:dyDescent="0.4">
      <c r="B82" s="485"/>
      <c r="C82" s="60">
        <v>79</v>
      </c>
      <c r="D82" s="69" t="s">
        <v>262</v>
      </c>
      <c r="E82" s="69"/>
      <c r="F82" s="69"/>
      <c r="G82" s="69"/>
      <c r="H82" s="69"/>
      <c r="I82" s="60" t="s">
        <v>107</v>
      </c>
      <c r="J82" s="70"/>
      <c r="K82" s="61"/>
      <c r="L82" s="61"/>
      <c r="M82" s="62" t="str">
        <f t="shared" si="13"/>
        <v/>
      </c>
      <c r="N82" s="63" t="str">
        <f t="shared" si="12"/>
        <v>-</v>
      </c>
      <c r="O82" s="64" t="str">
        <f t="shared" si="10"/>
        <v>-</v>
      </c>
      <c r="P82" s="65">
        <f t="shared" si="14"/>
        <v>0</v>
      </c>
      <c r="Q82" s="65">
        <f t="shared" si="11"/>
        <v>0</v>
      </c>
      <c r="R82" s="65">
        <f t="shared" si="9"/>
        <v>0</v>
      </c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</row>
    <row r="83" spans="2:64" x14ac:dyDescent="0.4">
      <c r="B83" s="485" t="s">
        <v>180</v>
      </c>
      <c r="C83" s="60">
        <v>80</v>
      </c>
      <c r="D83" s="69" t="s">
        <v>265</v>
      </c>
      <c r="E83" s="69"/>
      <c r="F83" s="69"/>
      <c r="G83" s="69"/>
      <c r="H83" s="69"/>
      <c r="I83" s="60" t="s">
        <v>107</v>
      </c>
      <c r="J83" s="70"/>
      <c r="K83" s="61"/>
      <c r="L83" s="61"/>
      <c r="M83" s="62" t="str">
        <f t="shared" si="13"/>
        <v/>
      </c>
      <c r="N83" s="63" t="str">
        <f t="shared" si="12"/>
        <v>-</v>
      </c>
      <c r="O83" s="64" t="str">
        <f t="shared" si="10"/>
        <v>-</v>
      </c>
      <c r="P83" s="65">
        <f t="shared" si="14"/>
        <v>0</v>
      </c>
      <c r="Q83" s="65">
        <f t="shared" si="11"/>
        <v>0</v>
      </c>
      <c r="R83" s="65">
        <f t="shared" si="9"/>
        <v>0</v>
      </c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</row>
    <row r="84" spans="2:64" x14ac:dyDescent="0.4">
      <c r="B84" s="485"/>
      <c r="C84" s="60">
        <v>81</v>
      </c>
      <c r="D84" s="69" t="s">
        <v>181</v>
      </c>
      <c r="E84" s="69"/>
      <c r="F84" s="69"/>
      <c r="G84" s="69"/>
      <c r="H84" s="69"/>
      <c r="I84" s="60" t="s">
        <v>107</v>
      </c>
      <c r="J84" s="70"/>
      <c r="K84" s="61"/>
      <c r="L84" s="61"/>
      <c r="M84" s="62" t="str">
        <f t="shared" si="13"/>
        <v/>
      </c>
      <c r="N84" s="63" t="str">
        <f t="shared" si="12"/>
        <v>-</v>
      </c>
      <c r="O84" s="64" t="str">
        <f t="shared" si="10"/>
        <v>-</v>
      </c>
      <c r="P84" s="65">
        <f t="shared" si="14"/>
        <v>0</v>
      </c>
      <c r="Q84" s="65">
        <f t="shared" si="11"/>
        <v>0</v>
      </c>
      <c r="R84" s="65">
        <f t="shared" si="9"/>
        <v>0</v>
      </c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</row>
    <row r="85" spans="2:64" x14ac:dyDescent="0.4">
      <c r="B85" s="485"/>
      <c r="C85" s="60">
        <v>82</v>
      </c>
      <c r="D85" s="69" t="s">
        <v>182</v>
      </c>
      <c r="E85" s="69"/>
      <c r="F85" s="69"/>
      <c r="G85" s="69"/>
      <c r="H85" s="69"/>
      <c r="I85" s="60" t="s">
        <v>107</v>
      </c>
      <c r="J85" s="70"/>
      <c r="K85" s="61"/>
      <c r="L85" s="61"/>
      <c r="M85" s="62" t="str">
        <f t="shared" si="13"/>
        <v/>
      </c>
      <c r="N85" s="63" t="str">
        <f t="shared" si="12"/>
        <v>-</v>
      </c>
      <c r="O85" s="64" t="str">
        <f t="shared" si="10"/>
        <v>-</v>
      </c>
      <c r="P85" s="65">
        <f t="shared" si="14"/>
        <v>0</v>
      </c>
      <c r="Q85" s="65">
        <f t="shared" si="11"/>
        <v>0</v>
      </c>
      <c r="R85" s="65">
        <f t="shared" si="9"/>
        <v>0</v>
      </c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</row>
    <row r="86" spans="2:64" x14ac:dyDescent="0.4">
      <c r="B86" s="485"/>
      <c r="C86" s="60">
        <v>83</v>
      </c>
      <c r="D86" s="69" t="s">
        <v>183</v>
      </c>
      <c r="E86" s="69"/>
      <c r="F86" s="69"/>
      <c r="G86" s="69"/>
      <c r="H86" s="69"/>
      <c r="I86" s="60" t="s">
        <v>107</v>
      </c>
      <c r="J86" s="70"/>
      <c r="K86" s="61"/>
      <c r="L86" s="61"/>
      <c r="M86" s="62" t="str">
        <f t="shared" si="13"/>
        <v/>
      </c>
      <c r="N86" s="63" t="str">
        <f t="shared" si="12"/>
        <v>-</v>
      </c>
      <c r="O86" s="64" t="str">
        <f t="shared" si="10"/>
        <v>-</v>
      </c>
      <c r="P86" s="65">
        <f t="shared" si="14"/>
        <v>0</v>
      </c>
      <c r="Q86" s="65">
        <f t="shared" si="11"/>
        <v>0</v>
      </c>
      <c r="R86" s="65">
        <f t="shared" si="9"/>
        <v>0</v>
      </c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</row>
    <row r="87" spans="2:64" x14ac:dyDescent="0.4">
      <c r="B87" s="485"/>
      <c r="C87" s="60">
        <v>84</v>
      </c>
      <c r="D87" s="69" t="s">
        <v>184</v>
      </c>
      <c r="E87" s="69"/>
      <c r="F87" s="69"/>
      <c r="G87" s="69"/>
      <c r="H87" s="69"/>
      <c r="I87" s="60" t="s">
        <v>107</v>
      </c>
      <c r="J87" s="70"/>
      <c r="K87" s="61"/>
      <c r="L87" s="61"/>
      <c r="M87" s="62" t="str">
        <f t="shared" si="13"/>
        <v/>
      </c>
      <c r="N87" s="63" t="str">
        <f t="shared" si="12"/>
        <v>-</v>
      </c>
      <c r="O87" s="64" t="str">
        <f t="shared" si="10"/>
        <v>-</v>
      </c>
      <c r="P87" s="65">
        <f t="shared" si="14"/>
        <v>0</v>
      </c>
      <c r="Q87" s="65">
        <f t="shared" si="11"/>
        <v>0</v>
      </c>
      <c r="R87" s="65">
        <f t="shared" si="9"/>
        <v>0</v>
      </c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</row>
    <row r="88" spans="2:64" x14ac:dyDescent="0.4">
      <c r="B88" s="485"/>
      <c r="C88" s="60">
        <v>85</v>
      </c>
      <c r="D88" s="69" t="s">
        <v>185</v>
      </c>
      <c r="E88" s="69"/>
      <c r="F88" s="69"/>
      <c r="G88" s="69"/>
      <c r="H88" s="69"/>
      <c r="I88" s="60" t="s">
        <v>107</v>
      </c>
      <c r="J88" s="70"/>
      <c r="K88" s="61"/>
      <c r="L88" s="61"/>
      <c r="M88" s="62" t="str">
        <f t="shared" si="13"/>
        <v/>
      </c>
      <c r="N88" s="63" t="str">
        <f t="shared" si="12"/>
        <v>-</v>
      </c>
      <c r="O88" s="64" t="str">
        <f t="shared" si="10"/>
        <v>-</v>
      </c>
      <c r="P88" s="65">
        <f t="shared" si="14"/>
        <v>0</v>
      </c>
      <c r="Q88" s="65">
        <f t="shared" si="11"/>
        <v>0</v>
      </c>
      <c r="R88" s="65">
        <f t="shared" si="9"/>
        <v>0</v>
      </c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</row>
    <row r="89" spans="2:64" x14ac:dyDescent="0.4">
      <c r="B89" s="485"/>
      <c r="C89" s="60">
        <v>86</v>
      </c>
      <c r="D89" s="69" t="s">
        <v>266</v>
      </c>
      <c r="E89" s="69"/>
      <c r="F89" s="69"/>
      <c r="G89" s="69"/>
      <c r="H89" s="69"/>
      <c r="I89" s="60" t="s">
        <v>107</v>
      </c>
      <c r="J89" s="70"/>
      <c r="K89" s="61"/>
      <c r="L89" s="61"/>
      <c r="M89" s="62" t="str">
        <f t="shared" si="13"/>
        <v/>
      </c>
      <c r="N89" s="63" t="str">
        <f t="shared" si="12"/>
        <v>-</v>
      </c>
      <c r="O89" s="64" t="str">
        <f t="shared" si="10"/>
        <v>-</v>
      </c>
      <c r="P89" s="65">
        <f t="shared" si="14"/>
        <v>0</v>
      </c>
      <c r="Q89" s="65">
        <f t="shared" si="11"/>
        <v>0</v>
      </c>
      <c r="R89" s="65">
        <f t="shared" si="9"/>
        <v>0</v>
      </c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</row>
    <row r="90" spans="2:64" x14ac:dyDescent="0.4">
      <c r="B90" s="485"/>
      <c r="C90" s="60">
        <v>87</v>
      </c>
      <c r="D90" s="69" t="s">
        <v>186</v>
      </c>
      <c r="E90" s="69"/>
      <c r="F90" s="69"/>
      <c r="G90" s="69"/>
      <c r="H90" s="69"/>
      <c r="I90" s="60" t="s">
        <v>107</v>
      </c>
      <c r="J90" s="70"/>
      <c r="K90" s="61"/>
      <c r="L90" s="61"/>
      <c r="M90" s="62" t="str">
        <f t="shared" si="13"/>
        <v/>
      </c>
      <c r="N90" s="63" t="str">
        <f t="shared" si="12"/>
        <v>-</v>
      </c>
      <c r="O90" s="64" t="str">
        <f t="shared" si="10"/>
        <v>-</v>
      </c>
      <c r="P90" s="65">
        <f t="shared" si="14"/>
        <v>0</v>
      </c>
      <c r="Q90" s="65">
        <f t="shared" si="11"/>
        <v>0</v>
      </c>
      <c r="R90" s="65">
        <f t="shared" si="9"/>
        <v>0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</row>
    <row r="91" spans="2:64" x14ac:dyDescent="0.4">
      <c r="B91" s="485"/>
      <c r="C91" s="60">
        <v>88</v>
      </c>
      <c r="D91" s="69" t="s">
        <v>187</v>
      </c>
      <c r="E91" s="69"/>
      <c r="F91" s="69"/>
      <c r="G91" s="69"/>
      <c r="H91" s="69"/>
      <c r="I91" s="60" t="s">
        <v>107</v>
      </c>
      <c r="J91" s="70"/>
      <c r="K91" s="61"/>
      <c r="L91" s="61"/>
      <c r="M91" s="62" t="str">
        <f t="shared" si="13"/>
        <v/>
      </c>
      <c r="N91" s="63" t="str">
        <f t="shared" si="12"/>
        <v>-</v>
      </c>
      <c r="O91" s="64" t="str">
        <f t="shared" si="10"/>
        <v>-</v>
      </c>
      <c r="P91" s="65">
        <f t="shared" si="14"/>
        <v>0</v>
      </c>
      <c r="Q91" s="65">
        <f t="shared" si="11"/>
        <v>0</v>
      </c>
      <c r="R91" s="65">
        <f t="shared" si="9"/>
        <v>0</v>
      </c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</row>
    <row r="92" spans="2:64" x14ac:dyDescent="0.4">
      <c r="B92" s="485"/>
      <c r="C92" s="60">
        <v>89</v>
      </c>
      <c r="D92" s="69" t="s">
        <v>188</v>
      </c>
      <c r="E92" s="69"/>
      <c r="F92" s="69"/>
      <c r="G92" s="69"/>
      <c r="H92" s="69"/>
      <c r="I92" s="60" t="s">
        <v>107</v>
      </c>
      <c r="J92" s="70"/>
      <c r="K92" s="61"/>
      <c r="L92" s="61"/>
      <c r="M92" s="62" t="str">
        <f t="shared" si="13"/>
        <v/>
      </c>
      <c r="N92" s="63" t="str">
        <f t="shared" si="12"/>
        <v>-</v>
      </c>
      <c r="O92" s="64" t="str">
        <f t="shared" si="10"/>
        <v>-</v>
      </c>
      <c r="P92" s="65">
        <f t="shared" si="14"/>
        <v>0</v>
      </c>
      <c r="Q92" s="65">
        <f t="shared" si="11"/>
        <v>0</v>
      </c>
      <c r="R92" s="65">
        <f t="shared" si="9"/>
        <v>0</v>
      </c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</row>
    <row r="93" spans="2:64" x14ac:dyDescent="0.4">
      <c r="B93" s="485"/>
      <c r="C93" s="60">
        <v>90</v>
      </c>
      <c r="D93" s="69" t="s">
        <v>16</v>
      </c>
      <c r="E93" s="69"/>
      <c r="F93" s="69"/>
      <c r="G93" s="69"/>
      <c r="H93" s="69"/>
      <c r="I93" s="60" t="s">
        <v>107</v>
      </c>
      <c r="J93" s="70"/>
      <c r="K93" s="61"/>
      <c r="L93" s="61"/>
      <c r="M93" s="62" t="str">
        <f t="shared" si="13"/>
        <v/>
      </c>
      <c r="N93" s="63" t="str">
        <f t="shared" si="12"/>
        <v>-</v>
      </c>
      <c r="O93" s="64" t="str">
        <f t="shared" si="10"/>
        <v>-</v>
      </c>
      <c r="P93" s="65">
        <f t="shared" si="14"/>
        <v>0</v>
      </c>
      <c r="Q93" s="65">
        <f t="shared" si="11"/>
        <v>0</v>
      </c>
      <c r="R93" s="65">
        <f t="shared" si="9"/>
        <v>0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</row>
    <row r="94" spans="2:64" x14ac:dyDescent="0.4">
      <c r="B94" s="485"/>
      <c r="C94" s="60">
        <v>91</v>
      </c>
      <c r="D94" s="69" t="s">
        <v>189</v>
      </c>
      <c r="E94" s="69"/>
      <c r="F94" s="69"/>
      <c r="G94" s="69"/>
      <c r="H94" s="69"/>
      <c r="I94" s="60" t="s">
        <v>107</v>
      </c>
      <c r="J94" s="70"/>
      <c r="K94" s="61"/>
      <c r="L94" s="61"/>
      <c r="M94" s="62" t="str">
        <f t="shared" si="13"/>
        <v/>
      </c>
      <c r="N94" s="63" t="str">
        <f t="shared" si="12"/>
        <v>-</v>
      </c>
      <c r="O94" s="64" t="str">
        <f t="shared" si="10"/>
        <v>-</v>
      </c>
      <c r="P94" s="65">
        <f t="shared" si="14"/>
        <v>0</v>
      </c>
      <c r="Q94" s="65">
        <f t="shared" si="11"/>
        <v>0</v>
      </c>
      <c r="R94" s="65">
        <f t="shared" si="9"/>
        <v>0</v>
      </c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</row>
    <row r="95" spans="2:64" x14ac:dyDescent="0.4">
      <c r="B95" s="485"/>
      <c r="C95" s="60">
        <v>92</v>
      </c>
      <c r="D95" s="69" t="s">
        <v>179</v>
      </c>
      <c r="E95" s="69"/>
      <c r="F95" s="69"/>
      <c r="G95" s="69"/>
      <c r="H95" s="69"/>
      <c r="I95" s="60" t="s">
        <v>107</v>
      </c>
      <c r="J95" s="70"/>
      <c r="K95" s="61"/>
      <c r="L95" s="61"/>
      <c r="M95" s="62" t="str">
        <f t="shared" si="13"/>
        <v/>
      </c>
      <c r="N95" s="63" t="str">
        <f t="shared" si="12"/>
        <v>-</v>
      </c>
      <c r="O95" s="64" t="str">
        <f t="shared" si="10"/>
        <v>-</v>
      </c>
      <c r="P95" s="65">
        <f t="shared" si="14"/>
        <v>0</v>
      </c>
      <c r="Q95" s="65">
        <f t="shared" si="11"/>
        <v>0</v>
      </c>
      <c r="R95" s="65">
        <f t="shared" si="9"/>
        <v>0</v>
      </c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</row>
    <row r="96" spans="2:64" x14ac:dyDescent="0.4">
      <c r="B96" s="485" t="s">
        <v>190</v>
      </c>
      <c r="C96" s="60">
        <v>93</v>
      </c>
      <c r="D96" s="69" t="s">
        <v>191</v>
      </c>
      <c r="E96" s="69"/>
      <c r="F96" s="69"/>
      <c r="G96" s="69"/>
      <c r="H96" s="69"/>
      <c r="I96" s="60" t="s">
        <v>107</v>
      </c>
      <c r="J96" s="70"/>
      <c r="K96" s="61"/>
      <c r="L96" s="61"/>
      <c r="M96" s="62" t="str">
        <f t="shared" si="13"/>
        <v/>
      </c>
      <c r="N96" s="63" t="str">
        <f t="shared" si="12"/>
        <v>-</v>
      </c>
      <c r="O96" s="64" t="str">
        <f t="shared" si="10"/>
        <v>-</v>
      </c>
      <c r="P96" s="65">
        <f t="shared" si="14"/>
        <v>0</v>
      </c>
      <c r="Q96" s="65">
        <f t="shared" si="11"/>
        <v>0</v>
      </c>
      <c r="R96" s="65">
        <f t="shared" si="9"/>
        <v>0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</row>
    <row r="97" spans="2:64" x14ac:dyDescent="0.4">
      <c r="B97" s="485"/>
      <c r="C97" s="60">
        <v>94</v>
      </c>
      <c r="D97" s="69" t="s">
        <v>192</v>
      </c>
      <c r="E97" s="69"/>
      <c r="F97" s="69"/>
      <c r="G97" s="69"/>
      <c r="H97" s="69"/>
      <c r="I97" s="60" t="s">
        <v>107</v>
      </c>
      <c r="J97" s="70"/>
      <c r="K97" s="61"/>
      <c r="L97" s="61"/>
      <c r="M97" s="62" t="str">
        <f t="shared" si="13"/>
        <v/>
      </c>
      <c r="N97" s="63" t="str">
        <f t="shared" si="12"/>
        <v>-</v>
      </c>
      <c r="O97" s="64" t="str">
        <f t="shared" si="10"/>
        <v>-</v>
      </c>
      <c r="P97" s="65">
        <f t="shared" si="14"/>
        <v>0</v>
      </c>
      <c r="Q97" s="65">
        <f t="shared" si="11"/>
        <v>0</v>
      </c>
      <c r="R97" s="65">
        <f t="shared" si="9"/>
        <v>0</v>
      </c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</row>
    <row r="98" spans="2:64" x14ac:dyDescent="0.4">
      <c r="B98" s="485"/>
      <c r="C98" s="60">
        <v>95</v>
      </c>
      <c r="D98" s="69" t="s">
        <v>193</v>
      </c>
      <c r="E98" s="69"/>
      <c r="F98" s="69"/>
      <c r="G98" s="69"/>
      <c r="H98" s="69"/>
      <c r="I98" s="60" t="s">
        <v>107</v>
      </c>
      <c r="J98" s="70"/>
      <c r="K98" s="61"/>
      <c r="L98" s="61"/>
      <c r="M98" s="62" t="str">
        <f t="shared" si="13"/>
        <v/>
      </c>
      <c r="N98" s="63" t="str">
        <f t="shared" si="12"/>
        <v>-</v>
      </c>
      <c r="O98" s="64" t="str">
        <f t="shared" si="10"/>
        <v>-</v>
      </c>
      <c r="P98" s="65">
        <f t="shared" si="14"/>
        <v>0</v>
      </c>
      <c r="Q98" s="65">
        <f t="shared" si="11"/>
        <v>0</v>
      </c>
      <c r="R98" s="65">
        <f t="shared" si="9"/>
        <v>0</v>
      </c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</row>
    <row r="99" spans="2:64" ht="29" x14ac:dyDescent="0.4">
      <c r="B99" s="485"/>
      <c r="C99" s="60">
        <v>96</v>
      </c>
      <c r="D99" s="69" t="s">
        <v>194</v>
      </c>
      <c r="E99" s="69"/>
      <c r="F99" s="69"/>
      <c r="G99" s="69"/>
      <c r="H99" s="69"/>
      <c r="I99" s="60" t="s">
        <v>107</v>
      </c>
      <c r="J99" s="70"/>
      <c r="K99" s="61"/>
      <c r="L99" s="61"/>
      <c r="M99" s="62" t="str">
        <f t="shared" si="13"/>
        <v/>
      </c>
      <c r="N99" s="63" t="str">
        <f t="shared" si="12"/>
        <v>-</v>
      </c>
      <c r="O99" s="64" t="str">
        <f t="shared" si="10"/>
        <v>-</v>
      </c>
      <c r="P99" s="65">
        <f t="shared" si="14"/>
        <v>0</v>
      </c>
      <c r="Q99" s="65">
        <f t="shared" si="11"/>
        <v>0</v>
      </c>
      <c r="R99" s="65">
        <f t="shared" ref="R99:R130" si="15">SUM(S99:XFD99)</f>
        <v>0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</row>
    <row r="100" spans="2:64" x14ac:dyDescent="0.4">
      <c r="B100" s="485"/>
      <c r="C100" s="60">
        <v>97</v>
      </c>
      <c r="D100" s="69" t="s">
        <v>195</v>
      </c>
      <c r="E100" s="69"/>
      <c r="F100" s="69"/>
      <c r="G100" s="69"/>
      <c r="H100" s="69"/>
      <c r="I100" s="60" t="s">
        <v>107</v>
      </c>
      <c r="J100" s="70"/>
      <c r="K100" s="61"/>
      <c r="L100" s="61"/>
      <c r="M100" s="62" t="str">
        <f t="shared" si="13"/>
        <v/>
      </c>
      <c r="N100" s="63" t="str">
        <f t="shared" si="12"/>
        <v>-</v>
      </c>
      <c r="O100" s="64" t="str">
        <f t="shared" si="10"/>
        <v>-</v>
      </c>
      <c r="P100" s="65">
        <f t="shared" si="14"/>
        <v>0</v>
      </c>
      <c r="Q100" s="65">
        <f t="shared" si="11"/>
        <v>0</v>
      </c>
      <c r="R100" s="65">
        <f t="shared" si="15"/>
        <v>0</v>
      </c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</row>
    <row r="101" spans="2:64" ht="29" x14ac:dyDescent="0.4">
      <c r="B101" s="485"/>
      <c r="C101" s="60">
        <v>98</v>
      </c>
      <c r="D101" s="69" t="s">
        <v>196</v>
      </c>
      <c r="E101" s="69"/>
      <c r="F101" s="69"/>
      <c r="G101" s="69"/>
      <c r="H101" s="69"/>
      <c r="I101" s="60" t="s">
        <v>107</v>
      </c>
      <c r="J101" s="70"/>
      <c r="K101" s="61"/>
      <c r="L101" s="61"/>
      <c r="M101" s="62" t="str">
        <f t="shared" si="13"/>
        <v/>
      </c>
      <c r="N101" s="63" t="str">
        <f t="shared" si="12"/>
        <v>-</v>
      </c>
      <c r="O101" s="64" t="str">
        <f t="shared" si="10"/>
        <v>-</v>
      </c>
      <c r="P101" s="65">
        <f t="shared" si="14"/>
        <v>0</v>
      </c>
      <c r="Q101" s="65">
        <f t="shared" si="11"/>
        <v>0</v>
      </c>
      <c r="R101" s="65">
        <f t="shared" si="15"/>
        <v>0</v>
      </c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</row>
    <row r="102" spans="2:64" ht="29" x14ac:dyDescent="0.4">
      <c r="B102" s="485"/>
      <c r="C102" s="60">
        <v>99</v>
      </c>
      <c r="D102" s="69" t="s">
        <v>197</v>
      </c>
      <c r="E102" s="69"/>
      <c r="F102" s="69"/>
      <c r="G102" s="69"/>
      <c r="H102" s="69"/>
      <c r="I102" s="60" t="s">
        <v>107</v>
      </c>
      <c r="J102" s="70"/>
      <c r="K102" s="61"/>
      <c r="L102" s="61"/>
      <c r="M102" s="62" t="str">
        <f t="shared" si="13"/>
        <v/>
      </c>
      <c r="N102" s="63" t="str">
        <f t="shared" si="12"/>
        <v>-</v>
      </c>
      <c r="O102" s="64" t="str">
        <f t="shared" si="10"/>
        <v>-</v>
      </c>
      <c r="P102" s="65">
        <f t="shared" si="14"/>
        <v>0</v>
      </c>
      <c r="Q102" s="65">
        <f t="shared" si="11"/>
        <v>0</v>
      </c>
      <c r="R102" s="65">
        <f t="shared" si="15"/>
        <v>0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</row>
    <row r="103" spans="2:64" x14ac:dyDescent="0.4">
      <c r="B103" s="485"/>
      <c r="C103" s="60">
        <v>100</v>
      </c>
      <c r="D103" s="69" t="s">
        <v>198</v>
      </c>
      <c r="E103" s="69"/>
      <c r="F103" s="69"/>
      <c r="G103" s="69"/>
      <c r="H103" s="69"/>
      <c r="I103" s="60" t="s">
        <v>107</v>
      </c>
      <c r="J103" s="70"/>
      <c r="K103" s="61"/>
      <c r="L103" s="61"/>
      <c r="M103" s="62" t="str">
        <f t="shared" si="13"/>
        <v/>
      </c>
      <c r="N103" s="63" t="str">
        <f t="shared" si="12"/>
        <v>-</v>
      </c>
      <c r="O103" s="64" t="str">
        <f t="shared" si="10"/>
        <v>-</v>
      </c>
      <c r="P103" s="65">
        <f t="shared" si="14"/>
        <v>0</v>
      </c>
      <c r="Q103" s="65">
        <f t="shared" si="11"/>
        <v>0</v>
      </c>
      <c r="R103" s="65">
        <f t="shared" si="15"/>
        <v>0</v>
      </c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</row>
    <row r="104" spans="2:64" x14ac:dyDescent="0.4">
      <c r="B104" s="485"/>
      <c r="C104" s="60">
        <v>101</v>
      </c>
      <c r="D104" s="69" t="s">
        <v>199</v>
      </c>
      <c r="E104" s="69"/>
      <c r="F104" s="69"/>
      <c r="G104" s="69"/>
      <c r="H104" s="69"/>
      <c r="I104" s="60" t="s">
        <v>107</v>
      </c>
      <c r="J104" s="70"/>
      <c r="K104" s="61"/>
      <c r="L104" s="61"/>
      <c r="M104" s="62" t="str">
        <f t="shared" si="13"/>
        <v/>
      </c>
      <c r="N104" s="63" t="str">
        <f t="shared" si="12"/>
        <v>-</v>
      </c>
      <c r="O104" s="64" t="str">
        <f t="shared" si="10"/>
        <v>-</v>
      </c>
      <c r="P104" s="65">
        <f t="shared" si="14"/>
        <v>0</v>
      </c>
      <c r="Q104" s="65">
        <f t="shared" si="11"/>
        <v>0</v>
      </c>
      <c r="R104" s="65">
        <f t="shared" si="15"/>
        <v>0</v>
      </c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</row>
    <row r="105" spans="2:64" x14ac:dyDescent="0.4">
      <c r="B105" s="485"/>
      <c r="C105" s="60">
        <v>102</v>
      </c>
      <c r="D105" s="69" t="s">
        <v>200</v>
      </c>
      <c r="E105" s="69"/>
      <c r="F105" s="69"/>
      <c r="G105" s="69"/>
      <c r="H105" s="69"/>
      <c r="I105" s="60" t="s">
        <v>107</v>
      </c>
      <c r="J105" s="70"/>
      <c r="K105" s="61"/>
      <c r="L105" s="61"/>
      <c r="M105" s="62" t="str">
        <f t="shared" si="13"/>
        <v/>
      </c>
      <c r="N105" s="63" t="str">
        <f t="shared" si="12"/>
        <v>-</v>
      </c>
      <c r="O105" s="64" t="str">
        <f t="shared" si="10"/>
        <v>-</v>
      </c>
      <c r="P105" s="65">
        <f t="shared" si="14"/>
        <v>0</v>
      </c>
      <c r="Q105" s="65">
        <f t="shared" si="11"/>
        <v>0</v>
      </c>
      <c r="R105" s="65">
        <f t="shared" si="15"/>
        <v>0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</row>
    <row r="106" spans="2:64" x14ac:dyDescent="0.4">
      <c r="B106" s="485"/>
      <c r="C106" s="60">
        <v>103</v>
      </c>
      <c r="D106" s="69" t="s">
        <v>186</v>
      </c>
      <c r="E106" s="69"/>
      <c r="F106" s="69"/>
      <c r="G106" s="69"/>
      <c r="H106" s="69"/>
      <c r="I106" s="60" t="s">
        <v>107</v>
      </c>
      <c r="J106" s="70"/>
      <c r="K106" s="61"/>
      <c r="L106" s="61"/>
      <c r="M106" s="62" t="str">
        <f t="shared" si="13"/>
        <v/>
      </c>
      <c r="N106" s="63" t="str">
        <f t="shared" si="12"/>
        <v>-</v>
      </c>
      <c r="O106" s="64" t="str">
        <f t="shared" si="10"/>
        <v>-</v>
      </c>
      <c r="P106" s="65">
        <f t="shared" si="14"/>
        <v>0</v>
      </c>
      <c r="Q106" s="65">
        <f t="shared" si="11"/>
        <v>0</v>
      </c>
      <c r="R106" s="65">
        <f t="shared" si="15"/>
        <v>0</v>
      </c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</row>
    <row r="107" spans="2:64" x14ac:dyDescent="0.4">
      <c r="B107" s="485"/>
      <c r="C107" s="60">
        <v>104</v>
      </c>
      <c r="D107" s="69" t="s">
        <v>179</v>
      </c>
      <c r="E107" s="69"/>
      <c r="F107" s="69"/>
      <c r="G107" s="69"/>
      <c r="H107" s="69"/>
      <c r="I107" s="60" t="s">
        <v>107</v>
      </c>
      <c r="J107" s="70"/>
      <c r="K107" s="61"/>
      <c r="L107" s="61"/>
      <c r="M107" s="62" t="str">
        <f t="shared" si="13"/>
        <v/>
      </c>
      <c r="N107" s="63" t="str">
        <f t="shared" si="12"/>
        <v>-</v>
      </c>
      <c r="O107" s="64" t="str">
        <f t="shared" si="10"/>
        <v>-</v>
      </c>
      <c r="P107" s="65">
        <f t="shared" si="14"/>
        <v>0</v>
      </c>
      <c r="Q107" s="65">
        <f t="shared" si="11"/>
        <v>0</v>
      </c>
      <c r="R107" s="65">
        <f t="shared" si="15"/>
        <v>0</v>
      </c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</row>
    <row r="108" spans="2:64" x14ac:dyDescent="0.4">
      <c r="B108" s="485"/>
      <c r="C108" s="60">
        <v>105</v>
      </c>
      <c r="D108" s="69" t="s">
        <v>201</v>
      </c>
      <c r="E108" s="69"/>
      <c r="F108" s="69"/>
      <c r="G108" s="69"/>
      <c r="H108" s="69"/>
      <c r="I108" s="60" t="s">
        <v>107</v>
      </c>
      <c r="J108" s="70"/>
      <c r="K108" s="61"/>
      <c r="L108" s="61"/>
      <c r="M108" s="62" t="str">
        <f t="shared" si="13"/>
        <v/>
      </c>
      <c r="N108" s="63" t="str">
        <f t="shared" si="12"/>
        <v>-</v>
      </c>
      <c r="O108" s="64" t="str">
        <f t="shared" si="10"/>
        <v>-</v>
      </c>
      <c r="P108" s="65">
        <f t="shared" si="14"/>
        <v>0</v>
      </c>
      <c r="Q108" s="65">
        <f t="shared" si="11"/>
        <v>0</v>
      </c>
      <c r="R108" s="65">
        <f t="shared" si="15"/>
        <v>0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</row>
    <row r="109" spans="2:64" ht="29" x14ac:dyDescent="0.4">
      <c r="B109" s="485" t="s">
        <v>202</v>
      </c>
      <c r="C109" s="60">
        <v>106</v>
      </c>
      <c r="D109" s="69" t="s">
        <v>203</v>
      </c>
      <c r="E109" s="69"/>
      <c r="F109" s="69"/>
      <c r="G109" s="69"/>
      <c r="H109" s="69"/>
      <c r="I109" s="60" t="s">
        <v>204</v>
      </c>
      <c r="J109" s="70"/>
      <c r="K109" s="61"/>
      <c r="L109" s="61"/>
      <c r="M109" s="62" t="str">
        <f t="shared" si="13"/>
        <v/>
      </c>
      <c r="N109" s="63" t="str">
        <f t="shared" si="12"/>
        <v>-</v>
      </c>
      <c r="O109" s="64" t="str">
        <f t="shared" si="10"/>
        <v>-</v>
      </c>
      <c r="P109" s="65">
        <f t="shared" si="14"/>
        <v>0</v>
      </c>
      <c r="Q109" s="65">
        <f t="shared" si="11"/>
        <v>0</v>
      </c>
      <c r="R109" s="65">
        <f t="shared" si="15"/>
        <v>0</v>
      </c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</row>
    <row r="110" spans="2:64" x14ac:dyDescent="0.4">
      <c r="B110" s="485"/>
      <c r="C110" s="60">
        <v>107</v>
      </c>
      <c r="D110" s="69" t="s">
        <v>205</v>
      </c>
      <c r="E110" s="69"/>
      <c r="F110" s="69"/>
      <c r="G110" s="69"/>
      <c r="H110" s="69"/>
      <c r="I110" s="60" t="s">
        <v>204</v>
      </c>
      <c r="J110" s="70"/>
      <c r="K110" s="61"/>
      <c r="L110" s="61"/>
      <c r="M110" s="62" t="str">
        <f t="shared" si="13"/>
        <v/>
      </c>
      <c r="N110" s="63" t="str">
        <f t="shared" si="12"/>
        <v>-</v>
      </c>
      <c r="O110" s="64" t="str">
        <f t="shared" si="10"/>
        <v>-</v>
      </c>
      <c r="P110" s="65">
        <f t="shared" si="14"/>
        <v>0</v>
      </c>
      <c r="Q110" s="65">
        <f t="shared" si="11"/>
        <v>0</v>
      </c>
      <c r="R110" s="65">
        <f t="shared" si="15"/>
        <v>0</v>
      </c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</row>
    <row r="111" spans="2:64" ht="29" x14ac:dyDescent="0.4">
      <c r="B111" s="485"/>
      <c r="C111" s="60">
        <v>108</v>
      </c>
      <c r="D111" s="69" t="s">
        <v>206</v>
      </c>
      <c r="E111" s="69"/>
      <c r="F111" s="69"/>
      <c r="G111" s="69"/>
      <c r="H111" s="69"/>
      <c r="I111" s="60" t="s">
        <v>204</v>
      </c>
      <c r="J111" s="70"/>
      <c r="K111" s="61"/>
      <c r="L111" s="61"/>
      <c r="M111" s="62" t="str">
        <f t="shared" si="13"/>
        <v/>
      </c>
      <c r="N111" s="63" t="str">
        <f t="shared" si="12"/>
        <v>-</v>
      </c>
      <c r="O111" s="64" t="str">
        <f t="shared" si="10"/>
        <v>-</v>
      </c>
      <c r="P111" s="65">
        <f t="shared" si="14"/>
        <v>0</v>
      </c>
      <c r="Q111" s="65">
        <f t="shared" si="11"/>
        <v>0</v>
      </c>
      <c r="R111" s="65">
        <f t="shared" si="15"/>
        <v>0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</row>
    <row r="112" spans="2:64" ht="29" x14ac:dyDescent="0.4">
      <c r="B112" s="485" t="s">
        <v>207</v>
      </c>
      <c r="C112" s="60">
        <v>109</v>
      </c>
      <c r="D112" s="69" t="s">
        <v>208</v>
      </c>
      <c r="E112" s="69"/>
      <c r="F112" s="69"/>
      <c r="G112" s="69"/>
      <c r="H112" s="69"/>
      <c r="I112" s="60" t="s">
        <v>107</v>
      </c>
      <c r="J112" s="70"/>
      <c r="K112" s="61"/>
      <c r="L112" s="61"/>
      <c r="M112" s="62" t="str">
        <f t="shared" si="13"/>
        <v/>
      </c>
      <c r="N112" s="63" t="str">
        <f t="shared" si="12"/>
        <v>-</v>
      </c>
      <c r="O112" s="64" t="str">
        <f t="shared" si="10"/>
        <v>-</v>
      </c>
      <c r="P112" s="65">
        <f t="shared" si="14"/>
        <v>0</v>
      </c>
      <c r="Q112" s="65">
        <f t="shared" si="11"/>
        <v>0</v>
      </c>
      <c r="R112" s="65">
        <f t="shared" si="15"/>
        <v>0</v>
      </c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</row>
    <row r="113" spans="2:64" ht="29" x14ac:dyDescent="0.4">
      <c r="B113" s="485"/>
      <c r="C113" s="60">
        <v>110</v>
      </c>
      <c r="D113" s="69" t="s">
        <v>209</v>
      </c>
      <c r="E113" s="69"/>
      <c r="F113" s="69"/>
      <c r="G113" s="69"/>
      <c r="H113" s="69"/>
      <c r="I113" s="60" t="s">
        <v>107</v>
      </c>
      <c r="J113" s="70"/>
      <c r="K113" s="61"/>
      <c r="L113" s="61"/>
      <c r="M113" s="62" t="str">
        <f t="shared" si="13"/>
        <v/>
      </c>
      <c r="N113" s="63" t="str">
        <f t="shared" si="12"/>
        <v>-</v>
      </c>
      <c r="O113" s="64" t="str">
        <f t="shared" si="10"/>
        <v>-</v>
      </c>
      <c r="P113" s="65">
        <f t="shared" si="14"/>
        <v>0</v>
      </c>
      <c r="Q113" s="65">
        <f t="shared" si="11"/>
        <v>0</v>
      </c>
      <c r="R113" s="65">
        <f t="shared" si="15"/>
        <v>0</v>
      </c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</row>
    <row r="114" spans="2:64" ht="29" x14ac:dyDescent="0.4">
      <c r="B114" s="485"/>
      <c r="C114" s="60">
        <v>111</v>
      </c>
      <c r="D114" s="69" t="s">
        <v>210</v>
      </c>
      <c r="E114" s="69"/>
      <c r="F114" s="69"/>
      <c r="G114" s="69"/>
      <c r="H114" s="69"/>
      <c r="I114" s="60" t="s">
        <v>107</v>
      </c>
      <c r="J114" s="70"/>
      <c r="K114" s="61"/>
      <c r="L114" s="61"/>
      <c r="M114" s="62" t="str">
        <f t="shared" si="13"/>
        <v/>
      </c>
      <c r="N114" s="63" t="str">
        <f t="shared" si="12"/>
        <v>-</v>
      </c>
      <c r="O114" s="64" t="str">
        <f t="shared" si="10"/>
        <v>-</v>
      </c>
      <c r="P114" s="65">
        <f t="shared" si="14"/>
        <v>0</v>
      </c>
      <c r="Q114" s="65">
        <f t="shared" si="11"/>
        <v>0</v>
      </c>
      <c r="R114" s="65">
        <f t="shared" si="15"/>
        <v>0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</row>
    <row r="115" spans="2:64" ht="29" x14ac:dyDescent="0.4">
      <c r="B115" s="485" t="s">
        <v>211</v>
      </c>
      <c r="C115" s="60">
        <v>112</v>
      </c>
      <c r="D115" s="69" t="s">
        <v>212</v>
      </c>
      <c r="E115" s="69"/>
      <c r="F115" s="69"/>
      <c r="G115" s="69"/>
      <c r="H115" s="69"/>
      <c r="I115" s="60" t="s">
        <v>107</v>
      </c>
      <c r="J115" s="70"/>
      <c r="K115" s="61"/>
      <c r="L115" s="61"/>
      <c r="M115" s="62" t="str">
        <f t="shared" si="13"/>
        <v/>
      </c>
      <c r="N115" s="63" t="str">
        <f t="shared" si="12"/>
        <v>-</v>
      </c>
      <c r="O115" s="64" t="str">
        <f t="shared" si="10"/>
        <v>-</v>
      </c>
      <c r="P115" s="65">
        <f t="shared" si="14"/>
        <v>0</v>
      </c>
      <c r="Q115" s="65">
        <f t="shared" si="11"/>
        <v>0</v>
      </c>
      <c r="R115" s="65">
        <f t="shared" si="15"/>
        <v>0</v>
      </c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</row>
    <row r="116" spans="2:64" x14ac:dyDescent="0.4">
      <c r="B116" s="485"/>
      <c r="C116" s="60">
        <v>113</v>
      </c>
      <c r="D116" s="69" t="s">
        <v>213</v>
      </c>
      <c r="E116" s="69"/>
      <c r="F116" s="69"/>
      <c r="G116" s="69"/>
      <c r="H116" s="69"/>
      <c r="I116" s="60" t="s">
        <v>107</v>
      </c>
      <c r="J116" s="70"/>
      <c r="K116" s="61"/>
      <c r="L116" s="61"/>
      <c r="M116" s="62" t="str">
        <f t="shared" si="13"/>
        <v/>
      </c>
      <c r="N116" s="63" t="str">
        <f t="shared" si="12"/>
        <v>-</v>
      </c>
      <c r="O116" s="64" t="str">
        <f t="shared" si="10"/>
        <v>-</v>
      </c>
      <c r="P116" s="65">
        <f t="shared" si="14"/>
        <v>0</v>
      </c>
      <c r="Q116" s="65">
        <f t="shared" si="11"/>
        <v>0</v>
      </c>
      <c r="R116" s="65">
        <f t="shared" si="15"/>
        <v>0</v>
      </c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</row>
    <row r="117" spans="2:64" ht="29" x14ac:dyDescent="0.4">
      <c r="B117" s="485"/>
      <c r="C117" s="60">
        <v>114</v>
      </c>
      <c r="D117" s="69" t="s">
        <v>214</v>
      </c>
      <c r="E117" s="69"/>
      <c r="F117" s="69"/>
      <c r="G117" s="69"/>
      <c r="H117" s="69"/>
      <c r="I117" s="60" t="s">
        <v>107</v>
      </c>
      <c r="J117" s="70"/>
      <c r="K117" s="61"/>
      <c r="L117" s="61"/>
      <c r="M117" s="62" t="str">
        <f t="shared" si="13"/>
        <v/>
      </c>
      <c r="N117" s="63" t="str">
        <f t="shared" si="12"/>
        <v>-</v>
      </c>
      <c r="O117" s="64" t="str">
        <f t="shared" si="10"/>
        <v>-</v>
      </c>
      <c r="P117" s="65">
        <f t="shared" si="14"/>
        <v>0</v>
      </c>
      <c r="Q117" s="65">
        <f t="shared" si="11"/>
        <v>0</v>
      </c>
      <c r="R117" s="65">
        <f t="shared" si="15"/>
        <v>0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</row>
    <row r="118" spans="2:64" ht="29" x14ac:dyDescent="0.4">
      <c r="B118" s="485"/>
      <c r="C118" s="60">
        <v>115</v>
      </c>
      <c r="D118" s="69" t="s">
        <v>215</v>
      </c>
      <c r="E118" s="69"/>
      <c r="F118" s="69"/>
      <c r="G118" s="69"/>
      <c r="H118" s="69"/>
      <c r="I118" s="60" t="s">
        <v>107</v>
      </c>
      <c r="J118" s="70"/>
      <c r="K118" s="61"/>
      <c r="L118" s="61"/>
      <c r="M118" s="62" t="str">
        <f t="shared" si="13"/>
        <v/>
      </c>
      <c r="N118" s="63" t="str">
        <f t="shared" si="12"/>
        <v>-</v>
      </c>
      <c r="O118" s="64" t="str">
        <f t="shared" si="10"/>
        <v>-</v>
      </c>
      <c r="P118" s="65">
        <f t="shared" si="14"/>
        <v>0</v>
      </c>
      <c r="Q118" s="65">
        <f t="shared" si="11"/>
        <v>0</v>
      </c>
      <c r="R118" s="65">
        <f t="shared" si="15"/>
        <v>0</v>
      </c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</row>
    <row r="119" spans="2:64" ht="29" x14ac:dyDescent="0.4">
      <c r="B119" s="485"/>
      <c r="C119" s="60">
        <v>116</v>
      </c>
      <c r="D119" s="69" t="s">
        <v>216</v>
      </c>
      <c r="E119" s="69"/>
      <c r="F119" s="69"/>
      <c r="G119" s="69"/>
      <c r="H119" s="69"/>
      <c r="I119" s="60" t="s">
        <v>107</v>
      </c>
      <c r="J119" s="70"/>
      <c r="K119" s="61"/>
      <c r="L119" s="61"/>
      <c r="M119" s="62" t="str">
        <f t="shared" si="13"/>
        <v/>
      </c>
      <c r="N119" s="63" t="str">
        <f t="shared" si="12"/>
        <v>-</v>
      </c>
      <c r="O119" s="64" t="str">
        <f t="shared" si="10"/>
        <v>-</v>
      </c>
      <c r="P119" s="65">
        <f t="shared" si="14"/>
        <v>0</v>
      </c>
      <c r="Q119" s="65">
        <f t="shared" si="11"/>
        <v>0</v>
      </c>
      <c r="R119" s="65">
        <f t="shared" si="15"/>
        <v>0</v>
      </c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</row>
    <row r="120" spans="2:64" ht="29" x14ac:dyDescent="0.4">
      <c r="B120" s="485"/>
      <c r="C120" s="60">
        <v>117</v>
      </c>
      <c r="D120" s="69" t="s">
        <v>217</v>
      </c>
      <c r="E120" s="69"/>
      <c r="F120" s="69"/>
      <c r="G120" s="69"/>
      <c r="H120" s="69"/>
      <c r="I120" s="60" t="s">
        <v>107</v>
      </c>
      <c r="J120" s="70"/>
      <c r="K120" s="61"/>
      <c r="L120" s="61"/>
      <c r="M120" s="62" t="str">
        <f t="shared" si="13"/>
        <v/>
      </c>
      <c r="N120" s="63" t="str">
        <f t="shared" si="12"/>
        <v>-</v>
      </c>
      <c r="O120" s="64" t="str">
        <f t="shared" si="10"/>
        <v>-</v>
      </c>
      <c r="P120" s="65">
        <f t="shared" si="14"/>
        <v>0</v>
      </c>
      <c r="Q120" s="65">
        <f t="shared" si="11"/>
        <v>0</v>
      </c>
      <c r="R120" s="65">
        <f t="shared" si="15"/>
        <v>0</v>
      </c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</row>
    <row r="121" spans="2:64" x14ac:dyDescent="0.4">
      <c r="B121" s="485"/>
      <c r="C121" s="60">
        <v>118</v>
      </c>
      <c r="D121" s="69" t="s">
        <v>218</v>
      </c>
      <c r="E121" s="69"/>
      <c r="F121" s="69"/>
      <c r="G121" s="69"/>
      <c r="H121" s="69"/>
      <c r="I121" s="60" t="s">
        <v>107</v>
      </c>
      <c r="J121" s="70"/>
      <c r="K121" s="61"/>
      <c r="L121" s="61"/>
      <c r="M121" s="62" t="str">
        <f t="shared" si="13"/>
        <v/>
      </c>
      <c r="N121" s="63" t="str">
        <f t="shared" si="12"/>
        <v>-</v>
      </c>
      <c r="O121" s="64" t="str">
        <f t="shared" si="10"/>
        <v>-</v>
      </c>
      <c r="P121" s="65">
        <f t="shared" si="14"/>
        <v>0</v>
      </c>
      <c r="Q121" s="65">
        <f t="shared" si="11"/>
        <v>0</v>
      </c>
      <c r="R121" s="65">
        <f t="shared" si="15"/>
        <v>0</v>
      </c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</row>
    <row r="122" spans="2:64" ht="29" x14ac:dyDescent="0.4">
      <c r="B122" s="485" t="s">
        <v>219</v>
      </c>
      <c r="C122" s="60">
        <v>119</v>
      </c>
      <c r="D122" s="69" t="s">
        <v>220</v>
      </c>
      <c r="E122" s="69"/>
      <c r="F122" s="69"/>
      <c r="G122" s="69"/>
      <c r="H122" s="69"/>
      <c r="I122" s="60" t="s">
        <v>107</v>
      </c>
      <c r="J122" s="70"/>
      <c r="K122" s="61"/>
      <c r="L122" s="61"/>
      <c r="M122" s="62" t="str">
        <f t="shared" si="13"/>
        <v/>
      </c>
      <c r="N122" s="63" t="str">
        <f t="shared" si="12"/>
        <v>-</v>
      </c>
      <c r="O122" s="64" t="str">
        <f t="shared" si="10"/>
        <v>-</v>
      </c>
      <c r="P122" s="65">
        <f t="shared" si="14"/>
        <v>0</v>
      </c>
      <c r="Q122" s="65">
        <f t="shared" si="11"/>
        <v>0</v>
      </c>
      <c r="R122" s="65">
        <f t="shared" si="15"/>
        <v>0</v>
      </c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</row>
    <row r="123" spans="2:64" ht="29" x14ac:dyDescent="0.4">
      <c r="B123" s="485"/>
      <c r="C123" s="60">
        <v>120</v>
      </c>
      <c r="D123" s="69" t="s">
        <v>221</v>
      </c>
      <c r="E123" s="69"/>
      <c r="F123" s="69"/>
      <c r="G123" s="69"/>
      <c r="H123" s="69"/>
      <c r="I123" s="60" t="s">
        <v>107</v>
      </c>
      <c r="J123" s="70"/>
      <c r="K123" s="61"/>
      <c r="L123" s="61"/>
      <c r="M123" s="62" t="str">
        <f t="shared" si="13"/>
        <v/>
      </c>
      <c r="N123" s="63" t="str">
        <f t="shared" si="12"/>
        <v>-</v>
      </c>
      <c r="O123" s="64" t="str">
        <f t="shared" si="10"/>
        <v>-</v>
      </c>
      <c r="P123" s="65">
        <f t="shared" si="14"/>
        <v>0</v>
      </c>
      <c r="Q123" s="65">
        <f t="shared" si="11"/>
        <v>0</v>
      </c>
      <c r="R123" s="65">
        <f t="shared" si="15"/>
        <v>0</v>
      </c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</row>
    <row r="124" spans="2:64" ht="29" x14ac:dyDescent="0.4">
      <c r="B124" s="485"/>
      <c r="C124" s="60">
        <v>121</v>
      </c>
      <c r="D124" s="69" t="s">
        <v>222</v>
      </c>
      <c r="E124" s="69"/>
      <c r="F124" s="69"/>
      <c r="G124" s="69"/>
      <c r="H124" s="69"/>
      <c r="I124" s="60" t="s">
        <v>107</v>
      </c>
      <c r="J124" s="70"/>
      <c r="K124" s="61"/>
      <c r="L124" s="61"/>
      <c r="M124" s="62" t="str">
        <f t="shared" si="13"/>
        <v/>
      </c>
      <c r="N124" s="63" t="str">
        <f t="shared" si="12"/>
        <v>-</v>
      </c>
      <c r="O124" s="64" t="str">
        <f t="shared" si="10"/>
        <v>-</v>
      </c>
      <c r="P124" s="65">
        <f t="shared" si="14"/>
        <v>0</v>
      </c>
      <c r="Q124" s="65">
        <f t="shared" si="11"/>
        <v>0</v>
      </c>
      <c r="R124" s="65">
        <f t="shared" si="15"/>
        <v>0</v>
      </c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</row>
    <row r="125" spans="2:64" ht="29" x14ac:dyDescent="0.4">
      <c r="B125" s="485"/>
      <c r="C125" s="60">
        <v>122</v>
      </c>
      <c r="D125" s="69" t="s">
        <v>217</v>
      </c>
      <c r="E125" s="69"/>
      <c r="F125" s="69"/>
      <c r="G125" s="69"/>
      <c r="H125" s="69"/>
      <c r="I125" s="60" t="s">
        <v>107</v>
      </c>
      <c r="J125" s="70"/>
      <c r="K125" s="61"/>
      <c r="L125" s="61"/>
      <c r="M125" s="62" t="str">
        <f t="shared" si="13"/>
        <v/>
      </c>
      <c r="N125" s="63" t="str">
        <f t="shared" si="12"/>
        <v>-</v>
      </c>
      <c r="O125" s="64" t="str">
        <f t="shared" si="10"/>
        <v>-</v>
      </c>
      <c r="P125" s="65">
        <f t="shared" si="14"/>
        <v>0</v>
      </c>
      <c r="Q125" s="65">
        <f t="shared" si="11"/>
        <v>0</v>
      </c>
      <c r="R125" s="65">
        <f t="shared" si="15"/>
        <v>0</v>
      </c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</row>
    <row r="126" spans="2:64" x14ac:dyDescent="0.4">
      <c r="B126" s="485"/>
      <c r="C126" s="60">
        <v>123</v>
      </c>
      <c r="D126" s="69" t="s">
        <v>218</v>
      </c>
      <c r="E126" s="69"/>
      <c r="F126" s="69"/>
      <c r="G126" s="69"/>
      <c r="H126" s="69"/>
      <c r="I126" s="60" t="s">
        <v>107</v>
      </c>
      <c r="J126" s="70"/>
      <c r="K126" s="61"/>
      <c r="L126" s="61"/>
      <c r="M126" s="62" t="str">
        <f t="shared" si="13"/>
        <v/>
      </c>
      <c r="N126" s="63" t="str">
        <f t="shared" si="12"/>
        <v>-</v>
      </c>
      <c r="O126" s="64" t="str">
        <f t="shared" si="10"/>
        <v>-</v>
      </c>
      <c r="P126" s="65">
        <f t="shared" si="14"/>
        <v>0</v>
      </c>
      <c r="Q126" s="65">
        <f t="shared" si="11"/>
        <v>0</v>
      </c>
      <c r="R126" s="65">
        <f t="shared" si="15"/>
        <v>0</v>
      </c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</row>
    <row r="127" spans="2:64" x14ac:dyDescent="0.4">
      <c r="B127" s="485" t="s">
        <v>223</v>
      </c>
      <c r="C127" s="60">
        <v>124</v>
      </c>
      <c r="D127" s="69" t="s">
        <v>224</v>
      </c>
      <c r="E127" s="69"/>
      <c r="F127" s="69"/>
      <c r="G127" s="69"/>
      <c r="H127" s="69"/>
      <c r="I127" s="60" t="s">
        <v>154</v>
      </c>
      <c r="J127" s="70"/>
      <c r="K127" s="61"/>
      <c r="L127" s="61"/>
      <c r="M127" s="62" t="str">
        <f t="shared" si="13"/>
        <v/>
      </c>
      <c r="N127" s="63" t="str">
        <f t="shared" si="12"/>
        <v>-</v>
      </c>
      <c r="O127" s="64" t="str">
        <f t="shared" si="10"/>
        <v>-</v>
      </c>
      <c r="P127" s="65">
        <f t="shared" si="14"/>
        <v>0</v>
      </c>
      <c r="Q127" s="65">
        <f t="shared" si="11"/>
        <v>0</v>
      </c>
      <c r="R127" s="65">
        <f t="shared" si="15"/>
        <v>0</v>
      </c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</row>
    <row r="128" spans="2:64" x14ac:dyDescent="0.4">
      <c r="B128" s="485"/>
      <c r="C128" s="60">
        <v>125</v>
      </c>
      <c r="D128" s="69" t="s">
        <v>225</v>
      </c>
      <c r="E128" s="69"/>
      <c r="F128" s="69"/>
      <c r="G128" s="69"/>
      <c r="H128" s="69"/>
      <c r="I128" s="60" t="s">
        <v>107</v>
      </c>
      <c r="J128" s="70"/>
      <c r="K128" s="61"/>
      <c r="L128" s="61"/>
      <c r="M128" s="62" t="str">
        <f t="shared" si="13"/>
        <v/>
      </c>
      <c r="N128" s="63" t="str">
        <f t="shared" si="12"/>
        <v>-</v>
      </c>
      <c r="O128" s="64" t="str">
        <f t="shared" si="10"/>
        <v>-</v>
      </c>
      <c r="P128" s="65">
        <f t="shared" si="14"/>
        <v>0</v>
      </c>
      <c r="Q128" s="65">
        <f t="shared" si="11"/>
        <v>0</v>
      </c>
      <c r="R128" s="65">
        <f t="shared" si="15"/>
        <v>0</v>
      </c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</row>
    <row r="129" spans="2:64" x14ac:dyDescent="0.4">
      <c r="B129" s="485"/>
      <c r="C129" s="60">
        <v>126</v>
      </c>
      <c r="D129" s="69" t="s">
        <v>195</v>
      </c>
      <c r="E129" s="69"/>
      <c r="F129" s="69"/>
      <c r="G129" s="69"/>
      <c r="H129" s="69"/>
      <c r="I129" s="60" t="s">
        <v>107</v>
      </c>
      <c r="J129" s="70"/>
      <c r="K129" s="61"/>
      <c r="L129" s="61"/>
      <c r="M129" s="62" t="str">
        <f t="shared" si="13"/>
        <v/>
      </c>
      <c r="N129" s="63" t="str">
        <f t="shared" si="12"/>
        <v>-</v>
      </c>
      <c r="O129" s="64" t="str">
        <f t="shared" si="10"/>
        <v>-</v>
      </c>
      <c r="P129" s="65">
        <f t="shared" si="14"/>
        <v>0</v>
      </c>
      <c r="Q129" s="65">
        <f t="shared" si="11"/>
        <v>0</v>
      </c>
      <c r="R129" s="65">
        <f t="shared" si="15"/>
        <v>0</v>
      </c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</row>
    <row r="130" spans="2:64" ht="29" x14ac:dyDescent="0.4">
      <c r="B130" s="499" t="s">
        <v>226</v>
      </c>
      <c r="C130" s="60">
        <v>127</v>
      </c>
      <c r="D130" s="69" t="s">
        <v>227</v>
      </c>
      <c r="E130" s="69"/>
      <c r="F130" s="69"/>
      <c r="G130" s="69"/>
      <c r="H130" s="69"/>
      <c r="I130" s="60" t="s">
        <v>107</v>
      </c>
      <c r="J130" s="70"/>
      <c r="K130" s="61"/>
      <c r="L130" s="61"/>
      <c r="M130" s="62" t="str">
        <f t="shared" si="13"/>
        <v/>
      </c>
      <c r="N130" s="63" t="str">
        <f t="shared" si="12"/>
        <v>-</v>
      </c>
      <c r="O130" s="64" t="str">
        <f t="shared" si="10"/>
        <v>-</v>
      </c>
      <c r="P130" s="65">
        <f t="shared" si="14"/>
        <v>0</v>
      </c>
      <c r="Q130" s="65">
        <f t="shared" si="11"/>
        <v>0</v>
      </c>
      <c r="R130" s="65">
        <f t="shared" si="15"/>
        <v>0</v>
      </c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</row>
    <row r="131" spans="2:64" x14ac:dyDescent="0.4">
      <c r="B131" s="499"/>
      <c r="C131" s="60">
        <v>128</v>
      </c>
      <c r="D131" s="69" t="s">
        <v>228</v>
      </c>
      <c r="E131" s="69"/>
      <c r="F131" s="69"/>
      <c r="G131" s="69"/>
      <c r="H131" s="69"/>
      <c r="I131" s="60" t="s">
        <v>107</v>
      </c>
      <c r="J131" s="70"/>
      <c r="K131" s="61"/>
      <c r="L131" s="61"/>
      <c r="M131" s="62" t="str">
        <f t="shared" si="13"/>
        <v/>
      </c>
      <c r="N131" s="63" t="str">
        <f t="shared" si="12"/>
        <v>-</v>
      </c>
      <c r="O131" s="64" t="str">
        <f t="shared" si="10"/>
        <v>-</v>
      </c>
      <c r="P131" s="65">
        <f t="shared" si="14"/>
        <v>0</v>
      </c>
      <c r="Q131" s="65">
        <f t="shared" si="11"/>
        <v>0</v>
      </c>
      <c r="R131" s="65">
        <f t="shared" ref="R131:R156" si="16">SUM(S131:XFD131)</f>
        <v>0</v>
      </c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</row>
    <row r="132" spans="2:64" x14ac:dyDescent="0.4">
      <c r="B132" s="499"/>
      <c r="C132" s="60">
        <v>129</v>
      </c>
      <c r="D132" s="69" t="s">
        <v>229</v>
      </c>
      <c r="E132" s="69"/>
      <c r="F132" s="69"/>
      <c r="G132" s="69"/>
      <c r="H132" s="69"/>
      <c r="I132" s="60" t="s">
        <v>107</v>
      </c>
      <c r="J132" s="70"/>
      <c r="K132" s="61"/>
      <c r="L132" s="61"/>
      <c r="M132" s="62" t="str">
        <f t="shared" si="13"/>
        <v/>
      </c>
      <c r="N132" s="63" t="str">
        <f t="shared" si="12"/>
        <v>-</v>
      </c>
      <c r="O132" s="64" t="str">
        <f t="shared" ref="O132:O156" si="17">IFERROR(SUMIF($S$2:$AR$2,"&lt;="&amp;$D$1,S132:BL132)/J132,"-")</f>
        <v>-</v>
      </c>
      <c r="P132" s="65">
        <f t="shared" si="14"/>
        <v>0</v>
      </c>
      <c r="Q132" s="65">
        <f t="shared" ref="Q132:Q150" si="18">J132-P132</f>
        <v>0</v>
      </c>
      <c r="R132" s="65">
        <f t="shared" si="16"/>
        <v>0</v>
      </c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</row>
    <row r="133" spans="2:64" ht="29" x14ac:dyDescent="0.4">
      <c r="B133" s="499"/>
      <c r="C133" s="60">
        <v>130</v>
      </c>
      <c r="D133" s="69" t="s">
        <v>230</v>
      </c>
      <c r="E133" s="69"/>
      <c r="F133" s="69"/>
      <c r="G133" s="69"/>
      <c r="H133" s="69"/>
      <c r="I133" s="60" t="s">
        <v>107</v>
      </c>
      <c r="J133" s="70"/>
      <c r="K133" s="61"/>
      <c r="L133" s="61"/>
      <c r="M133" s="62" t="str">
        <f t="shared" si="13"/>
        <v/>
      </c>
      <c r="N133" s="63" t="str">
        <f t="shared" ref="N133:N156" si="19">IFERROR(J133/M133,"-")</f>
        <v>-</v>
      </c>
      <c r="O133" s="64" t="str">
        <f t="shared" si="17"/>
        <v>-</v>
      </c>
      <c r="P133" s="65">
        <f t="shared" si="14"/>
        <v>0</v>
      </c>
      <c r="Q133" s="65">
        <f t="shared" si="18"/>
        <v>0</v>
      </c>
      <c r="R133" s="65">
        <f t="shared" si="16"/>
        <v>0</v>
      </c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</row>
    <row r="134" spans="2:64" ht="29" x14ac:dyDescent="0.4">
      <c r="B134" s="499"/>
      <c r="C134" s="60">
        <v>131</v>
      </c>
      <c r="D134" s="69" t="s">
        <v>231</v>
      </c>
      <c r="E134" s="69"/>
      <c r="F134" s="69"/>
      <c r="G134" s="69"/>
      <c r="H134" s="69"/>
      <c r="I134" s="60" t="s">
        <v>107</v>
      </c>
      <c r="J134" s="70"/>
      <c r="K134" s="61"/>
      <c r="L134" s="61"/>
      <c r="M134" s="62" t="str">
        <f t="shared" ref="M134:M156" si="20">IF(OR(L134="",K134=""),"",INT(L134-K134+1))</f>
        <v/>
      </c>
      <c r="N134" s="63" t="str">
        <f t="shared" si="19"/>
        <v>-</v>
      </c>
      <c r="O134" s="64" t="str">
        <f t="shared" si="17"/>
        <v>-</v>
      </c>
      <c r="P134" s="65">
        <f t="shared" si="14"/>
        <v>0</v>
      </c>
      <c r="Q134" s="65">
        <f t="shared" si="18"/>
        <v>0</v>
      </c>
      <c r="R134" s="65">
        <f t="shared" si="16"/>
        <v>0</v>
      </c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</row>
    <row r="135" spans="2:64" ht="29" x14ac:dyDescent="0.4">
      <c r="B135" s="499"/>
      <c r="C135" s="60">
        <v>132</v>
      </c>
      <c r="D135" s="69" t="s">
        <v>232</v>
      </c>
      <c r="E135" s="69"/>
      <c r="F135" s="69"/>
      <c r="G135" s="69"/>
      <c r="H135" s="69"/>
      <c r="I135" s="60" t="s">
        <v>107</v>
      </c>
      <c r="J135" s="70"/>
      <c r="K135" s="61"/>
      <c r="L135" s="61"/>
      <c r="M135" s="62" t="str">
        <f t="shared" si="20"/>
        <v/>
      </c>
      <c r="N135" s="63" t="str">
        <f t="shared" si="19"/>
        <v>-</v>
      </c>
      <c r="O135" s="64" t="str">
        <f t="shared" si="17"/>
        <v>-</v>
      </c>
      <c r="P135" s="65">
        <f t="shared" si="14"/>
        <v>0</v>
      </c>
      <c r="Q135" s="65">
        <f t="shared" si="18"/>
        <v>0</v>
      </c>
      <c r="R135" s="65">
        <f t="shared" si="16"/>
        <v>0</v>
      </c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</row>
    <row r="136" spans="2:64" ht="29" x14ac:dyDescent="0.4">
      <c r="B136" s="499"/>
      <c r="C136" s="60">
        <v>133</v>
      </c>
      <c r="D136" s="69" t="s">
        <v>233</v>
      </c>
      <c r="E136" s="69"/>
      <c r="F136" s="69"/>
      <c r="G136" s="69"/>
      <c r="H136" s="69"/>
      <c r="I136" s="60" t="s">
        <v>107</v>
      </c>
      <c r="J136" s="70"/>
      <c r="K136" s="61"/>
      <c r="L136" s="61"/>
      <c r="M136" s="62" t="str">
        <f t="shared" si="20"/>
        <v/>
      </c>
      <c r="N136" s="63" t="str">
        <f t="shared" si="19"/>
        <v>-</v>
      </c>
      <c r="O136" s="64" t="str">
        <f t="shared" si="17"/>
        <v>-</v>
      </c>
      <c r="P136" s="65">
        <f t="shared" si="14"/>
        <v>0</v>
      </c>
      <c r="Q136" s="65">
        <f t="shared" si="18"/>
        <v>0</v>
      </c>
      <c r="R136" s="65">
        <f t="shared" si="16"/>
        <v>0</v>
      </c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</row>
    <row r="137" spans="2:64" x14ac:dyDescent="0.4">
      <c r="B137" s="499"/>
      <c r="C137" s="60">
        <v>134</v>
      </c>
      <c r="D137" s="69" t="s">
        <v>234</v>
      </c>
      <c r="E137" s="69"/>
      <c r="F137" s="69"/>
      <c r="G137" s="69"/>
      <c r="H137" s="69"/>
      <c r="I137" s="60" t="s">
        <v>107</v>
      </c>
      <c r="J137" s="70"/>
      <c r="K137" s="61"/>
      <c r="L137" s="61"/>
      <c r="M137" s="62" t="str">
        <f t="shared" si="20"/>
        <v/>
      </c>
      <c r="N137" s="63" t="str">
        <f t="shared" si="19"/>
        <v>-</v>
      </c>
      <c r="O137" s="64" t="str">
        <f t="shared" si="17"/>
        <v>-</v>
      </c>
      <c r="P137" s="65">
        <f t="shared" si="14"/>
        <v>0</v>
      </c>
      <c r="Q137" s="65">
        <f t="shared" si="18"/>
        <v>0</v>
      </c>
      <c r="R137" s="65">
        <f t="shared" si="16"/>
        <v>0</v>
      </c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</row>
    <row r="138" spans="2:64" x14ac:dyDescent="0.4">
      <c r="B138" s="499"/>
      <c r="C138" s="60">
        <v>135</v>
      </c>
      <c r="D138" s="69" t="s">
        <v>235</v>
      </c>
      <c r="E138" s="69"/>
      <c r="F138" s="69"/>
      <c r="G138" s="69"/>
      <c r="H138" s="69"/>
      <c r="I138" s="60" t="s">
        <v>12</v>
      </c>
      <c r="J138" s="70"/>
      <c r="K138" s="61"/>
      <c r="L138" s="61"/>
      <c r="M138" s="62" t="str">
        <f t="shared" si="20"/>
        <v/>
      </c>
      <c r="N138" s="63" t="str">
        <f t="shared" si="19"/>
        <v>-</v>
      </c>
      <c r="O138" s="64" t="str">
        <f t="shared" si="17"/>
        <v>-</v>
      </c>
      <c r="P138" s="65">
        <f t="shared" si="14"/>
        <v>0</v>
      </c>
      <c r="Q138" s="65">
        <f t="shared" si="18"/>
        <v>0</v>
      </c>
      <c r="R138" s="65">
        <f t="shared" si="16"/>
        <v>0</v>
      </c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</row>
    <row r="139" spans="2:64" x14ac:dyDescent="0.4">
      <c r="B139" s="499"/>
      <c r="C139" s="60">
        <v>136</v>
      </c>
      <c r="D139" s="69" t="s">
        <v>236</v>
      </c>
      <c r="E139" s="69"/>
      <c r="F139" s="69"/>
      <c r="G139" s="69"/>
      <c r="H139" s="69"/>
      <c r="I139" s="60" t="s">
        <v>12</v>
      </c>
      <c r="J139" s="70"/>
      <c r="K139" s="61"/>
      <c r="L139" s="61"/>
      <c r="M139" s="62" t="str">
        <f t="shared" si="20"/>
        <v/>
      </c>
      <c r="N139" s="63" t="str">
        <f t="shared" si="19"/>
        <v>-</v>
      </c>
      <c r="O139" s="64" t="str">
        <f t="shared" si="17"/>
        <v>-</v>
      </c>
      <c r="P139" s="65">
        <f t="shared" si="14"/>
        <v>0</v>
      </c>
      <c r="Q139" s="65">
        <f t="shared" si="18"/>
        <v>0</v>
      </c>
      <c r="R139" s="65">
        <f t="shared" si="16"/>
        <v>0</v>
      </c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</row>
    <row r="140" spans="2:64" x14ac:dyDescent="0.4">
      <c r="B140" s="499"/>
      <c r="C140" s="60">
        <v>137</v>
      </c>
      <c r="D140" s="69" t="s">
        <v>237</v>
      </c>
      <c r="E140" s="69"/>
      <c r="F140" s="69"/>
      <c r="G140" s="69"/>
      <c r="H140" s="69"/>
      <c r="I140" s="60" t="s">
        <v>12</v>
      </c>
      <c r="J140" s="70"/>
      <c r="K140" s="61"/>
      <c r="L140" s="61"/>
      <c r="M140" s="62" t="str">
        <f t="shared" si="20"/>
        <v/>
      </c>
      <c r="N140" s="63" t="str">
        <f t="shared" si="19"/>
        <v>-</v>
      </c>
      <c r="O140" s="64" t="str">
        <f t="shared" si="17"/>
        <v>-</v>
      </c>
      <c r="P140" s="65">
        <f t="shared" si="14"/>
        <v>0</v>
      </c>
      <c r="Q140" s="65">
        <f t="shared" si="18"/>
        <v>0</v>
      </c>
      <c r="R140" s="65">
        <f t="shared" si="16"/>
        <v>0</v>
      </c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</row>
    <row r="141" spans="2:64" x14ac:dyDescent="0.4">
      <c r="B141" s="499" t="s">
        <v>238</v>
      </c>
      <c r="C141" s="60">
        <v>138</v>
      </c>
      <c r="D141" s="69" t="s">
        <v>239</v>
      </c>
      <c r="E141" s="69"/>
      <c r="F141" s="69"/>
      <c r="G141" s="69"/>
      <c r="H141" s="69"/>
      <c r="I141" s="60"/>
      <c r="J141" s="70"/>
      <c r="K141" s="61"/>
      <c r="L141" s="61"/>
      <c r="M141" s="62" t="str">
        <f t="shared" si="20"/>
        <v/>
      </c>
      <c r="N141" s="63" t="str">
        <f t="shared" si="19"/>
        <v>-</v>
      </c>
      <c r="O141" s="64" t="str">
        <f t="shared" si="17"/>
        <v>-</v>
      </c>
      <c r="P141" s="65">
        <f t="shared" si="14"/>
        <v>0</v>
      </c>
      <c r="Q141" s="65">
        <f t="shared" si="18"/>
        <v>0</v>
      </c>
      <c r="R141" s="65">
        <f t="shared" si="16"/>
        <v>0</v>
      </c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</row>
    <row r="142" spans="2:64" x14ac:dyDescent="0.4">
      <c r="B142" s="499"/>
      <c r="C142" s="60">
        <v>139</v>
      </c>
      <c r="D142" s="69" t="s">
        <v>240</v>
      </c>
      <c r="E142" s="69"/>
      <c r="F142" s="69"/>
      <c r="G142" s="69"/>
      <c r="H142" s="69"/>
      <c r="I142" s="60"/>
      <c r="J142" s="70"/>
      <c r="K142" s="61"/>
      <c r="L142" s="61"/>
      <c r="M142" s="62" t="str">
        <f t="shared" si="20"/>
        <v/>
      </c>
      <c r="N142" s="63" t="str">
        <f t="shared" si="19"/>
        <v>-</v>
      </c>
      <c r="O142" s="64" t="str">
        <f t="shared" si="17"/>
        <v>-</v>
      </c>
      <c r="P142" s="65">
        <f t="shared" ref="P142:P156" si="21">SUMIF($S$2:$AR$2,"&lt;="&amp;$D$1,S142:AR142)</f>
        <v>0</v>
      </c>
      <c r="Q142" s="65">
        <f t="shared" si="18"/>
        <v>0</v>
      </c>
      <c r="R142" s="65">
        <f t="shared" si="16"/>
        <v>0</v>
      </c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</row>
    <row r="143" spans="2:64" x14ac:dyDescent="0.4">
      <c r="B143" s="499"/>
      <c r="C143" s="60">
        <v>140</v>
      </c>
      <c r="D143" s="69" t="s">
        <v>241</v>
      </c>
      <c r="E143" s="69"/>
      <c r="F143" s="69"/>
      <c r="G143" s="69"/>
      <c r="H143" s="69"/>
      <c r="I143" s="60"/>
      <c r="J143" s="70"/>
      <c r="K143" s="61"/>
      <c r="L143" s="61"/>
      <c r="M143" s="62" t="str">
        <f t="shared" si="20"/>
        <v/>
      </c>
      <c r="N143" s="63" t="str">
        <f t="shared" si="19"/>
        <v>-</v>
      </c>
      <c r="O143" s="64" t="str">
        <f t="shared" si="17"/>
        <v>-</v>
      </c>
      <c r="P143" s="65">
        <f t="shared" si="21"/>
        <v>0</v>
      </c>
      <c r="Q143" s="65">
        <f t="shared" si="18"/>
        <v>0</v>
      </c>
      <c r="R143" s="65">
        <f t="shared" si="16"/>
        <v>0</v>
      </c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</row>
    <row r="144" spans="2:64" x14ac:dyDescent="0.4">
      <c r="B144" s="499"/>
      <c r="C144" s="60">
        <v>141</v>
      </c>
      <c r="D144" s="69" t="s">
        <v>242</v>
      </c>
      <c r="E144" s="69"/>
      <c r="F144" s="69"/>
      <c r="G144" s="69"/>
      <c r="H144" s="69"/>
      <c r="I144" s="60"/>
      <c r="J144" s="70"/>
      <c r="K144" s="61"/>
      <c r="L144" s="61"/>
      <c r="M144" s="62" t="str">
        <f t="shared" si="20"/>
        <v/>
      </c>
      <c r="N144" s="63" t="str">
        <f t="shared" si="19"/>
        <v>-</v>
      </c>
      <c r="O144" s="64" t="str">
        <f t="shared" si="17"/>
        <v>-</v>
      </c>
      <c r="P144" s="65">
        <f t="shared" si="21"/>
        <v>0</v>
      </c>
      <c r="Q144" s="65">
        <f t="shared" si="18"/>
        <v>0</v>
      </c>
      <c r="R144" s="65">
        <f t="shared" si="16"/>
        <v>0</v>
      </c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</row>
    <row r="145" spans="2:64" x14ac:dyDescent="0.4">
      <c r="B145" s="499"/>
      <c r="C145" s="60">
        <v>142</v>
      </c>
      <c r="D145" s="69" t="s">
        <v>243</v>
      </c>
      <c r="E145" s="69"/>
      <c r="F145" s="69"/>
      <c r="G145" s="69"/>
      <c r="H145" s="69"/>
      <c r="I145" s="60"/>
      <c r="J145" s="70"/>
      <c r="K145" s="61"/>
      <c r="L145" s="61"/>
      <c r="M145" s="62" t="str">
        <f t="shared" si="20"/>
        <v/>
      </c>
      <c r="N145" s="63" t="str">
        <f t="shared" si="19"/>
        <v>-</v>
      </c>
      <c r="O145" s="64" t="str">
        <f t="shared" si="17"/>
        <v>-</v>
      </c>
      <c r="P145" s="65">
        <f t="shared" si="21"/>
        <v>0</v>
      </c>
      <c r="Q145" s="65">
        <f t="shared" si="18"/>
        <v>0</v>
      </c>
      <c r="R145" s="65">
        <f t="shared" si="16"/>
        <v>0</v>
      </c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</row>
    <row r="146" spans="2:64" ht="29" x14ac:dyDescent="0.4">
      <c r="B146" s="499"/>
      <c r="C146" s="60">
        <v>143</v>
      </c>
      <c r="D146" s="69" t="s">
        <v>244</v>
      </c>
      <c r="E146" s="69"/>
      <c r="F146" s="69"/>
      <c r="G146" s="69"/>
      <c r="H146" s="69"/>
      <c r="I146" s="60"/>
      <c r="J146" s="70"/>
      <c r="K146" s="61"/>
      <c r="L146" s="61"/>
      <c r="M146" s="62" t="str">
        <f t="shared" si="20"/>
        <v/>
      </c>
      <c r="N146" s="63" t="str">
        <f t="shared" si="19"/>
        <v>-</v>
      </c>
      <c r="O146" s="64" t="str">
        <f t="shared" si="17"/>
        <v>-</v>
      </c>
      <c r="P146" s="65">
        <f t="shared" si="21"/>
        <v>0</v>
      </c>
      <c r="Q146" s="65">
        <f t="shared" si="18"/>
        <v>0</v>
      </c>
      <c r="R146" s="65">
        <f t="shared" si="16"/>
        <v>0</v>
      </c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</row>
    <row r="147" spans="2:64" x14ac:dyDescent="0.4">
      <c r="B147" s="499" t="s">
        <v>245</v>
      </c>
      <c r="C147" s="60">
        <v>144</v>
      </c>
      <c r="D147" s="69" t="s">
        <v>268</v>
      </c>
      <c r="E147" s="69"/>
      <c r="F147" s="69"/>
      <c r="G147" s="69"/>
      <c r="H147" s="69"/>
      <c r="I147" s="60" t="s">
        <v>107</v>
      </c>
      <c r="J147" s="70"/>
      <c r="K147" s="61"/>
      <c r="L147" s="61"/>
      <c r="M147" s="62" t="str">
        <f t="shared" si="20"/>
        <v/>
      </c>
      <c r="N147" s="63" t="str">
        <f t="shared" si="19"/>
        <v>-</v>
      </c>
      <c r="O147" s="64" t="str">
        <f t="shared" si="17"/>
        <v>-</v>
      </c>
      <c r="P147" s="65">
        <f t="shared" si="21"/>
        <v>0</v>
      </c>
      <c r="Q147" s="65">
        <f t="shared" si="18"/>
        <v>0</v>
      </c>
      <c r="R147" s="65">
        <f t="shared" si="16"/>
        <v>0</v>
      </c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</row>
    <row r="148" spans="2:64" ht="29" x14ac:dyDescent="0.4">
      <c r="B148" s="499"/>
      <c r="C148" s="60">
        <v>145</v>
      </c>
      <c r="D148" s="69" t="s">
        <v>267</v>
      </c>
      <c r="E148" s="69"/>
      <c r="F148" s="69"/>
      <c r="G148" s="69"/>
      <c r="H148" s="69"/>
      <c r="I148" s="60"/>
      <c r="J148" s="70"/>
      <c r="K148" s="61"/>
      <c r="L148" s="61"/>
      <c r="M148" s="62" t="str">
        <f t="shared" si="20"/>
        <v/>
      </c>
      <c r="N148" s="63" t="str">
        <f t="shared" si="19"/>
        <v>-</v>
      </c>
      <c r="O148" s="64" t="str">
        <f t="shared" si="17"/>
        <v>-</v>
      </c>
      <c r="P148" s="65">
        <f t="shared" si="21"/>
        <v>0</v>
      </c>
      <c r="Q148" s="65">
        <f t="shared" si="18"/>
        <v>0</v>
      </c>
      <c r="R148" s="65">
        <f t="shared" si="16"/>
        <v>0</v>
      </c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</row>
    <row r="149" spans="2:64" x14ac:dyDescent="0.4">
      <c r="B149" s="499"/>
      <c r="C149" s="60">
        <v>146</v>
      </c>
      <c r="D149" s="69" t="s">
        <v>246</v>
      </c>
      <c r="E149" s="69"/>
      <c r="F149" s="69"/>
      <c r="G149" s="69"/>
      <c r="H149" s="69"/>
      <c r="I149" s="60"/>
      <c r="J149" s="70"/>
      <c r="K149" s="61"/>
      <c r="L149" s="61"/>
      <c r="M149" s="62" t="str">
        <f t="shared" si="20"/>
        <v/>
      </c>
      <c r="N149" s="63" t="str">
        <f t="shared" si="19"/>
        <v>-</v>
      </c>
      <c r="O149" s="64" t="str">
        <f t="shared" si="17"/>
        <v>-</v>
      </c>
      <c r="P149" s="65">
        <f t="shared" si="21"/>
        <v>0</v>
      </c>
      <c r="Q149" s="65">
        <f t="shared" si="18"/>
        <v>0</v>
      </c>
      <c r="R149" s="65">
        <f t="shared" si="16"/>
        <v>0</v>
      </c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</row>
    <row r="150" spans="2:64" x14ac:dyDescent="0.4">
      <c r="B150" s="499"/>
      <c r="C150" s="60">
        <v>147</v>
      </c>
      <c r="D150" s="69" t="s">
        <v>42</v>
      </c>
      <c r="E150" s="69"/>
      <c r="F150" s="69"/>
      <c r="G150" s="69"/>
      <c r="H150" s="69"/>
      <c r="I150" s="60"/>
      <c r="J150" s="70"/>
      <c r="K150" s="61"/>
      <c r="L150" s="61"/>
      <c r="M150" s="62" t="str">
        <f t="shared" si="20"/>
        <v/>
      </c>
      <c r="N150" s="63" t="str">
        <f t="shared" si="19"/>
        <v>-</v>
      </c>
      <c r="O150" s="64" t="str">
        <f t="shared" si="17"/>
        <v>-</v>
      </c>
      <c r="P150" s="65">
        <f t="shared" si="21"/>
        <v>0</v>
      </c>
      <c r="Q150" s="65">
        <f t="shared" si="18"/>
        <v>0</v>
      </c>
      <c r="R150" s="65">
        <f t="shared" si="16"/>
        <v>0</v>
      </c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</row>
    <row r="151" spans="2:64" ht="29" x14ac:dyDescent="0.4">
      <c r="B151" s="499" t="s">
        <v>247</v>
      </c>
      <c r="C151" s="60">
        <v>148</v>
      </c>
      <c r="D151" s="69" t="s">
        <v>248</v>
      </c>
      <c r="E151" s="69"/>
      <c r="F151" s="69"/>
      <c r="G151" s="69"/>
      <c r="H151" s="69"/>
      <c r="I151" s="60" t="s">
        <v>12</v>
      </c>
      <c r="J151" s="70">
        <v>100</v>
      </c>
      <c r="K151" s="61"/>
      <c r="L151" s="61"/>
      <c r="M151" s="62" t="str">
        <f t="shared" si="20"/>
        <v/>
      </c>
      <c r="N151" s="63" t="str">
        <f t="shared" si="19"/>
        <v>-</v>
      </c>
      <c r="O151" s="64">
        <f t="shared" si="17"/>
        <v>0</v>
      </c>
      <c r="P151" s="65">
        <f t="shared" si="21"/>
        <v>0</v>
      </c>
      <c r="Q151" s="65">
        <f>J151-P151%</f>
        <v>100</v>
      </c>
      <c r="R151" s="65">
        <f t="shared" si="16"/>
        <v>0</v>
      </c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</row>
    <row r="152" spans="2:64" x14ac:dyDescent="0.4">
      <c r="B152" s="499"/>
      <c r="C152" s="60">
        <v>149</v>
      </c>
      <c r="D152" s="69" t="s">
        <v>249</v>
      </c>
      <c r="E152" s="69"/>
      <c r="F152" s="69"/>
      <c r="G152" s="69"/>
      <c r="H152" s="69"/>
      <c r="I152" s="60" t="s">
        <v>12</v>
      </c>
      <c r="J152" s="70">
        <v>100</v>
      </c>
      <c r="K152" s="61"/>
      <c r="L152" s="61"/>
      <c r="M152" s="62" t="str">
        <f t="shared" si="20"/>
        <v/>
      </c>
      <c r="N152" s="63" t="str">
        <f t="shared" si="19"/>
        <v>-</v>
      </c>
      <c r="O152" s="64">
        <f t="shared" si="17"/>
        <v>0</v>
      </c>
      <c r="P152" s="65">
        <f t="shared" si="21"/>
        <v>0</v>
      </c>
      <c r="Q152" s="65">
        <f>J152-P152</f>
        <v>100</v>
      </c>
      <c r="R152" s="65">
        <f t="shared" si="16"/>
        <v>0</v>
      </c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</row>
    <row r="153" spans="2:64" x14ac:dyDescent="0.4">
      <c r="B153" s="499"/>
      <c r="C153" s="60">
        <v>150</v>
      </c>
      <c r="D153" s="69" t="s">
        <v>250</v>
      </c>
      <c r="E153" s="69"/>
      <c r="F153" s="69"/>
      <c r="G153" s="69"/>
      <c r="H153" s="69"/>
      <c r="I153" s="60" t="s">
        <v>12</v>
      </c>
      <c r="J153" s="70">
        <v>100</v>
      </c>
      <c r="K153" s="61"/>
      <c r="L153" s="61"/>
      <c r="M153" s="62" t="str">
        <f t="shared" si="20"/>
        <v/>
      </c>
      <c r="N153" s="63" t="str">
        <f t="shared" si="19"/>
        <v>-</v>
      </c>
      <c r="O153" s="64">
        <f t="shared" si="17"/>
        <v>0</v>
      </c>
      <c r="P153" s="65">
        <f t="shared" si="21"/>
        <v>0</v>
      </c>
      <c r="Q153" s="65">
        <f>J153-P153</f>
        <v>100</v>
      </c>
      <c r="R153" s="65">
        <f t="shared" si="16"/>
        <v>0</v>
      </c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</row>
    <row r="154" spans="2:64" x14ac:dyDescent="0.4">
      <c r="B154" s="499"/>
      <c r="C154" s="60">
        <v>151</v>
      </c>
      <c r="D154" s="69" t="s">
        <v>251</v>
      </c>
      <c r="E154" s="69"/>
      <c r="F154" s="69"/>
      <c r="G154" s="69"/>
      <c r="H154" s="69"/>
      <c r="I154" s="60" t="s">
        <v>12</v>
      </c>
      <c r="J154" s="70">
        <v>100</v>
      </c>
      <c r="K154" s="61"/>
      <c r="L154" s="61"/>
      <c r="M154" s="62" t="str">
        <f t="shared" si="20"/>
        <v/>
      </c>
      <c r="N154" s="63" t="str">
        <f t="shared" si="19"/>
        <v>-</v>
      </c>
      <c r="O154" s="64">
        <f t="shared" si="17"/>
        <v>0</v>
      </c>
      <c r="P154" s="65">
        <f t="shared" si="21"/>
        <v>0</v>
      </c>
      <c r="Q154" s="65">
        <f>J154-P154</f>
        <v>100</v>
      </c>
      <c r="R154" s="65">
        <f t="shared" si="16"/>
        <v>0</v>
      </c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</row>
    <row r="155" spans="2:64" x14ac:dyDescent="0.4">
      <c r="B155" s="499"/>
      <c r="C155" s="60">
        <v>152</v>
      </c>
      <c r="D155" s="69" t="s">
        <v>252</v>
      </c>
      <c r="E155" s="69"/>
      <c r="F155" s="69"/>
      <c r="G155" s="69"/>
      <c r="H155" s="69"/>
      <c r="I155" s="60" t="s">
        <v>12</v>
      </c>
      <c r="J155" s="70">
        <v>100</v>
      </c>
      <c r="K155" s="61"/>
      <c r="L155" s="61"/>
      <c r="M155" s="62" t="str">
        <f t="shared" si="20"/>
        <v/>
      </c>
      <c r="N155" s="63" t="str">
        <f t="shared" si="19"/>
        <v>-</v>
      </c>
      <c r="O155" s="64">
        <f t="shared" si="17"/>
        <v>0</v>
      </c>
      <c r="P155" s="65">
        <f t="shared" si="21"/>
        <v>0</v>
      </c>
      <c r="Q155" s="65">
        <f>J155-P155</f>
        <v>100</v>
      </c>
      <c r="R155" s="65">
        <f t="shared" si="16"/>
        <v>0</v>
      </c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</row>
    <row r="156" spans="2:64" x14ac:dyDescent="0.4">
      <c r="B156" s="499"/>
      <c r="C156" s="60">
        <v>153</v>
      </c>
      <c r="D156" s="69" t="s">
        <v>253</v>
      </c>
      <c r="E156" s="69"/>
      <c r="F156" s="69"/>
      <c r="G156" s="69"/>
      <c r="H156" s="69"/>
      <c r="I156" s="60" t="s">
        <v>12</v>
      </c>
      <c r="J156" s="70">
        <v>100</v>
      </c>
      <c r="K156" s="61"/>
      <c r="L156" s="61"/>
      <c r="M156" s="62" t="str">
        <f t="shared" si="20"/>
        <v/>
      </c>
      <c r="N156" s="63" t="str">
        <f t="shared" si="19"/>
        <v>-</v>
      </c>
      <c r="O156" s="64">
        <f t="shared" si="17"/>
        <v>0</v>
      </c>
      <c r="P156" s="65">
        <f t="shared" si="21"/>
        <v>0</v>
      </c>
      <c r="Q156" s="65">
        <f>J156-P156</f>
        <v>100</v>
      </c>
      <c r="R156" s="65">
        <f t="shared" si="16"/>
        <v>0</v>
      </c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</row>
    <row r="164" spans="10:10" x14ac:dyDescent="0.4">
      <c r="J164" s="151"/>
    </row>
    <row r="165" spans="10:10" x14ac:dyDescent="0.4">
      <c r="J165" s="151"/>
    </row>
  </sheetData>
  <mergeCells count="34">
    <mergeCell ref="R2:R3"/>
    <mergeCell ref="B5:B10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B83:B95"/>
    <mergeCell ref="N2:N3"/>
    <mergeCell ref="O2:O3"/>
    <mergeCell ref="P2:P3"/>
    <mergeCell ref="Q2:Q3"/>
    <mergeCell ref="B11:B14"/>
    <mergeCell ref="B15:B32"/>
    <mergeCell ref="B33:B50"/>
    <mergeCell ref="B51:B72"/>
    <mergeCell ref="B73:B82"/>
    <mergeCell ref="B130:B140"/>
    <mergeCell ref="B141:B146"/>
    <mergeCell ref="B147:B150"/>
    <mergeCell ref="B151:B156"/>
    <mergeCell ref="B96:B108"/>
    <mergeCell ref="B109:B111"/>
    <mergeCell ref="B112:B114"/>
    <mergeCell ref="B115:B121"/>
    <mergeCell ref="B122:B126"/>
    <mergeCell ref="B127:B129"/>
  </mergeCells>
  <conditionalFormatting sqref="O4:O15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{B6C77FCA-8369-4520-A551-A39AC38AACA6}</x14:id>
        </ext>
      </extLst>
    </cfRule>
  </conditionalFormatting>
  <conditionalFormatting sqref="O157:O1048576 O1:O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{85716E2B-05B6-41C2-815E-EB55B430AE35}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C77FCA-8369-4520-A551-A39AC38AA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O4:O156</xm:sqref>
        </x14:conditionalFormatting>
        <x14:conditionalFormatting xmlns:xm="http://schemas.microsoft.com/office/excel/2006/main">
          <x14:cfRule type="dataBar" id="{85716E2B-05B6-41C2-815E-EB55B430A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O157:O1048576 O1:O3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b1f646aa-0067-49bc-b39e-98e3f69476ee}" enabled="0" method="" siteId="{b1f646aa-0067-49bc-b39e-98e3f6947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Construction DASHBOARD</vt:lpstr>
      <vt:lpstr>Sheet1</vt:lpstr>
      <vt:lpstr>Preliminary Activity</vt:lpstr>
      <vt:lpstr>Manpower</vt:lpstr>
      <vt:lpstr>Machinery</vt:lpstr>
      <vt:lpstr>Ordering</vt:lpstr>
      <vt:lpstr>MDL (2)</vt:lpstr>
      <vt:lpstr>Construction Status</vt:lpstr>
      <vt:lpstr>MDL</vt:lpstr>
      <vt:lpstr>Engineering &amp; Delivery</vt:lpstr>
      <vt:lpstr>Hinderance Register</vt:lpstr>
      <vt:lpstr>Construction Status (2)</vt:lpstr>
      <vt:lpstr>'Construction DASHBOARD'!Print_Area</vt:lpstr>
      <vt:lpstr>'Construction DASHBOARD'!Print_Titles</vt:lpstr>
    </vt:vector>
  </TitlesOfParts>
  <Company>AmaraRaja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Shahnawaz M D</dc:creator>
  <cp:lastModifiedBy>Mohd Nadeem</cp:lastModifiedBy>
  <cp:lastPrinted>2025-06-26T05:16:43Z</cp:lastPrinted>
  <dcterms:created xsi:type="dcterms:W3CDTF">2025-01-27T07:20:18Z</dcterms:created>
  <dcterms:modified xsi:type="dcterms:W3CDTF">2025-07-07T04:20:42Z</dcterms:modified>
</cp:coreProperties>
</file>