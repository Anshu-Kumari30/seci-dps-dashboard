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64" documentId="8_{D0EB389D-E1C5-4089-963C-FF0E1FB302E9}" xr6:coauthVersionLast="47" xr6:coauthVersionMax="47" xr10:uidLastSave="{3A551006-1F21-4D81-97CE-12EC82773071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Sheet1" sheetId="18" state="hidden" r:id="rId2"/>
    <sheet name="MDL" sheetId="51" r:id="rId3"/>
    <sheet name="Ordering" sheetId="15" r:id="rId4"/>
    <sheet name="Preliminary Activity" sheetId="14" r:id="rId5"/>
    <sheet name="Manpower" sheetId="10" state="hidden" r:id="rId6"/>
    <sheet name="Machinery" sheetId="12" state="hidden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_FilterDatabase" localSheetId="3" hidden="1">Ordering!$A$1:$F$1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8" l="1"/>
  <c r="P325" i="51"/>
  <c r="T324" i="51"/>
  <c r="R324" i="51"/>
  <c r="Q324" i="51"/>
  <c r="P324" i="51"/>
  <c r="J324" i="51"/>
  <c r="H324" i="51"/>
  <c r="K324" i="51" s="1"/>
  <c r="P323" i="51"/>
  <c r="T322" i="51"/>
  <c r="Q322" i="51"/>
  <c r="P322" i="51"/>
  <c r="I322" i="51"/>
  <c r="G322" i="51"/>
  <c r="H322" i="51" s="1"/>
  <c r="H321" i="51"/>
  <c r="Q320" i="51"/>
  <c r="P320" i="51"/>
  <c r="T319" i="51"/>
  <c r="P319" i="51"/>
  <c r="J319" i="51"/>
  <c r="H319" i="51"/>
  <c r="G318" i="51"/>
  <c r="H318" i="51" s="1"/>
  <c r="H317" i="51"/>
  <c r="H316" i="51"/>
  <c r="H315" i="51"/>
  <c r="T313" i="51"/>
  <c r="Q313" i="51"/>
  <c r="P313" i="51"/>
  <c r="I313" i="51"/>
  <c r="G313" i="51"/>
  <c r="H313" i="51" s="1"/>
  <c r="H312" i="51"/>
  <c r="H311" i="51"/>
  <c r="P310" i="51"/>
  <c r="T309" i="51"/>
  <c r="Q309" i="51"/>
  <c r="P309" i="51"/>
  <c r="I309" i="51"/>
  <c r="J309" i="51" s="1"/>
  <c r="G309" i="51"/>
  <c r="H309" i="51" s="1"/>
  <c r="H307" i="51"/>
  <c r="H306" i="51"/>
  <c r="T305" i="51"/>
  <c r="P305" i="51"/>
  <c r="H305" i="51"/>
  <c r="G304" i="51"/>
  <c r="H304" i="51" s="1"/>
  <c r="T303" i="51"/>
  <c r="G303" i="51"/>
  <c r="H303" i="51" s="1"/>
  <c r="G302" i="51"/>
  <c r="H302" i="51" s="1"/>
  <c r="P301" i="51"/>
  <c r="T300" i="51"/>
  <c r="Q300" i="51"/>
  <c r="P300" i="51"/>
  <c r="I300" i="51"/>
  <c r="J300" i="51" s="1"/>
  <c r="P299" i="51"/>
  <c r="T298" i="51"/>
  <c r="Q298" i="51"/>
  <c r="P298" i="51"/>
  <c r="I298" i="51"/>
  <c r="G298" i="51"/>
  <c r="H298" i="51" s="1"/>
  <c r="K298" i="51" s="1"/>
  <c r="G297" i="51"/>
  <c r="H297" i="51" s="1"/>
  <c r="P296" i="51"/>
  <c r="O296" i="51"/>
  <c r="T295" i="51"/>
  <c r="P295" i="51"/>
  <c r="I295" i="51"/>
  <c r="G295" i="51"/>
  <c r="H295" i="51" s="1"/>
  <c r="G294" i="51"/>
  <c r="H294" i="51" s="1"/>
  <c r="G293" i="51"/>
  <c r="H293" i="51" s="1"/>
  <c r="G292" i="51"/>
  <c r="H292" i="51" s="1"/>
  <c r="P291" i="51"/>
  <c r="O291" i="51"/>
  <c r="T290" i="51"/>
  <c r="Q290" i="51"/>
  <c r="P290" i="51"/>
  <c r="G290" i="51"/>
  <c r="J290" i="51" s="1"/>
  <c r="P289" i="51"/>
  <c r="O289" i="51"/>
  <c r="T288" i="51"/>
  <c r="Q288" i="51"/>
  <c r="P288" i="51"/>
  <c r="G288" i="51"/>
  <c r="J288" i="51" s="1"/>
  <c r="A288" i="51"/>
  <c r="A290" i="51" s="1"/>
  <c r="A292" i="51" s="1"/>
  <c r="A293" i="51" s="1"/>
  <c r="A294" i="51" s="1"/>
  <c r="A295" i="51" s="1"/>
  <c r="A297" i="51" s="1"/>
  <c r="A298" i="51" s="1"/>
  <c r="A302" i="51" s="1"/>
  <c r="A303" i="51" s="1"/>
  <c r="A304" i="51" s="1"/>
  <c r="A305" i="51" s="1"/>
  <c r="A306" i="51" s="1"/>
  <c r="A307" i="51" s="1"/>
  <c r="A308" i="51" s="1"/>
  <c r="A309" i="51" s="1"/>
  <c r="A311" i="51" s="1"/>
  <c r="A312" i="51" s="1"/>
  <c r="A313" i="51" s="1"/>
  <c r="A316" i="51" s="1"/>
  <c r="A317" i="51" s="1"/>
  <c r="A318" i="51" s="1"/>
  <c r="H287" i="51"/>
  <c r="T285" i="51"/>
  <c r="P285" i="51"/>
  <c r="J285" i="51"/>
  <c r="H285" i="51"/>
  <c r="A285" i="51"/>
  <c r="P284" i="51"/>
  <c r="Q282" i="51"/>
  <c r="P282" i="51"/>
  <c r="U281" i="51"/>
  <c r="T281" i="51"/>
  <c r="R281" i="51"/>
  <c r="Q281" i="51"/>
  <c r="P281" i="51"/>
  <c r="K281" i="51"/>
  <c r="J281" i="51"/>
  <c r="H281" i="51"/>
  <c r="P280" i="51"/>
  <c r="Q279" i="51"/>
  <c r="P279" i="51"/>
  <c r="T278" i="51"/>
  <c r="R278" i="51"/>
  <c r="Q278" i="51"/>
  <c r="P278" i="51"/>
  <c r="K278" i="51"/>
  <c r="J278" i="51"/>
  <c r="I278" i="51"/>
  <c r="H278" i="51"/>
  <c r="H277" i="51"/>
  <c r="A277" i="51"/>
  <c r="A278" i="51" s="1"/>
  <c r="A281" i="51" s="1"/>
  <c r="A287" i="51" s="1"/>
  <c r="P276" i="51"/>
  <c r="T275" i="51"/>
  <c r="I275" i="51"/>
  <c r="J275" i="51" s="1"/>
  <c r="H275" i="51"/>
  <c r="H274" i="51"/>
  <c r="H273" i="51"/>
  <c r="H272" i="51"/>
  <c r="H271" i="51"/>
  <c r="T269" i="51"/>
  <c r="P269" i="51"/>
  <c r="I269" i="51"/>
  <c r="J269" i="51" s="1"/>
  <c r="H269" i="51"/>
  <c r="H268" i="51"/>
  <c r="H267" i="51"/>
  <c r="H266" i="51"/>
  <c r="T264" i="51"/>
  <c r="Q264" i="51"/>
  <c r="P264" i="51"/>
  <c r="J264" i="51"/>
  <c r="H264" i="51"/>
  <c r="T263" i="51"/>
  <c r="R263" i="51"/>
  <c r="P263" i="51"/>
  <c r="J263" i="51"/>
  <c r="H263" i="51"/>
  <c r="K263" i="51" s="1"/>
  <c r="H262" i="51"/>
  <c r="H261" i="51"/>
  <c r="H260" i="51"/>
  <c r="T259" i="51"/>
  <c r="P259" i="51"/>
  <c r="I259" i="51"/>
  <c r="J259" i="51" s="1"/>
  <c r="H259" i="51"/>
  <c r="H258" i="51"/>
  <c r="H257" i="51"/>
  <c r="T256" i="51"/>
  <c r="H256" i="51"/>
  <c r="T255" i="51"/>
  <c r="H255" i="51"/>
  <c r="H254" i="51"/>
  <c r="P253" i="51"/>
  <c r="Q252" i="51"/>
  <c r="P252" i="51"/>
  <c r="T251" i="51"/>
  <c r="P251" i="51"/>
  <c r="I251" i="51"/>
  <c r="J251" i="51" s="1"/>
  <c r="H251" i="51"/>
  <c r="P250" i="51"/>
  <c r="T249" i="51"/>
  <c r="P249" i="51"/>
  <c r="I249" i="51"/>
  <c r="J249" i="51" s="1"/>
  <c r="H249" i="51"/>
  <c r="P248" i="51"/>
  <c r="Q247" i="51"/>
  <c r="P247" i="51"/>
  <c r="T246" i="51"/>
  <c r="R246" i="51"/>
  <c r="Q246" i="51"/>
  <c r="P246" i="51"/>
  <c r="K246" i="51"/>
  <c r="J246" i="51"/>
  <c r="H246" i="51"/>
  <c r="H245" i="51"/>
  <c r="H244" i="51"/>
  <c r="T243" i="51"/>
  <c r="J243" i="51"/>
  <c r="I243" i="51"/>
  <c r="H243" i="51"/>
  <c r="T241" i="51"/>
  <c r="Q241" i="51"/>
  <c r="P241" i="51"/>
  <c r="I241" i="51"/>
  <c r="J241" i="51" s="1"/>
  <c r="H241" i="51"/>
  <c r="P240" i="51"/>
  <c r="Q239" i="51"/>
  <c r="P239" i="51"/>
  <c r="T238" i="51"/>
  <c r="P238" i="51"/>
  <c r="J238" i="51"/>
  <c r="H238" i="51"/>
  <c r="P236" i="51"/>
  <c r="Q235" i="51"/>
  <c r="P235" i="51"/>
  <c r="T234" i="51"/>
  <c r="Q234" i="51"/>
  <c r="P234" i="51"/>
  <c r="J234" i="51"/>
  <c r="H234" i="51"/>
  <c r="P232" i="51"/>
  <c r="Q231" i="51"/>
  <c r="P231" i="51"/>
  <c r="T230" i="51"/>
  <c r="P230" i="51"/>
  <c r="J230" i="51"/>
  <c r="H230" i="51"/>
  <c r="H229" i="51"/>
  <c r="T227" i="51"/>
  <c r="R227" i="51"/>
  <c r="P227" i="51"/>
  <c r="J227" i="51"/>
  <c r="H227" i="51"/>
  <c r="K227" i="51" s="1"/>
  <c r="P226" i="51"/>
  <c r="T224" i="51"/>
  <c r="R224" i="51"/>
  <c r="Q224" i="51"/>
  <c r="P224" i="51"/>
  <c r="J224" i="51"/>
  <c r="H224" i="51"/>
  <c r="H223" i="51"/>
  <c r="J222" i="51"/>
  <c r="I222" i="51"/>
  <c r="H222" i="51"/>
  <c r="P221" i="51"/>
  <c r="Q220" i="51"/>
  <c r="P220" i="51"/>
  <c r="T219" i="51"/>
  <c r="R219" i="51"/>
  <c r="Q219" i="51"/>
  <c r="P219" i="51"/>
  <c r="J219" i="51"/>
  <c r="H219" i="51"/>
  <c r="K219" i="51" s="1"/>
  <c r="P218" i="51"/>
  <c r="Q217" i="51"/>
  <c r="P217" i="51"/>
  <c r="T216" i="51"/>
  <c r="R216" i="51"/>
  <c r="Q216" i="51"/>
  <c r="P216" i="51"/>
  <c r="J216" i="51"/>
  <c r="H216" i="51"/>
  <c r="K216" i="51" s="1"/>
  <c r="P215" i="51"/>
  <c r="T214" i="51"/>
  <c r="R214" i="51"/>
  <c r="Q214" i="51"/>
  <c r="P214" i="51"/>
  <c r="J214" i="51"/>
  <c r="H214" i="51"/>
  <c r="K214" i="51" s="1"/>
  <c r="P213" i="51"/>
  <c r="Q212" i="51"/>
  <c r="P212" i="51"/>
  <c r="T211" i="51"/>
  <c r="R211" i="51"/>
  <c r="Q211" i="51"/>
  <c r="P211" i="51"/>
  <c r="J211" i="51"/>
  <c r="H211" i="51"/>
  <c r="H210" i="51"/>
  <c r="H209" i="51"/>
  <c r="T207" i="51"/>
  <c r="P207" i="51"/>
  <c r="I207" i="51"/>
  <c r="J207" i="51" s="1"/>
  <c r="H207" i="51"/>
  <c r="H206" i="51"/>
  <c r="Q205" i="51"/>
  <c r="P205" i="51"/>
  <c r="Q204" i="51"/>
  <c r="P204" i="51"/>
  <c r="P203" i="51"/>
  <c r="Q202" i="51"/>
  <c r="P202" i="51"/>
  <c r="T201" i="51"/>
  <c r="R201" i="51"/>
  <c r="Q201" i="51"/>
  <c r="P201" i="51"/>
  <c r="J201" i="51"/>
  <c r="H201" i="51"/>
  <c r="K201" i="51" s="1"/>
  <c r="P200" i="51"/>
  <c r="R199" i="51"/>
  <c r="K199" i="51" s="1"/>
  <c r="Q199" i="51"/>
  <c r="P199" i="51"/>
  <c r="J199" i="51"/>
  <c r="T198" i="51"/>
  <c r="P198" i="51"/>
  <c r="J198" i="51"/>
  <c r="I198" i="51"/>
  <c r="H198" i="51"/>
  <c r="H197" i="51"/>
  <c r="J196" i="51"/>
  <c r="H196" i="51"/>
  <c r="T195" i="51"/>
  <c r="H194" i="51"/>
  <c r="H193" i="51"/>
  <c r="H192" i="51"/>
  <c r="H191" i="51"/>
  <c r="H190" i="51"/>
  <c r="H189" i="51"/>
  <c r="I188" i="51"/>
  <c r="J188" i="51" s="1"/>
  <c r="H188" i="51"/>
  <c r="H187" i="51"/>
  <c r="H186" i="51"/>
  <c r="H185" i="51"/>
  <c r="H184" i="51"/>
  <c r="T183" i="51"/>
  <c r="P183" i="51"/>
  <c r="J183" i="51"/>
  <c r="H183" i="51"/>
  <c r="H182" i="51"/>
  <c r="H181" i="51"/>
  <c r="H180" i="51"/>
  <c r="T178" i="51"/>
  <c r="Q178" i="51"/>
  <c r="P178" i="51"/>
  <c r="J178" i="51"/>
  <c r="H178" i="51"/>
  <c r="P176" i="51"/>
  <c r="Q175" i="51"/>
  <c r="P175" i="51"/>
  <c r="T174" i="51"/>
  <c r="Q174" i="51"/>
  <c r="P174" i="51"/>
  <c r="J174" i="51"/>
  <c r="I174" i="51"/>
  <c r="H174" i="51"/>
  <c r="T173" i="51"/>
  <c r="P173" i="51"/>
  <c r="I173" i="51"/>
  <c r="H173" i="51"/>
  <c r="I172" i="51"/>
  <c r="H172" i="51"/>
  <c r="P171" i="51"/>
  <c r="T170" i="51"/>
  <c r="Q170" i="51"/>
  <c r="P170" i="51"/>
  <c r="I170" i="51"/>
  <c r="J170" i="51" s="1"/>
  <c r="H170" i="51"/>
  <c r="P169" i="51"/>
  <c r="P167" i="51"/>
  <c r="T166" i="51"/>
  <c r="P166" i="51"/>
  <c r="I166" i="51"/>
  <c r="J166" i="51" s="1"/>
  <c r="H166" i="51"/>
  <c r="Q164" i="51"/>
  <c r="P164" i="51"/>
  <c r="Q163" i="51"/>
  <c r="P163" i="51"/>
  <c r="T162" i="51"/>
  <c r="Q162" i="51"/>
  <c r="P162" i="51"/>
  <c r="J162" i="51"/>
  <c r="H162" i="51"/>
  <c r="P161" i="51"/>
  <c r="T160" i="51"/>
  <c r="R160" i="51"/>
  <c r="Q160" i="51"/>
  <c r="P160" i="51"/>
  <c r="J160" i="51"/>
  <c r="H160" i="51"/>
  <c r="K160" i="51" s="1"/>
  <c r="P159" i="51"/>
  <c r="T158" i="51"/>
  <c r="Q158" i="51"/>
  <c r="P158" i="51"/>
  <c r="J158" i="51"/>
  <c r="H158" i="51"/>
  <c r="P157" i="51"/>
  <c r="Q156" i="51"/>
  <c r="P156" i="51"/>
  <c r="Q155" i="51"/>
  <c r="P155" i="51"/>
  <c r="T154" i="51"/>
  <c r="R154" i="51"/>
  <c r="Q154" i="51"/>
  <c r="P154" i="51"/>
  <c r="I154" i="51"/>
  <c r="J154" i="51" s="1"/>
  <c r="H154" i="51"/>
  <c r="K154" i="51" s="1"/>
  <c r="H153" i="51"/>
  <c r="H152" i="51"/>
  <c r="H151" i="51"/>
  <c r="T149" i="51"/>
  <c r="R149" i="51"/>
  <c r="I149" i="51"/>
  <c r="J149" i="51" s="1"/>
  <c r="H149" i="51"/>
  <c r="K149" i="51" s="1"/>
  <c r="T144" i="51"/>
  <c r="R144" i="51"/>
  <c r="Q144" i="51"/>
  <c r="P144" i="51"/>
  <c r="I144" i="51"/>
  <c r="J144" i="51" s="1"/>
  <c r="H144" i="51"/>
  <c r="H143" i="51"/>
  <c r="H142" i="51"/>
  <c r="H141" i="51"/>
  <c r="H140" i="51"/>
  <c r="H139" i="51"/>
  <c r="T138" i="51"/>
  <c r="R138" i="51"/>
  <c r="P138" i="51"/>
  <c r="I138" i="51"/>
  <c r="J138" i="51" s="1"/>
  <c r="H138" i="51"/>
  <c r="H137" i="51"/>
  <c r="H136" i="51"/>
  <c r="H135" i="51"/>
  <c r="P134" i="51"/>
  <c r="J134" i="51"/>
  <c r="H134" i="51"/>
  <c r="H133" i="51"/>
  <c r="H132" i="51"/>
  <c r="H131" i="51"/>
  <c r="H130" i="51"/>
  <c r="H129" i="51"/>
  <c r="H128" i="51"/>
  <c r="H127" i="51"/>
  <c r="H126" i="51"/>
  <c r="P125" i="51"/>
  <c r="I125" i="51"/>
  <c r="J125" i="51" s="1"/>
  <c r="H125" i="51"/>
  <c r="P124" i="51"/>
  <c r="T123" i="51"/>
  <c r="R123" i="51"/>
  <c r="Q123" i="51"/>
  <c r="P123" i="51"/>
  <c r="K123" i="51"/>
  <c r="J123" i="51"/>
  <c r="I123" i="51"/>
  <c r="H123" i="51"/>
  <c r="P120" i="51"/>
  <c r="Q119" i="51"/>
  <c r="P119" i="51"/>
  <c r="T118" i="51"/>
  <c r="R118" i="51"/>
  <c r="Q118" i="51"/>
  <c r="P118" i="51"/>
  <c r="J118" i="51"/>
  <c r="H118" i="51"/>
  <c r="K118" i="51" s="1"/>
  <c r="P117" i="51"/>
  <c r="T116" i="51"/>
  <c r="Q116" i="51"/>
  <c r="P116" i="51"/>
  <c r="I116" i="51"/>
  <c r="J116" i="51" s="1"/>
  <c r="H116" i="51"/>
  <c r="T115" i="51"/>
  <c r="I115" i="51"/>
  <c r="H115" i="51"/>
  <c r="T114" i="51"/>
  <c r="P114" i="51"/>
  <c r="K114" i="51"/>
  <c r="I114" i="51"/>
  <c r="H114" i="51"/>
  <c r="T113" i="51"/>
  <c r="P113" i="51"/>
  <c r="J113" i="51"/>
  <c r="I113" i="51"/>
  <c r="H113" i="51"/>
  <c r="T112" i="51"/>
  <c r="P112" i="51"/>
  <c r="I112" i="51"/>
  <c r="J112" i="51" s="1"/>
  <c r="H112" i="51"/>
  <c r="I111" i="51"/>
  <c r="J111" i="51" s="1"/>
  <c r="H111" i="51"/>
  <c r="H109" i="51"/>
  <c r="H108" i="51"/>
  <c r="P106" i="51"/>
  <c r="T105" i="51"/>
  <c r="P105" i="51"/>
  <c r="I105" i="51"/>
  <c r="J105" i="51" s="1"/>
  <c r="H105" i="51"/>
  <c r="P104" i="51"/>
  <c r="Q103" i="51"/>
  <c r="P103" i="51"/>
  <c r="T102" i="51"/>
  <c r="P102" i="51"/>
  <c r="I102" i="51"/>
  <c r="K102" i="51" s="1"/>
  <c r="H102" i="51"/>
  <c r="P101" i="51"/>
  <c r="Q100" i="51"/>
  <c r="P100" i="51"/>
  <c r="T99" i="51"/>
  <c r="P99" i="51"/>
  <c r="I99" i="51"/>
  <c r="J99" i="51" s="1"/>
  <c r="H99" i="51"/>
  <c r="T95" i="51"/>
  <c r="I95" i="51"/>
  <c r="J95" i="51" s="1"/>
  <c r="H95" i="51"/>
  <c r="T93" i="51"/>
  <c r="P93" i="51"/>
  <c r="O93" i="51"/>
  <c r="I93" i="51"/>
  <c r="J93" i="51" s="1"/>
  <c r="P92" i="51"/>
  <c r="P91" i="51"/>
  <c r="T89" i="51"/>
  <c r="Q89" i="51"/>
  <c r="P89" i="51"/>
  <c r="K89" i="51"/>
  <c r="J89" i="51"/>
  <c r="H89" i="51"/>
  <c r="I88" i="51"/>
  <c r="H88" i="51"/>
  <c r="P87" i="51"/>
  <c r="Q86" i="51"/>
  <c r="P86" i="51"/>
  <c r="T85" i="51"/>
  <c r="J85" i="51"/>
  <c r="H85" i="51"/>
  <c r="Q83" i="51"/>
  <c r="P83" i="51"/>
  <c r="Q82" i="51"/>
  <c r="P82" i="51"/>
  <c r="Q81" i="51"/>
  <c r="P81" i="51"/>
  <c r="T80" i="51"/>
  <c r="Q80" i="51"/>
  <c r="P80" i="51"/>
  <c r="J80" i="51"/>
  <c r="H80" i="51"/>
  <c r="H79" i="51"/>
  <c r="H78" i="51"/>
  <c r="H77" i="51"/>
  <c r="H76" i="51"/>
  <c r="H75" i="51"/>
  <c r="H74" i="51"/>
  <c r="T72" i="51"/>
  <c r="P72" i="51"/>
  <c r="I72" i="51"/>
  <c r="J72" i="51" s="1"/>
  <c r="H72" i="51"/>
  <c r="T69" i="51"/>
  <c r="P69" i="51"/>
  <c r="I69" i="51"/>
  <c r="J69" i="51" s="1"/>
  <c r="H69" i="51"/>
  <c r="P68" i="51"/>
  <c r="T67" i="51"/>
  <c r="R67" i="51"/>
  <c r="Q67" i="51"/>
  <c r="P67" i="51"/>
  <c r="I67" i="51"/>
  <c r="K67" i="51" s="1"/>
  <c r="H67" i="51"/>
  <c r="T65" i="51"/>
  <c r="R65" i="51"/>
  <c r="K65" i="51"/>
  <c r="I65" i="51"/>
  <c r="J65" i="51" s="1"/>
  <c r="H65" i="51"/>
  <c r="T64" i="51"/>
  <c r="P64" i="51"/>
  <c r="K64" i="51"/>
  <c r="J64" i="51"/>
  <c r="H64" i="51"/>
  <c r="P62" i="51"/>
  <c r="Q61" i="51"/>
  <c r="P61" i="51"/>
  <c r="Q60" i="51"/>
  <c r="P60" i="51"/>
  <c r="T59" i="51"/>
  <c r="Q59" i="51"/>
  <c r="P59" i="51"/>
  <c r="J59" i="51"/>
  <c r="H59" i="51"/>
  <c r="R58" i="51"/>
  <c r="P58" i="51"/>
  <c r="K58" i="51"/>
  <c r="J58" i="51"/>
  <c r="H58" i="51"/>
  <c r="T57" i="51"/>
  <c r="P57" i="51"/>
  <c r="J57" i="51"/>
  <c r="H57" i="51"/>
  <c r="P56" i="51"/>
  <c r="J56" i="51"/>
  <c r="H56" i="51"/>
  <c r="K56" i="51" s="1"/>
  <c r="P55" i="51"/>
  <c r="T54" i="51"/>
  <c r="R54" i="51"/>
  <c r="Q54" i="51"/>
  <c r="P54" i="51"/>
  <c r="J54" i="51"/>
  <c r="H54" i="51"/>
  <c r="P53" i="51"/>
  <c r="P52" i="51"/>
  <c r="P51" i="51"/>
  <c r="Q50" i="51"/>
  <c r="P50" i="51"/>
  <c r="Q49" i="51"/>
  <c r="P49" i="51"/>
  <c r="T48" i="51"/>
  <c r="R48" i="51"/>
  <c r="Q48" i="51"/>
  <c r="P48" i="51"/>
  <c r="K48" i="51"/>
  <c r="J48" i="51"/>
  <c r="H48" i="51"/>
  <c r="P47" i="51"/>
  <c r="T46" i="51"/>
  <c r="Q46" i="51"/>
  <c r="P46" i="51"/>
  <c r="K46" i="51"/>
  <c r="J46" i="51"/>
  <c r="H46" i="51"/>
  <c r="P45" i="51"/>
  <c r="T44" i="51"/>
  <c r="R44" i="51"/>
  <c r="K44" i="51" s="1"/>
  <c r="Q44" i="51"/>
  <c r="P44" i="51"/>
  <c r="J44" i="51"/>
  <c r="H44" i="51"/>
  <c r="P43" i="51"/>
  <c r="P42" i="51"/>
  <c r="P41" i="51"/>
  <c r="Q40" i="51"/>
  <c r="P40" i="51"/>
  <c r="Q39" i="51"/>
  <c r="P39" i="51"/>
  <c r="T38" i="51"/>
  <c r="R38" i="51"/>
  <c r="Q38" i="51"/>
  <c r="P38" i="51"/>
  <c r="J38" i="51"/>
  <c r="H38" i="51"/>
  <c r="K38" i="51" s="1"/>
  <c r="P37" i="51"/>
  <c r="T36" i="51"/>
  <c r="R36" i="51"/>
  <c r="Q36" i="51"/>
  <c r="P36" i="51"/>
  <c r="K36" i="51"/>
  <c r="J36" i="51"/>
  <c r="H36" i="51"/>
  <c r="P35" i="51"/>
  <c r="T34" i="51"/>
  <c r="R34" i="51"/>
  <c r="K34" i="51" s="1"/>
  <c r="Q34" i="51"/>
  <c r="P34" i="51"/>
  <c r="J34" i="51"/>
  <c r="H34" i="51"/>
  <c r="P33" i="51"/>
  <c r="Q32" i="51"/>
  <c r="P32" i="51"/>
  <c r="T31" i="51"/>
  <c r="R31" i="51"/>
  <c r="Q31" i="51"/>
  <c r="P31" i="51"/>
  <c r="K31" i="51"/>
  <c r="J31" i="51"/>
  <c r="H31" i="51"/>
  <c r="H30" i="51"/>
  <c r="H29" i="51"/>
  <c r="R27" i="51"/>
  <c r="P27" i="51"/>
  <c r="J27" i="51"/>
  <c r="H27" i="51"/>
  <c r="K27" i="51" s="1"/>
  <c r="P26" i="51"/>
  <c r="Q25" i="51"/>
  <c r="P25" i="51"/>
  <c r="T24" i="51"/>
  <c r="T27" i="51" s="1"/>
  <c r="R24" i="51"/>
  <c r="Q24" i="51"/>
  <c r="P24" i="51"/>
  <c r="J24" i="51"/>
  <c r="H24" i="51"/>
  <c r="P21" i="51"/>
  <c r="T20" i="51"/>
  <c r="R20" i="51"/>
  <c r="K20" i="51" s="1"/>
  <c r="Q20" i="51"/>
  <c r="P20" i="51"/>
  <c r="J20" i="51"/>
  <c r="H20" i="51"/>
  <c r="T17" i="51"/>
  <c r="P17" i="51"/>
  <c r="J17" i="51"/>
  <c r="I17" i="51"/>
  <c r="H17" i="51"/>
  <c r="P16" i="51"/>
  <c r="T15" i="51"/>
  <c r="R15" i="51"/>
  <c r="Q15" i="51"/>
  <c r="P15" i="51"/>
  <c r="J15" i="51"/>
  <c r="H15" i="51"/>
  <c r="P14" i="51"/>
  <c r="R13" i="51"/>
  <c r="K13" i="51" s="1"/>
  <c r="Q13" i="51"/>
  <c r="P13" i="51"/>
  <c r="J13" i="51"/>
  <c r="H13" i="51"/>
  <c r="H12" i="51"/>
  <c r="P11" i="51"/>
  <c r="T10" i="51"/>
  <c r="Q10" i="51"/>
  <c r="P10" i="51"/>
  <c r="J10" i="51"/>
  <c r="H10" i="51"/>
  <c r="H9" i="51"/>
  <c r="P8" i="51"/>
  <c r="T7" i="51"/>
  <c r="S7" i="51"/>
  <c r="R7" i="51"/>
  <c r="Q7" i="51"/>
  <c r="P7" i="51"/>
  <c r="J7" i="51"/>
  <c r="H7" i="51"/>
  <c r="K7" i="51" s="1"/>
  <c r="Q5" i="51"/>
  <c r="P5" i="51"/>
  <c r="Q4" i="51"/>
  <c r="P4" i="51"/>
  <c r="J3" i="51"/>
  <c r="H3" i="51"/>
  <c r="V1" i="51"/>
  <c r="I1" i="51"/>
  <c r="K287" i="51" s="1"/>
  <c r="K243" i="51" l="1"/>
  <c r="K152" i="51"/>
  <c r="K75" i="51"/>
  <c r="K76" i="51"/>
  <c r="K130" i="51"/>
  <c r="J130" i="51"/>
  <c r="K222" i="51"/>
  <c r="K174" i="51"/>
  <c r="K180" i="51"/>
  <c r="J180" i="51"/>
  <c r="K172" i="51"/>
  <c r="J303" i="51"/>
  <c r="K251" i="51"/>
  <c r="J76" i="51"/>
  <c r="K131" i="51"/>
  <c r="K189" i="51"/>
  <c r="P243" i="51"/>
  <c r="K294" i="51"/>
  <c r="K57" i="51"/>
  <c r="J172" i="51"/>
  <c r="J189" i="51"/>
  <c r="J294" i="51"/>
  <c r="J206" i="51"/>
  <c r="Q240" i="51"/>
  <c r="Q125" i="51"/>
  <c r="P168" i="51"/>
  <c r="K206" i="51"/>
  <c r="J244" i="51"/>
  <c r="K259" i="51"/>
  <c r="J277" i="51"/>
  <c r="Q319" i="51"/>
  <c r="K95" i="51"/>
  <c r="K139" i="51"/>
  <c r="K198" i="51"/>
  <c r="K230" i="51"/>
  <c r="K17" i="51"/>
  <c r="K29" i="51"/>
  <c r="J114" i="51"/>
  <c r="J126" i="51"/>
  <c r="J139" i="51"/>
  <c r="Q159" i="51"/>
  <c r="K184" i="51"/>
  <c r="J306" i="51"/>
  <c r="K10" i="51"/>
  <c r="K80" i="51"/>
  <c r="K85" i="51"/>
  <c r="J184" i="51"/>
  <c r="K193" i="51"/>
  <c r="Q230" i="51"/>
  <c r="K255" i="51"/>
  <c r="J273" i="51"/>
  <c r="Q17" i="51"/>
  <c r="J135" i="51"/>
  <c r="K194" i="51"/>
  <c r="P255" i="51"/>
  <c r="K266" i="51"/>
  <c r="K273" i="51"/>
  <c r="P6" i="51"/>
  <c r="Q91" i="51"/>
  <c r="Q112" i="51"/>
  <c r="K135" i="51"/>
  <c r="J194" i="51"/>
  <c r="Q250" i="51"/>
  <c r="J266" i="51"/>
  <c r="K302" i="51"/>
  <c r="J102" i="51"/>
  <c r="J298" i="51"/>
  <c r="K54" i="51"/>
  <c r="K211" i="51"/>
  <c r="J295" i="51"/>
  <c r="K322" i="51"/>
  <c r="J305" i="51"/>
  <c r="K300" i="51"/>
  <c r="K271" i="51"/>
  <c r="J255" i="51"/>
  <c r="P196" i="51"/>
  <c r="K192" i="51"/>
  <c r="P188" i="51"/>
  <c r="J185" i="51"/>
  <c r="Q173" i="51"/>
  <c r="K141" i="51"/>
  <c r="J131" i="51"/>
  <c r="J127" i="51"/>
  <c r="K112" i="51"/>
  <c r="J108" i="51"/>
  <c r="J79" i="51"/>
  <c r="J75" i="51"/>
  <c r="K69" i="51"/>
  <c r="P63" i="51"/>
  <c r="P18" i="51"/>
  <c r="K319" i="51"/>
  <c r="K316" i="51"/>
  <c r="Q310" i="51"/>
  <c r="K307" i="51"/>
  <c r="K297" i="51"/>
  <c r="J271" i="51"/>
  <c r="K267" i="51"/>
  <c r="K260" i="51"/>
  <c r="K257" i="51"/>
  <c r="K244" i="51"/>
  <c r="K238" i="51"/>
  <c r="K196" i="51"/>
  <c r="J192" i="51"/>
  <c r="K188" i="51"/>
  <c r="K181" i="51"/>
  <c r="K151" i="51"/>
  <c r="J141" i="51"/>
  <c r="Q102" i="51"/>
  <c r="K99" i="51"/>
  <c r="Q11" i="51"/>
  <c r="J316" i="51"/>
  <c r="J307" i="51"/>
  <c r="J297" i="51"/>
  <c r="J267" i="51"/>
  <c r="J260" i="51"/>
  <c r="J257" i="51"/>
  <c r="K254" i="51"/>
  <c r="Q325" i="51"/>
  <c r="K315" i="51"/>
  <c r="J302" i="51"/>
  <c r="Q295" i="51"/>
  <c r="J293" i="51"/>
  <c r="J287" i="51"/>
  <c r="K268" i="51"/>
  <c r="Q218" i="51"/>
  <c r="K207" i="51"/>
  <c r="K162" i="51"/>
  <c r="J152" i="51"/>
  <c r="K137" i="51"/>
  <c r="K129" i="51"/>
  <c r="Q117" i="51"/>
  <c r="J109" i="51"/>
  <c r="Q99" i="51"/>
  <c r="K74" i="51"/>
  <c r="K12" i="51"/>
  <c r="J315" i="51"/>
  <c r="K304" i="51"/>
  <c r="K272" i="51"/>
  <c r="J268" i="51"/>
  <c r="P256" i="51"/>
  <c r="K249" i="51"/>
  <c r="K234" i="51"/>
  <c r="K229" i="51"/>
  <c r="K190" i="51"/>
  <c r="K186" i="51"/>
  <c r="K178" i="51"/>
  <c r="K166" i="51"/>
  <c r="K140" i="51"/>
  <c r="J137" i="51"/>
  <c r="K133" i="51"/>
  <c r="J129" i="51"/>
  <c r="K125" i="51"/>
  <c r="K78" i="51"/>
  <c r="J74" i="51"/>
  <c r="Q57" i="51"/>
  <c r="K30" i="51"/>
  <c r="K318" i="51"/>
  <c r="K311" i="51"/>
  <c r="J304" i="51"/>
  <c r="K295" i="51"/>
  <c r="K292" i="51"/>
  <c r="Q275" i="51"/>
  <c r="J272" i="51"/>
  <c r="K256" i="51"/>
  <c r="P242" i="51"/>
  <c r="J229" i="51"/>
  <c r="Q198" i="51"/>
  <c r="P195" i="51"/>
  <c r="J190" i="51"/>
  <c r="J186" i="51"/>
  <c r="K182" i="51"/>
  <c r="J151" i="51"/>
  <c r="J140" i="51"/>
  <c r="J133" i="51"/>
  <c r="K108" i="51"/>
  <c r="K93" i="51"/>
  <c r="J78" i="51"/>
  <c r="J318" i="51"/>
  <c r="J311" i="51"/>
  <c r="K109" i="51"/>
  <c r="K126" i="51"/>
  <c r="J136" i="51"/>
  <c r="K144" i="51"/>
  <c r="J153" i="51"/>
  <c r="P172" i="51"/>
  <c r="P222" i="51"/>
  <c r="K241" i="51"/>
  <c r="Q251" i="51"/>
  <c r="J256" i="51"/>
  <c r="K277" i="51"/>
  <c r="K303" i="51"/>
  <c r="K306" i="51"/>
  <c r="J77" i="51"/>
  <c r="K113" i="51"/>
  <c r="J115" i="51"/>
  <c r="J132" i="51"/>
  <c r="K136" i="51"/>
  <c r="K153" i="51"/>
  <c r="J181" i="51"/>
  <c r="K185" i="51"/>
  <c r="J245" i="51"/>
  <c r="J274" i="51"/>
  <c r="J292" i="51"/>
  <c r="P303" i="51"/>
  <c r="J312" i="51"/>
  <c r="J67" i="51"/>
  <c r="K77" i="51"/>
  <c r="K115" i="51"/>
  <c r="K127" i="51"/>
  <c r="K132" i="51"/>
  <c r="J142" i="51"/>
  <c r="J191" i="51"/>
  <c r="J209" i="51"/>
  <c r="J223" i="51"/>
  <c r="K245" i="51"/>
  <c r="J261" i="51"/>
  <c r="K274" i="51"/>
  <c r="K285" i="51"/>
  <c r="K312" i="51"/>
  <c r="J317" i="51"/>
  <c r="Q113" i="51"/>
  <c r="K142" i="51"/>
  <c r="K170" i="51"/>
  <c r="K173" i="51"/>
  <c r="J182" i="51"/>
  <c r="K191" i="51"/>
  <c r="J197" i="51"/>
  <c r="K209" i="51"/>
  <c r="K223" i="51"/>
  <c r="Q227" i="51"/>
  <c r="Q238" i="51"/>
  <c r="K261" i="51"/>
  <c r="K264" i="51"/>
  <c r="K269" i="51"/>
  <c r="K293" i="51"/>
  <c r="K317" i="51"/>
  <c r="J321" i="51"/>
  <c r="Q93" i="51"/>
  <c r="K111" i="51"/>
  <c r="J128" i="51"/>
  <c r="P165" i="51"/>
  <c r="J187" i="51"/>
  <c r="K197" i="51"/>
  <c r="Q249" i="51"/>
  <c r="J258" i="51"/>
  <c r="Q285" i="51"/>
  <c r="K321" i="51"/>
  <c r="K59" i="51"/>
  <c r="K79" i="51"/>
  <c r="K128" i="51"/>
  <c r="J143" i="51"/>
  <c r="K158" i="51"/>
  <c r="K187" i="51"/>
  <c r="J210" i="51"/>
  <c r="K258" i="51"/>
  <c r="J262" i="51"/>
  <c r="Q269" i="51"/>
  <c r="K275" i="51"/>
  <c r="J313" i="51"/>
  <c r="K105" i="51"/>
  <c r="K116" i="51"/>
  <c r="K134" i="51"/>
  <c r="K138" i="51"/>
  <c r="K143" i="51"/>
  <c r="K183" i="51"/>
  <c r="J193" i="51"/>
  <c r="K210" i="51"/>
  <c r="J254" i="51"/>
  <c r="K262" i="51"/>
  <c r="P275" i="51"/>
  <c r="K305" i="51"/>
  <c r="K309" i="51"/>
  <c r="K313" i="51"/>
  <c r="K24" i="51"/>
  <c r="K224" i="51"/>
  <c r="J322" i="51"/>
  <c r="K15" i="51"/>
  <c r="H290" i="51"/>
  <c r="K290" i="51" s="1"/>
  <c r="H288" i="51"/>
  <c r="K288" i="51" s="1"/>
  <c r="E22" i="8" l="1"/>
  <c r="E23" i="8"/>
  <c r="E24" i="8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GQ3" i="11" l="1"/>
  <c r="GR3" i="11"/>
  <c r="GS3" i="11"/>
  <c r="GT3" i="11"/>
  <c r="GI3" i="11"/>
  <c r="GJ3" i="11"/>
  <c r="GK3" i="11"/>
  <c r="GL3" i="11"/>
  <c r="GM3" i="11"/>
  <c r="GN3" i="11"/>
  <c r="GO3" i="11"/>
  <c r="GP3" i="11"/>
  <c r="FQ3" i="11"/>
  <c r="FR3" i="11"/>
  <c r="FS3" i="11"/>
  <c r="FT3" i="11"/>
  <c r="FU3" i="11"/>
  <c r="FV3" i="11"/>
  <c r="FW3" i="11"/>
  <c r="FX3" i="11"/>
  <c r="FY3" i="11"/>
  <c r="FZ3" i="11"/>
  <c r="GA3" i="11"/>
  <c r="GB3" i="11"/>
  <c r="GC3" i="11"/>
  <c r="GD3" i="11"/>
  <c r="GE3" i="11"/>
  <c r="GF3" i="11"/>
  <c r="GG3" i="11"/>
  <c r="GH3" i="11"/>
  <c r="L7" i="8"/>
  <c r="T6" i="11" l="1"/>
  <c r="T7" i="11"/>
  <c r="T8" i="11"/>
  <c r="T9" i="11"/>
  <c r="T10" i="11"/>
  <c r="T5" i="11"/>
  <c r="T4" i="11"/>
  <c r="L22" i="8" l="1" a="1"/>
  <c r="L22" i="8" s="1"/>
  <c r="L23" i="8" a="1"/>
  <c r="L23" i="8" s="1"/>
  <c r="L24" i="8" a="1"/>
  <c r="L24" i="8" s="1"/>
  <c r="L25" i="8" a="1"/>
  <c r="L25" i="8" s="1"/>
  <c r="K6" i="8" l="1"/>
  <c r="EL3" i="11"/>
  <c r="EM3" i="11"/>
  <c r="EN3" i="11"/>
  <c r="EO3" i="11"/>
  <c r="EP3" i="11"/>
  <c r="EQ3" i="11"/>
  <c r="ER3" i="11"/>
  <c r="ES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L15" i="8" l="1" a="1"/>
  <c r="L15" i="8" s="1"/>
  <c r="L14" i="8" a="1"/>
  <c r="L14" i="8" s="1"/>
  <c r="L16" i="8" a="1"/>
  <c r="L16" i="8" s="1"/>
  <c r="L17" i="8" a="1"/>
  <c r="L17" i="8" s="1"/>
  <c r="L18" i="8" a="1"/>
  <c r="L18" i="8" s="1"/>
  <c r="I19" i="8"/>
  <c r="G22" i="8"/>
  <c r="H22" i="8"/>
  <c r="T12" i="11" l="1"/>
  <c r="T11" i="11"/>
  <c r="I11" i="11" l="1"/>
  <c r="D1" i="1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N4" i="8"/>
  <c r="K23" i="8" l="1" a="1"/>
  <c r="K23" i="8" s="1"/>
  <c r="K22" i="8" a="1"/>
  <c r="K22" i="8" s="1"/>
  <c r="K24" i="8" a="1"/>
  <c r="K24" i="8" s="1"/>
  <c r="K25" i="8" a="1"/>
  <c r="K25" i="8" s="1"/>
  <c r="K15" i="8" a="1"/>
  <c r="K15" i="8" s="1"/>
  <c r="K16" i="8" a="1"/>
  <c r="K16" i="8" s="1"/>
  <c r="K17" i="8" a="1"/>
  <c r="K17" i="8" s="1"/>
  <c r="K14" i="8" a="1"/>
  <c r="K14" i="8" s="1"/>
  <c r="K18" i="8" a="1"/>
  <c r="K18" i="8" s="1"/>
  <c r="A26" i="14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N120" i="11"/>
  <c r="O120" i="11" s="1"/>
  <c r="N119" i="11"/>
  <c r="O119" i="11" s="1"/>
  <c r="N118" i="11"/>
  <c r="O118" i="11" s="1"/>
  <c r="N117" i="11"/>
  <c r="O117" i="11" s="1"/>
  <c r="N116" i="11"/>
  <c r="O116" i="11" s="1"/>
  <c r="N115" i="11"/>
  <c r="O115" i="11" s="1"/>
  <c r="N114" i="11"/>
  <c r="O114" i="11" s="1"/>
  <c r="N113" i="11"/>
  <c r="O113" i="11" s="1"/>
  <c r="N112" i="11"/>
  <c r="O112" i="11" s="1"/>
  <c r="N111" i="11"/>
  <c r="O111" i="11" s="1"/>
  <c r="N110" i="11"/>
  <c r="O110" i="11" s="1"/>
  <c r="N109" i="11"/>
  <c r="O109" i="11" s="1"/>
  <c r="N108" i="11"/>
  <c r="O108" i="11" s="1"/>
  <c r="N107" i="11"/>
  <c r="O107" i="11" s="1"/>
  <c r="N106" i="11"/>
  <c r="O106" i="11" s="1"/>
  <c r="N105" i="11"/>
  <c r="O105" i="11" s="1"/>
  <c r="N104" i="11"/>
  <c r="O104" i="11" s="1"/>
  <c r="N103" i="11"/>
  <c r="O103" i="11" s="1"/>
  <c r="N102" i="11"/>
  <c r="O102" i="11" s="1"/>
  <c r="N101" i="11"/>
  <c r="O101" i="11" s="1"/>
  <c r="N100" i="11"/>
  <c r="O100" i="11" s="1"/>
  <c r="N99" i="11"/>
  <c r="O99" i="11" s="1"/>
  <c r="N98" i="11"/>
  <c r="O98" i="11" s="1"/>
  <c r="N97" i="11"/>
  <c r="O97" i="11" s="1"/>
  <c r="N96" i="11"/>
  <c r="O96" i="11" s="1"/>
  <c r="N94" i="11"/>
  <c r="O94" i="11" s="1"/>
  <c r="N93" i="11"/>
  <c r="O93" i="11" s="1"/>
  <c r="N92" i="11"/>
  <c r="O92" i="11" s="1"/>
  <c r="N91" i="11"/>
  <c r="O91" i="11" s="1"/>
  <c r="N90" i="11"/>
  <c r="O90" i="11" s="1"/>
  <c r="N89" i="11"/>
  <c r="O89" i="11" s="1"/>
  <c r="N88" i="11"/>
  <c r="O88" i="11" s="1"/>
  <c r="N87" i="11"/>
  <c r="O87" i="11" s="1"/>
  <c r="N86" i="11"/>
  <c r="O86" i="11" s="1"/>
  <c r="N85" i="11"/>
  <c r="O85" i="11" s="1"/>
  <c r="N84" i="11"/>
  <c r="O84" i="11" s="1"/>
  <c r="N83" i="11"/>
  <c r="O83" i="11" s="1"/>
  <c r="N82" i="11"/>
  <c r="N81" i="11"/>
  <c r="N80" i="11"/>
  <c r="N79" i="11"/>
  <c r="N77" i="11"/>
  <c r="O77" i="11" s="1"/>
  <c r="N76" i="11"/>
  <c r="O76" i="11" s="1"/>
  <c r="N75" i="11"/>
  <c r="O75" i="11" s="1"/>
  <c r="N74" i="11"/>
  <c r="O74" i="11" s="1"/>
  <c r="N73" i="11"/>
  <c r="O73" i="11" s="1"/>
  <c r="N72" i="11"/>
  <c r="O72" i="11" s="1"/>
  <c r="N71" i="11"/>
  <c r="O71" i="11" s="1"/>
  <c r="N70" i="11"/>
  <c r="O70" i="11" s="1"/>
  <c r="N69" i="11"/>
  <c r="O69" i="11" s="1"/>
  <c r="N68" i="11"/>
  <c r="O68" i="11" s="1"/>
  <c r="N67" i="11"/>
  <c r="O67" i="11" s="1"/>
  <c r="N66" i="11"/>
  <c r="O66" i="11" s="1"/>
  <c r="N65" i="11"/>
  <c r="O65" i="11" s="1"/>
  <c r="N64" i="11"/>
  <c r="O64" i="11" s="1"/>
  <c r="N63" i="11"/>
  <c r="O63" i="11" s="1"/>
  <c r="N62" i="11"/>
  <c r="O62" i="11" s="1"/>
  <c r="N61" i="11"/>
  <c r="O61" i="11" s="1"/>
  <c r="N60" i="11"/>
  <c r="O60" i="11" s="1"/>
  <c r="N59" i="11"/>
  <c r="O59" i="11" s="1"/>
  <c r="N58" i="11"/>
  <c r="O58" i="11" s="1"/>
  <c r="N57" i="11"/>
  <c r="O57" i="11" s="1"/>
  <c r="N56" i="11"/>
  <c r="O56" i="11" s="1"/>
  <c r="N55" i="11"/>
  <c r="O55" i="11" s="1"/>
  <c r="N54" i="11"/>
  <c r="O54" i="11" s="1"/>
  <c r="N53" i="11"/>
  <c r="O53" i="11" s="1"/>
  <c r="N52" i="11"/>
  <c r="O52" i="11" s="1"/>
  <c r="N51" i="11"/>
  <c r="O51" i="11" s="1"/>
  <c r="N50" i="11"/>
  <c r="O50" i="11" s="1"/>
  <c r="N49" i="11"/>
  <c r="O49" i="11" s="1"/>
  <c r="N48" i="11"/>
  <c r="O48" i="11" s="1"/>
  <c r="N47" i="11"/>
  <c r="O47" i="11" s="1"/>
  <c r="N46" i="11"/>
  <c r="O46" i="11" s="1"/>
  <c r="N45" i="11"/>
  <c r="O45" i="11" s="1"/>
  <c r="N44" i="11"/>
  <c r="O44" i="11" s="1"/>
  <c r="N43" i="11"/>
  <c r="N42" i="11"/>
  <c r="N41" i="11"/>
  <c r="Q40" i="11"/>
  <c r="N40" i="11"/>
  <c r="O40" i="11" s="1"/>
  <c r="Q39" i="11"/>
  <c r="N39" i="11"/>
  <c r="O39" i="11" s="1"/>
  <c r="N38" i="11"/>
  <c r="Q37" i="11"/>
  <c r="P37" i="11" s="1"/>
  <c r="N37" i="11"/>
  <c r="O37" i="11" s="1"/>
  <c r="Q36" i="11"/>
  <c r="P36" i="11" s="1"/>
  <c r="N36" i="11"/>
  <c r="O36" i="11" s="1"/>
  <c r="Q35" i="11"/>
  <c r="D26" i="8" s="1"/>
  <c r="E26" i="8" s="1"/>
  <c r="Q34" i="11"/>
  <c r="P34" i="11" s="1"/>
  <c r="Q33" i="11"/>
  <c r="R33" i="11" s="1"/>
  <c r="Q32" i="11"/>
  <c r="R32" i="11" s="1"/>
  <c r="Q31" i="11"/>
  <c r="R31" i="11" s="1"/>
  <c r="Q30" i="11"/>
  <c r="R30" i="11" s="1"/>
  <c r="Q29" i="11"/>
  <c r="R29" i="11" s="1"/>
  <c r="Q28" i="11"/>
  <c r="R28" i="11" s="1"/>
  <c r="N26" i="11"/>
  <c r="N21" i="11"/>
  <c r="O21" i="11" s="1"/>
  <c r="N16" i="1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35" i="11" l="1"/>
  <c r="H23" i="8"/>
  <c r="G23" i="8" s="1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40" i="1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Q38" i="11"/>
  <c r="R38" i="11" s="1"/>
  <c r="O20" i="11"/>
  <c r="Q16" i="11"/>
  <c r="O81" i="11"/>
  <c r="R81" i="11"/>
  <c r="N19" i="11"/>
  <c r="Q43" i="11"/>
  <c r="R43" i="11" s="1"/>
  <c r="Q26" i="11"/>
  <c r="R26" i="11" s="1"/>
  <c r="Q21" i="11"/>
  <c r="R21" i="11" s="1"/>
  <c r="H24" i="8" l="1"/>
  <c r="G24" i="8" s="1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Q25" i="11"/>
  <c r="R25" i="11" s="1"/>
  <c r="Q20" i="11"/>
  <c r="R20" i="11" s="1"/>
  <c r="N27" i="11" l="1"/>
  <c r="O27" i="11" s="1"/>
  <c r="Q19" i="11"/>
  <c r="R19" i="11" s="1"/>
  <c r="Q24" i="11"/>
  <c r="R24" i="11" s="1"/>
  <c r="O18" i="11"/>
  <c r="N24" i="11"/>
  <c r="O24" i="11" s="1"/>
  <c r="O17" i="11"/>
  <c r="Q18" i="11" l="1"/>
  <c r="Q17" i="11"/>
  <c r="D25" i="8" s="1"/>
  <c r="E25" i="8" s="1"/>
  <c r="Q23" i="11"/>
  <c r="R23" i="11" s="1"/>
  <c r="N23" i="11"/>
  <c r="O23" i="11" s="1"/>
  <c r="N22" i="11"/>
  <c r="O22" i="11" s="1"/>
  <c r="Q22" i="11"/>
  <c r="R22" i="11" s="1"/>
  <c r="Q27" i="11"/>
  <c r="R27" i="11" s="1"/>
  <c r="H26" i="8" l="1"/>
  <c r="G26" i="8" s="1"/>
  <c r="R17" i="11"/>
  <c r="R18" i="11"/>
  <c r="E5" i="12"/>
  <c r="E10" i="12" s="1"/>
  <c r="E6" i="12" s="1"/>
  <c r="F59" i="8" l="1"/>
  <c r="C71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  <c r="Q13" i="11" l="1"/>
  <c r="R13" i="11" s="1"/>
  <c r="P13" i="11"/>
  <c r="Q14" i="11"/>
  <c r="R14" i="11"/>
  <c r="H21" i="8" l="1"/>
  <c r="G21" i="8" s="1"/>
  <c r="G59" i="8" s="1"/>
  <c r="C72" i="8" s="1"/>
  <c r="C73" i="8" s="1"/>
  <c r="E21" i="8"/>
  <c r="R15" i="11"/>
  <c r="Q15" i="11"/>
  <c r="S15" i="11"/>
  <c r="FR15" i="11"/>
  <c r="GB14" i="11"/>
  <c r="GB13" i="11"/>
  <c r="GB12" i="11"/>
  <c r="GB15" i="11"/>
  <c r="FW13" i="11"/>
  <c r="FW14" i="11"/>
  <c r="FW12" i="11"/>
  <c r="FW15" i="11"/>
  <c r="R12" i="11"/>
  <c r="S12" i="11"/>
  <c r="Q12" i="11"/>
  <c r="P12" i="11"/>
  <c r="FV15" i="11"/>
  <c r="FV14" i="11"/>
  <c r="FV12" i="11"/>
  <c r="FV13" i="11"/>
  <c r="GA15" i="11"/>
  <c r="GA13" i="11"/>
  <c r="GA12" i="11"/>
  <c r="GA14" i="11"/>
  <c r="FS13" i="11"/>
  <c r="FS15" i="11"/>
  <c r="FS12" i="11"/>
  <c r="FS14" i="11"/>
  <c r="FU14" i="11"/>
  <c r="FU13" i="11"/>
  <c r="FU12" i="11"/>
  <c r="FU15" i="11"/>
  <c r="FZ15" i="11"/>
  <c r="FZ13" i="11"/>
  <c r="FZ12" i="11"/>
  <c r="FZ14" i="11"/>
  <c r="FR14" i="11"/>
  <c r="FR12" i="11"/>
  <c r="FR13" i="11"/>
  <c r="FT13" i="11"/>
  <c r="FT14" i="11"/>
  <c r="FT12" i="11"/>
  <c r="FT1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<sst xmlns="http://schemas.openxmlformats.org/spreadsheetml/2006/main" count="2787" uniqueCount="883">
  <si>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</si>
  <si>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</si>
  <si>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</si>
  <si>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</si>
  <si>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</si>
  <si>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</si>
  <si>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</si>
  <si>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</si>
  <si>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</si>
  <si>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</si>
  <si>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</si>
  <si>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</si>
  <si>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</si>
  <si>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</si>
  <si>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</si>
  <si>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</si>
  <si>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</si>
  <si>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</si>
  <si>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</si>
  <si>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</si>
  <si>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</si>
  <si>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</si>
  <si>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</si>
  <si>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</si>
  <si>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</si>
  <si>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</si>
  <si>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</si>
  <si>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</si>
  <si>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</si>
  <si>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</si>
  <si>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</si>
  <si>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</si>
  <si>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</si>
  <si>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</si>
  <si>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</si>
  <si>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</si>
  <si>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</si>
  <si>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</si>
  <si>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</si>
  <si>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</si>
  <si>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</si>
  <si>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</si>
  <si>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</si>
  <si>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</si>
  <si>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</si>
  <si>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</si>
  <si>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</si>
  <si>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</si>
  <si>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</si>
  <si>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</si>
  <si>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</si>
  <si>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</si>
  <si>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</si>
  <si>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</si>
  <si>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</si>
  <si>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</si>
  <si>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</si>
  <si>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</si>
  <si>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</si>
  <si>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</si>
  <si>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</si>
  <si>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</si>
  <si>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</si>
  <si>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</si>
  <si>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</si>
  <si>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</si>
  <si>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</si>
  <si>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</si>
  <si>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</si>
  <si>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</si>
  <si>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</si>
  <si>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</si>
  <si>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</si>
  <si>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</si>
  <si>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</si>
  <si>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</si>
  <si>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</si>
  <si>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</si>
  <si>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</si>
  <si>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</si>
  <si>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</si>
  <si>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</si>
  <si>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</si>
  <si>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</si>
  <si>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</si>
  <si>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</si>
  <si>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</si>
  <si>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</si>
  <si>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</si>
  <si>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</si>
  <si>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</si>
  <si>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</si>
  <si>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</si>
  <si>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</si>
  <si>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</si>
  <si>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</si>
  <si>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</si>
  <si>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</si>
  <si>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</si>
  <si>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</si>
  <si>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</si>
  <si>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</si>
  <si>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</si>
  <si>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</si>
  <si>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</si>
  <si>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</si>
  <si>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</si>
  <si>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</si>
  <si>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</si>
  <si>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</si>
  <si>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</si>
  <si>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</si>
  <si>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</si>
  <si>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</si>
  <si>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</si>
  <si>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</si>
  <si>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</si>
  <si>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</si>
  <si>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</si>
  <si>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</si>
  <si>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</si>
  <si>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</si>
  <si>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</si>
  <si>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</si>
  <si>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</si>
  <si>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</si>
  <si>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</si>
  <si>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</si>
  <si>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</si>
  <si>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</si>
  <si>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</si>
  <si>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</si>
  <si>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</si>
  <si>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</si>
  <si>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</si>
  <si>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</si>
  <si>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</si>
  <si>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</si>
  <si>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</si>
  <si>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</si>
  <si>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</si>
  <si>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</si>
  <si>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</si>
  <si>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</si>
  <si>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</si>
  <si>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</si>
  <si>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</si>
  <si>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</si>
  <si>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</si>
  <si>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</si>
  <si>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</si>
  <si>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</si>
  <si>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</si>
  <si>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</si>
  <si>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</si>
  <si>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</si>
  <si>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</si>
  <si>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</si>
  <si>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</si>
  <si>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</si>
  <si>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</si>
  <si>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</si>
  <si>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</si>
  <si>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</si>
  <si>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</si>
  <si>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</si>
  <si>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</si>
  <si>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</si>
  <si>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</si>
  <si>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</si>
  <si>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</si>
  <si>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</si>
  <si>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</si>
  <si>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</si>
  <si>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</si>
  <si>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</si>
  <si>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</si>
  <si>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</si>
  <si>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</si>
  <si>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</si>
  <si>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</si>
  <si>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</si>
  <si>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</si>
  <si>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</si>
  <si>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</si>
  <si>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</si>
  <si>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</si>
  <si>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</si>
  <si>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</si>
  <si>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</si>
  <si>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</si>
  <si>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</si>
  <si>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</si>
  <si>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</si>
  <si>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</si>
  <si>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</si>
  <si>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</si>
  <si>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</si>
  <si>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</si>
  <si>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</si>
  <si>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</si>
  <si>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</si>
  <si>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</si>
  <si>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</si>
  <si>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</si>
  <si>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</si>
  <si>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</si>
  <si>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</si>
  <si>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</si>
  <si>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</si>
  <si>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</si>
  <si>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</si>
  <si>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</si>
  <si>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</si>
  <si>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</si>
  <si>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</si>
  <si>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</si>
  <si>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</si>
  <si>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</si>
  <si>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</si>
  <si>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</si>
  <si>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</si>
  <si>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</si>
  <si>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</si>
  <si>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</si>
  <si>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</si>
  <si>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</si>
  <si>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</si>
  <si>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</si>
  <si>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</si>
  <si>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</si>
  <si>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</si>
  <si>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</si>
  <si>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</si>
  <si>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</si>
  <si>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</si>
  <si>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</si>
  <si>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</si>
  <si>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</si>
  <si>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</si>
  <si>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</si>
  <si>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</si>
  <si>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</si>
  <si>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</si>
  <si>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</si>
  <si>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</si>
  <si>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</si>
  <si>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</si>
  <si>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</si>
  <si>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</si>
  <si>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</si>
  <si>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</si>
  <si>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</si>
  <si>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</si>
  <si>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</si>
  <si>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</si>
  <si>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</si>
  <si>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</si>
  <si>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</si>
  <si>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</si>
  <si>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</si>
  <si>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</si>
  <si>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</si>
  <si>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</si>
  <si>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</si>
  <si>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</si>
  <si>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</si>
  <si>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</si>
  <si>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</si>
  <si>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</si>
  <si>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</si>
  <si>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</si>
  <si>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</si>
  <si>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</si>
  <si>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</si>
  <si>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</si>
  <si>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</si>
  <si>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</si>
  <si>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</si>
  <si>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</si>
  <si>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</si>
  <si>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</si>
  <si>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</si>
  <si>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</si>
  <si>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</si>
  <si>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</si>
  <si>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</si>
  <si>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</si>
  <si>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</si>
  <si>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</si>
  <si>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</si>
  <si>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</si>
  <si>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</si>
  <si>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</si>
  <si>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</si>
  <si>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</si>
  <si>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</si>
  <si>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</si>
  <si>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</si>
  <si>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</si>
  <si>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</si>
  <si>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</si>
  <si>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</si>
  <si>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</si>
  <si>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</si>
  <si>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</si>
  <si>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</si>
  <si>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</si>
  <si>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</si>
  <si>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</si>
  <si>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</si>
  <si>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</si>
  <si>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</si>
  <si>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</si>
  <si>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</si>
  <si>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</si>
  <si>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</si>
  <si>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</si>
  <si>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</si>
  <si>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</si>
  <si>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</si>
  <si>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</si>
  <si>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</si>
  <si>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</si>
  <si>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</si>
  <si>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</si>
  <si>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</si>
  <si>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</si>
  <si>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</si>
  <si>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</si>
  <si>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</si>
  <si>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</si>
  <si>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</si>
  <si>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</si>
  <si>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</si>
  <si>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</si>
  <si>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</si>
  <si>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</si>
  <si>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</si>
  <si>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</si>
  <si>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</si>
  <si>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</si>
  <si>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</si>
  <si>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</si>
  <si>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</si>
  <si>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</si>
  <si>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</si>
  <si>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</si>
  <si>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</si>
  <si>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</si>
  <si>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</si>
  <si>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</si>
  <si>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</si>
  <si>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</si>
  <si>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</si>
  <si>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</si>
  <si>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</si>
  <si>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</si>
  <si>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</si>
  <si>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</si>
  <si>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</si>
  <si>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</si>
  <si>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</si>
  <si>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</si>
  <si>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</si>
  <si>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</si>
  <si>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</si>
  <si>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</si>
  <si>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</si>
  <si>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</si>
  <si>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</si>
  <si>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</si>
  <si>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</si>
  <si>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</si>
  <si>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</si>
  <si>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</si>
  <si>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</si>
  <si>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</si>
  <si>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</si>
  <si>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</si>
  <si>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</si>
  <si>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</si>
  <si>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</si>
  <si>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</si>
  <si>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</si>
  <si>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</si>
  <si>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</si>
  <si>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</si>
  <si>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</si>
  <si>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</si>
  <si>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</si>
  <si>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</si>
  <si>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</si>
  <si>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</si>
  <si>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</si>
  <si>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</si>
  <si>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</si>
  <si>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</si>
  <si>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</si>
  <si>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</si>
  <si>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</si>
  <si>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</si>
  <si>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</si>
  <si>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</si>
  <si>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</si>
  <si>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</si>
  <si>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</si>
  <si>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</si>
  <si>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</si>
  <si>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</si>
  <si>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</si>
  <si>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</si>
  <si>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</si>
  <si>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</si>
  <si>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</si>
  <si>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</si>
  <si>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</si>
  <si>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</si>
  <si>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</si>
  <si>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</si>
  <si>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</si>
  <si>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</si>
  <si>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</si>
  <si>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</si>
  <si>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</si>
  <si>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</si>
  <si>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</si>
  <si>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</si>
  <si>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</si>
  <si>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</si>
  <si>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</si>
  <si>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</si>
  <si>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</si>
  <si>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</si>
  <si>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</si>
  <si>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</si>
  <si>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</si>
  <si>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</si>
  <si>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</si>
  <si>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</si>
  <si>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</si>
  <si>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</si>
  <si>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</si>
  <si>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>Sl.No.</t>
  </si>
  <si>
    <t>Discipline</t>
  </si>
  <si>
    <t>Document Title</t>
  </si>
  <si>
    <t>Document
Number</t>
  </si>
  <si>
    <t>Approval
Catogery</t>
  </si>
  <si>
    <t>Revision</t>
  </si>
  <si>
    <t>Submission Date</t>
  </si>
  <si>
    <t>Response date</t>
  </si>
  <si>
    <t>Approved date</t>
  </si>
  <si>
    <t>Submission/Review By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</si>
  <si>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</si>
  <si>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</si>
  <si>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</si>
  <si>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</si>
  <si>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</si>
  <si>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</si>
  <si>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</si>
  <si>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</si>
  <si>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</si>
  <si>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</si>
  <si>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</si>
  <si>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</si>
  <si>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</si>
  <si>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</si>
  <si>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</si>
  <si>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</si>
  <si>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</si>
  <si>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</si>
  <si>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</si>
  <si>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</si>
  <si>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</si>
  <si>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</si>
  <si>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</si>
  <si>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</si>
  <si>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</si>
  <si>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</si>
  <si>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</si>
  <si>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</si>
  <si>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</si>
  <si>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</si>
  <si>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</si>
  <si>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</si>
  <si>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</si>
  <si>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</si>
  <si>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</si>
  <si>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</si>
  <si>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</si>
  <si>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</si>
  <si>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</si>
  <si>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</si>
  <si>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</si>
  <si>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</si>
  <si>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</si>
  <si>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</si>
  <si>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</si>
  <si>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</si>
  <si>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</si>
  <si>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</si>
  <si>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</si>
  <si>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</si>
  <si>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</si>
  <si>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</si>
  <si>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</si>
  <si>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</si>
  <si>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</si>
  <si>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</si>
  <si>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</si>
  <si>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</si>
  <si>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</si>
  <si>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</si>
  <si>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</si>
  <si>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</si>
  <si>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</si>
  <si>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</si>
  <si>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</si>
  <si>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</si>
  <si>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</si>
  <si>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</si>
  <si>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</si>
  <si>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</si>
  <si>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</si>
  <si>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</si>
  <si>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</si>
  <si>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</si>
  <si>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</si>
  <si>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</si>
  <si>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</si>
  <si>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</si>
  <si>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</si>
  <si>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</si>
  <si>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</si>
  <si>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Inverter Platform - Architectural &amp; Structural details                     ICOG)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</si>
  <si>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</si>
  <si>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</si>
  <si>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</si>
  <si>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 xml:space="preserve">IDT Foundation GA and detail drawing 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</si>
  <si>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</si>
  <si>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</si>
  <si>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</si>
  <si>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</si>
  <si>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</si>
  <si>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</si>
  <si>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</si>
  <si>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</si>
  <si>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</si>
  <si>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</si>
  <si>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</si>
  <si>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</si>
  <si>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</si>
  <si>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</si>
  <si>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</si>
  <si>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</si>
  <si>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</si>
  <si>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</si>
  <si>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</si>
  <si>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</si>
  <si>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</si>
  <si>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</si>
  <si>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</si>
  <si>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</si>
  <si>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</si>
  <si>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</si>
  <si>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</si>
  <si>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</si>
  <si>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</si>
  <si>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</si>
  <si>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</si>
  <si>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</si>
  <si>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</si>
  <si>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</si>
  <si>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</si>
  <si>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</si>
  <si>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</si>
  <si>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</si>
  <si>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</si>
  <si>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</si>
  <si>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</si>
  <si>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</si>
  <si>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</si>
  <si>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</si>
  <si>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</si>
  <si>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</si>
  <si>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</si>
  <si>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</si>
  <si>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</si>
  <si>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</si>
  <si>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</si>
  <si>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</si>
  <si>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</si>
  <si>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</si>
  <si>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</si>
  <si>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</si>
  <si>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</si>
  <si>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</si>
  <si>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</si>
  <si>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</si>
  <si>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</si>
  <si>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</si>
  <si>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</si>
  <si>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</si>
  <si>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</si>
  <si>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</si>
  <si>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</si>
  <si>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</si>
  <si>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</si>
  <si>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</si>
  <si>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</si>
  <si>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</si>
  <si>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</si>
  <si>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</si>
  <si>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</si>
  <si>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</si>
  <si>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</si>
  <si>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</si>
  <si>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</si>
  <si>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</si>
  <si>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</si>
  <si>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</si>
  <si>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</si>
  <si>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</si>
  <si>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</si>
  <si>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</si>
  <si>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</si>
  <si>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</si>
  <si>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</si>
  <si>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</si>
  <si>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</si>
  <si>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</si>
  <si>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</si>
  <si>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</si>
  <si>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</si>
  <si>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</si>
  <si>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</si>
  <si>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</si>
  <si>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</si>
  <si>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</si>
  <si>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</si>
  <si>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</si>
  <si>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</si>
  <si>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</si>
  <si>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</si>
  <si>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</si>
  <si>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</si>
  <si>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</si>
  <si>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</si>
  <si>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</si>
  <si>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</si>
  <si>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</si>
  <si>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</si>
  <si>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</si>
  <si>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</si>
  <si>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</si>
  <si>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</si>
  <si>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</si>
  <si>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</si>
  <si>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</si>
  <si>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</si>
  <si>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</si>
  <si>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</si>
  <si>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</si>
  <si>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</si>
  <si>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</si>
  <si>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</si>
  <si>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</si>
  <si>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</si>
  <si>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</si>
  <si>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</si>
  <si>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</si>
  <si>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</si>
  <si>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</si>
  <si>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</si>
  <si>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</si>
  <si>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</si>
  <si>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</si>
  <si>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</si>
  <si>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</si>
  <si>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</si>
  <si>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</si>
  <si>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</si>
  <si>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</si>
  <si>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</si>
  <si>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</si>
  <si>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</si>
  <si>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</si>
  <si>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</si>
  <si>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</si>
  <si>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</si>
  <si>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</si>
  <si>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</si>
  <si>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</si>
  <si>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</si>
  <si>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</si>
  <si>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</si>
  <si>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</si>
  <si>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</si>
  <si>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</si>
  <si>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</si>
  <si>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</si>
  <si>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</si>
  <si>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</si>
  <si>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</si>
  <si>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</si>
  <si>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</si>
  <si>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</si>
  <si>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</si>
  <si>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</si>
  <si>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</si>
  <si>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</si>
  <si>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</si>
  <si>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</si>
  <si>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</si>
  <si>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</si>
  <si>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</si>
  <si>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</si>
  <si>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</si>
  <si>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</si>
  <si>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</si>
  <si>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</si>
  <si>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</si>
  <si>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</si>
  <si>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</si>
  <si>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</si>
  <si>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</si>
  <si>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</si>
  <si>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</si>
  <si>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</si>
  <si>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</si>
  <si>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</si>
  <si>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</si>
  <si>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</si>
  <si>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</si>
  <si>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</si>
  <si>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</si>
  <si>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</si>
  <si>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</si>
  <si>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</si>
  <si>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</si>
  <si>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</si>
  <si>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</si>
  <si>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</si>
  <si>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</si>
  <si>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</si>
  <si>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</si>
  <si>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</si>
  <si>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</si>
  <si>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</si>
  <si>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</si>
  <si>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</si>
  <si>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</si>
  <si>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</si>
  <si>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</si>
  <si>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</si>
  <si>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</si>
  <si>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</si>
  <si>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</si>
  <si>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</si>
  <si>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</si>
  <si>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</si>
  <si>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</si>
  <si>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</si>
  <si>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</si>
  <si>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</si>
  <si>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</si>
  <si>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</si>
  <si>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</si>
  <si>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</si>
  <si>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</si>
  <si>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</si>
  <si>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</si>
  <si>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</si>
  <si>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</si>
  <si>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</si>
  <si>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</si>
  <si>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</si>
  <si>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</si>
  <si>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</si>
  <si>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</si>
  <si>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</si>
  <si>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</si>
  <si>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</si>
  <si>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</si>
  <si>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</si>
  <si>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</si>
  <si>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</si>
  <si>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</si>
  <si>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</si>
  <si>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</si>
  <si>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</si>
  <si>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</si>
  <si>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</si>
  <si>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</si>
  <si>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</si>
  <si>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</si>
  <si>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</si>
  <si>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</si>
  <si>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</si>
  <si>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</si>
  <si>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</si>
  <si>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</si>
  <si>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</si>
  <si>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</si>
  <si>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</si>
  <si>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</si>
  <si>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</si>
  <si>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</si>
  <si>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</si>
  <si>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</si>
  <si>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</si>
  <si>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</si>
  <si>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</si>
  <si>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</si>
  <si>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</si>
  <si>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</si>
  <si>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</si>
  <si>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</si>
  <si>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</si>
  <si>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</si>
  <si>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</si>
  <si>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</si>
  <si>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</si>
  <si>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</si>
  <si>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</si>
  <si>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M/s Fuji Electric</t>
  </si>
  <si>
    <t>M/S Guangdong Mingyang Longyuan Power Electronics Co.Ltd</t>
  </si>
  <si>
    <t>M/S ALNICO ELECTRIC PVT LTD</t>
  </si>
  <si>
    <t>M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</si>
  <si>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</si>
  <si>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</si>
  <si>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</si>
  <si>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</si>
  <si>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</si>
  <si>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</si>
  <si>
    <t>Fencing Pole Casting</t>
  </si>
  <si>
    <t>SECI-RG300-PL-CIV-302A</t>
  </si>
  <si>
    <t>SECI-RG300-PL-CIV-304A</t>
  </si>
  <si>
    <t>SECI-RG300-PL-CIV-305A</t>
  </si>
  <si>
    <t>Planned R0 Submission</t>
  </si>
  <si>
    <t>Approval Planned Date</t>
  </si>
  <si>
    <t>Actual R0 Submission</t>
  </si>
  <si>
    <t>Submission Delay</t>
  </si>
  <si>
    <t>Approval Delay</t>
  </si>
  <si>
    <t>Client Comments in CAT</t>
  </si>
  <si>
    <t>Under SECI Review in days</t>
  </si>
  <si>
    <t>Re-Submission by ARIPL in Days</t>
  </si>
  <si>
    <t>Approved/
Commented Category</t>
  </si>
  <si>
    <t>SECI-RG300-PL-CIV-203A</t>
  </si>
  <si>
    <t>SECI-RG300-PL-CIV-203B</t>
  </si>
  <si>
    <t>Newly Added</t>
  </si>
  <si>
    <t>Gemscab/ Special</t>
  </si>
  <si>
    <t>Polycab</t>
  </si>
  <si>
    <t>Re-submission</t>
  </si>
  <si>
    <t>SECI-RG300-PL-CIV-108C</t>
  </si>
  <si>
    <t>SECI-RG300-PL-CIV-302B</t>
  </si>
  <si>
    <t>Design document for Inverter Station (ICOG)</t>
  </si>
  <si>
    <t>Design document for Inverter Station (RMU)</t>
  </si>
  <si>
    <t>SECI-RG300-PL-CIV-301B</t>
  </si>
  <si>
    <t>ARIPl</t>
  </si>
  <si>
    <t>SECI-RG300-PL-MQP-028A</t>
  </si>
  <si>
    <t>AC Cable Tray Support Structure GA Drawing &amp; Design</t>
  </si>
  <si>
    <t>SECI-RG300-PL-CIV-308A</t>
  </si>
  <si>
    <t>ICR CABLE TRAY LAYOUT</t>
  </si>
  <si>
    <t>SECI-RG300-PL-ELE-026</t>
  </si>
  <si>
    <t>DC power cable -MQP</t>
  </si>
  <si>
    <t>SECI-RG300-PL-MQP-010B</t>
  </si>
  <si>
    <t xml:space="preserve">MCR - Structural drawing of 
foundation, plinth beam &amp; column </t>
  </si>
  <si>
    <t>SECI-RG300-PL-CIV-203C</t>
  </si>
  <si>
    <t>SECI-RG300-PL-CIV-203D</t>
  </si>
  <si>
    <t>SECI-RG300-PL-CIV-301C</t>
  </si>
  <si>
    <t>ICOG/RMU PANEL-GTP, GA &amp; Schematic</t>
  </si>
  <si>
    <t>SECI-RG300-PL-ELE-203A</t>
  </si>
  <si>
    <t xml:space="preserve">Submitted - Under Review </t>
  </si>
  <si>
    <t>ICOG/RMU PANEL-Type test reports &amp; Data sheet</t>
  </si>
  <si>
    <t>SECI-RG300-PL-ELE-203B</t>
  </si>
  <si>
    <t>Re-Submission</t>
  </si>
  <si>
    <t xml:space="preserve">MDL SUMMARY - 300MW SECI PV </t>
  </si>
  <si>
    <t>Color Code</t>
  </si>
  <si>
    <t>Under SECI Review</t>
  </si>
  <si>
    <t>Inverter Duty Transformer-MQP
(Silchar)</t>
  </si>
  <si>
    <t>Inverter Duty Transformer-MQP (T&amp;R)</t>
  </si>
  <si>
    <t>SECI-RG300-PL-MQP-001B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</si>
</sst>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4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8"/>
      <color rgb="FF000000"/>
      <name val="Times New Roman"/>
      <family val="1"/>
    </font>
    <font>
      <b/>
      <sz val="8"/>
      <color rgb="FFFFFFFF"/>
      <name val="Aptos Narrow"/>
      <family val="2"/>
    </font>
    <font>
      <sz val="8"/>
      <color rgb="FF000000"/>
      <name val="Aptos Narrow"/>
      <family val="2"/>
    </font>
    <font>
      <b/>
      <sz val="8"/>
      <color rgb="FF002060"/>
      <name val="Aptos Narrow"/>
      <family val="2"/>
    </font>
    <font>
      <sz val="12"/>
      <color theme="1"/>
      <name val="Aptos Narrow"/>
      <family val="2"/>
    </font>
    <font>
      <sz val="9"/>
      <color rgb="FF000000"/>
      <name val="Aptos Narrow"/>
      <family val="2"/>
    </font>
    <font>
      <b/>
      <sz val="9"/>
      <color rgb="FF002060"/>
      <name val="Aptos Narrow"/>
      <family val="2"/>
    </font>
    <font>
      <b/>
      <sz val="8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CC99"/>
        <bgColor rgb="FF000000"/>
      </patternFill>
    </fill>
  </fills>
  <borders count="6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/>
      <diagonal/>
    </border>
    <border>
      <left style="medium">
        <color rgb="FF808080"/>
      </left>
      <right style="thin">
        <color rgb="FF808080"/>
      </right>
      <top/>
      <bottom/>
      <diagonal/>
    </border>
    <border>
      <left style="medium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rgb="FF808080"/>
      </right>
      <top/>
      <bottom/>
      <diagonal/>
    </border>
    <border>
      <left style="thin">
        <color rgb="FF808080"/>
      </left>
      <right style="medium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9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5" fillId="16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43" fillId="15" borderId="41" xfId="0" applyFont="1" applyFill="1" applyBorder="1" applyAlignment="1">
      <alignment horizontal="center" vertical="center" wrapText="1" readingOrder="1"/>
    </xf>
    <xf numFmtId="0" fontId="43" fillId="15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left" wrapText="1" readingOrder="1"/>
    </xf>
    <xf numFmtId="15" fontId="44" fillId="17" borderId="41" xfId="0" applyNumberFormat="1" applyFont="1" applyFill="1" applyBorder="1" applyAlignment="1">
      <alignment horizontal="center" wrapText="1" readingOrder="1"/>
    </xf>
    <xf numFmtId="15" fontId="44" fillId="17" borderId="41" xfId="0" applyNumberFormat="1" applyFont="1" applyFill="1" applyBorder="1" applyAlignment="1">
      <alignment horizontal="center" vertical="center" wrapText="1" readingOrder="1"/>
    </xf>
    <xf numFmtId="0" fontId="44" fillId="17" borderId="41" xfId="0" applyFont="1" applyFill="1" applyBorder="1" applyAlignment="1">
      <alignment horizontal="center" vertical="center" wrapText="1" readingOrder="1"/>
    </xf>
    <xf numFmtId="0" fontId="44" fillId="16" borderId="41" xfId="0" applyFont="1" applyFill="1" applyBorder="1" applyAlignment="1">
      <alignment horizontal="center" wrapText="1" readingOrder="1"/>
    </xf>
    <xf numFmtId="0" fontId="44" fillId="0" borderId="41" xfId="0" applyFont="1" applyBorder="1" applyAlignment="1">
      <alignment horizontal="left" wrapText="1" readingOrder="1"/>
    </xf>
    <xf numFmtId="0" fontId="44" fillId="0" borderId="41" xfId="0" applyFont="1" applyBorder="1" applyAlignment="1">
      <alignment horizontal="center" wrapText="1" readingOrder="1"/>
    </xf>
    <xf numFmtId="15" fontId="44" fillId="0" borderId="41" xfId="0" applyNumberFormat="1" applyFont="1" applyBorder="1" applyAlignment="1">
      <alignment horizontal="center" wrapText="1" readingOrder="1"/>
    </xf>
    <xf numFmtId="15" fontId="44" fillId="16" borderId="41" xfId="0" applyNumberFormat="1" applyFont="1" applyFill="1" applyBorder="1" applyAlignment="1">
      <alignment horizontal="center" wrapText="1" readingOrder="1"/>
    </xf>
    <xf numFmtId="0" fontId="45" fillId="16" borderId="41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44" fillId="16" borderId="41" xfId="0" applyFont="1" applyFill="1" applyBorder="1" applyAlignment="1">
      <alignment horizontal="left" wrapText="1" readingOrder="1"/>
    </xf>
    <xf numFmtId="0" fontId="44" fillId="17" borderId="41" xfId="0" applyFont="1" applyFill="1" applyBorder="1" applyAlignment="1">
      <alignment horizontal="left" vertical="center" wrapText="1" readingOrder="1"/>
    </xf>
    <xf numFmtId="0" fontId="45" fillId="16" borderId="41" xfId="0" applyFont="1" applyFill="1" applyBorder="1" applyAlignment="1">
      <alignment horizontal="center" wrapText="1"/>
    </xf>
    <xf numFmtId="0" fontId="48" fillId="22" borderId="41" xfId="0" applyFont="1" applyFill="1" applyBorder="1" applyAlignment="1">
      <alignment horizontal="center" vertical="center"/>
    </xf>
    <xf numFmtId="0" fontId="48" fillId="0" borderId="41" xfId="0" applyFont="1" applyBorder="1"/>
    <xf numFmtId="0" fontId="48" fillId="0" borderId="41" xfId="0" applyFont="1" applyBorder="1" applyAlignment="1">
      <alignment horizontal="center" vertical="center"/>
    </xf>
    <xf numFmtId="0" fontId="49" fillId="23" borderId="41" xfId="0" applyFont="1" applyFill="1" applyBorder="1" applyAlignment="1">
      <alignment horizontal="center" vertical="center" wrapText="1"/>
    </xf>
    <xf numFmtId="0" fontId="49" fillId="26" borderId="41" xfId="0" applyFont="1" applyFill="1" applyBorder="1" applyAlignment="1">
      <alignment horizontal="center" vertical="center" wrapText="1"/>
    </xf>
    <xf numFmtId="0" fontId="48" fillId="21" borderId="41" xfId="0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vertical="center" wrapText="1"/>
    </xf>
    <xf numFmtId="0" fontId="48" fillId="21" borderId="41" xfId="7" applyFont="1" applyFill="1" applyBorder="1" applyAlignment="1">
      <alignment vertical="center" wrapText="1"/>
    </xf>
    <xf numFmtId="164" fontId="48" fillId="21" borderId="41" xfId="0" applyNumberFormat="1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vertical="center"/>
    </xf>
    <xf numFmtId="0" fontId="48" fillId="22" borderId="41" xfId="0" applyFont="1" applyFill="1" applyBorder="1" applyAlignment="1">
      <alignment vertical="center" wrapText="1"/>
    </xf>
    <xf numFmtId="0" fontId="48" fillId="22" borderId="41" xfId="7" applyFont="1" applyFill="1" applyBorder="1" applyAlignment="1">
      <alignment vertical="center" wrapText="1"/>
    </xf>
    <xf numFmtId="164" fontId="48" fillId="22" borderId="41" xfId="0" applyNumberFormat="1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vertical="center" wrapText="1"/>
    </xf>
    <xf numFmtId="0" fontId="48" fillId="28" borderId="41" xfId="7" applyFont="1" applyFill="1" applyBorder="1" applyAlignment="1">
      <alignment vertical="center" wrapText="1"/>
    </xf>
    <xf numFmtId="164" fontId="48" fillId="28" borderId="41" xfId="0" applyNumberFormat="1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vertical="center"/>
    </xf>
    <xf numFmtId="164" fontId="48" fillId="0" borderId="41" xfId="0" applyNumberFormat="1" applyFont="1" applyBorder="1" applyAlignment="1">
      <alignment horizontal="center" vertical="center"/>
    </xf>
    <xf numFmtId="0" fontId="48" fillId="0" borderId="41" xfId="0" applyFont="1" applyBorder="1" applyAlignment="1">
      <alignment vertical="center"/>
    </xf>
    <xf numFmtId="0" fontId="48" fillId="22" borderId="41" xfId="0" applyFont="1" applyFill="1" applyBorder="1" applyAlignment="1">
      <alignment vertical="center"/>
    </xf>
    <xf numFmtId="16" fontId="48" fillId="28" borderId="41" xfId="0" applyNumberFormat="1" applyFont="1" applyFill="1" applyBorder="1" applyAlignment="1">
      <alignment horizontal="center" vertical="center"/>
    </xf>
    <xf numFmtId="0" fontId="48" fillId="0" borderId="41" xfId="0" applyFont="1" applyBorder="1" applyAlignment="1">
      <alignment vertical="center" wrapText="1"/>
    </xf>
    <xf numFmtId="2" fontId="48" fillId="0" borderId="41" xfId="0" applyNumberFormat="1" applyFont="1" applyBorder="1" applyAlignment="1">
      <alignment horizontal="center" vertical="center"/>
    </xf>
    <xf numFmtId="171" fontId="48" fillId="28" borderId="41" xfId="0" applyNumberFormat="1" applyFont="1" applyFill="1" applyBorder="1" applyAlignment="1">
      <alignment horizontal="center" vertical="center"/>
    </xf>
    <xf numFmtId="171" fontId="48" fillId="0" borderId="41" xfId="0" applyNumberFormat="1" applyFont="1" applyBorder="1" applyAlignment="1">
      <alignment horizontal="center" vertical="center"/>
    </xf>
    <xf numFmtId="171" fontId="48" fillId="21" borderId="41" xfId="0" applyNumberFormat="1" applyFont="1" applyFill="1" applyBorder="1" applyAlignment="1">
      <alignment horizontal="center" vertical="center"/>
    </xf>
    <xf numFmtId="171" fontId="48" fillId="22" borderId="41" xfId="0" applyNumberFormat="1" applyFont="1" applyFill="1" applyBorder="1" applyAlignment="1">
      <alignment horizontal="center" vertical="center"/>
    </xf>
    <xf numFmtId="15" fontId="48" fillId="0" borderId="41" xfId="0" applyNumberFormat="1" applyFont="1" applyBorder="1" applyAlignment="1">
      <alignment horizontal="center" vertical="center"/>
    </xf>
    <xf numFmtId="0" fontId="48" fillId="0" borderId="41" xfId="0" applyFont="1" applyBorder="1" applyAlignment="1">
      <alignment horizontal="center" vertical="center" wrapText="1"/>
    </xf>
    <xf numFmtId="0" fontId="48" fillId="0" borderId="41" xfId="0" applyFont="1" applyBorder="1" applyAlignment="1">
      <alignment horizontal="center"/>
    </xf>
    <xf numFmtId="0" fontId="47" fillId="30" borderId="41" xfId="0" applyFont="1" applyFill="1" applyBorder="1" applyAlignment="1">
      <alignment horizontal="center" vertical="center"/>
    </xf>
    <xf numFmtId="0" fontId="47" fillId="30" borderId="41" xfId="0" applyFont="1" applyFill="1" applyBorder="1" applyAlignment="1">
      <alignment horizontal="center" vertical="center" wrapText="1"/>
    </xf>
    <xf numFmtId="0" fontId="48" fillId="29" borderId="41" xfId="0" applyFont="1" applyFill="1" applyBorder="1" applyAlignment="1">
      <alignment horizontal="center" vertical="center"/>
    </xf>
    <xf numFmtId="0" fontId="46" fillId="0" borderId="41" xfId="0" applyFont="1" applyBorder="1" applyAlignment="1">
      <alignment horizontal="center" vertical="center"/>
    </xf>
    <xf numFmtId="0" fontId="47" fillId="30" borderId="48" xfId="0" applyFont="1" applyFill="1" applyBorder="1" applyAlignment="1">
      <alignment horizontal="center" vertical="center"/>
    </xf>
    <xf numFmtId="0" fontId="47" fillId="30" borderId="49" xfId="0" applyFont="1" applyFill="1" applyBorder="1" applyAlignment="1">
      <alignment horizontal="center" vertical="center" wrapText="1"/>
    </xf>
    <xf numFmtId="0" fontId="48" fillId="21" borderId="48" xfId="0" applyFont="1" applyFill="1" applyBorder="1" applyAlignment="1">
      <alignment horizontal="center" vertical="center"/>
    </xf>
    <xf numFmtId="0" fontId="48" fillId="21" borderId="49" xfId="0" applyFont="1" applyFill="1" applyBorder="1" applyAlignment="1">
      <alignment horizontal="center" vertical="center"/>
    </xf>
    <xf numFmtId="0" fontId="48" fillId="22" borderId="48" xfId="0" applyFont="1" applyFill="1" applyBorder="1" applyAlignment="1">
      <alignment horizontal="center" vertical="center"/>
    </xf>
    <xf numFmtId="0" fontId="48" fillId="22" borderId="49" xfId="0" applyFont="1" applyFill="1" applyBorder="1" applyAlignment="1">
      <alignment horizontal="center" vertical="center"/>
    </xf>
    <xf numFmtId="0" fontId="48" fillId="28" borderId="48" xfId="0" applyFont="1" applyFill="1" applyBorder="1" applyAlignment="1">
      <alignment horizontal="center" vertical="center"/>
    </xf>
    <xf numFmtId="0" fontId="48" fillId="28" borderId="49" xfId="0" applyFont="1" applyFill="1" applyBorder="1" applyAlignment="1">
      <alignment horizontal="center" vertical="center"/>
    </xf>
    <xf numFmtId="0" fontId="48" fillId="0" borderId="49" xfId="0" applyFont="1" applyBorder="1" applyAlignment="1">
      <alignment horizontal="center" vertical="center"/>
    </xf>
    <xf numFmtId="0" fontId="46" fillId="21" borderId="41" xfId="0" applyFont="1" applyFill="1" applyBorder="1" applyAlignment="1">
      <alignment horizontal="center" vertical="center"/>
    </xf>
    <xf numFmtId="0" fontId="46" fillId="0" borderId="41" xfId="0" applyFont="1" applyBorder="1" applyAlignment="1">
      <alignment wrapText="1"/>
    </xf>
    <xf numFmtId="0" fontId="48" fillId="0" borderId="49" xfId="0" applyFont="1" applyBorder="1" applyAlignment="1">
      <alignment horizontal="center" vertical="center" wrapText="1"/>
    </xf>
    <xf numFmtId="0" fontId="48" fillId="22" borderId="48" xfId="0" applyFont="1" applyFill="1" applyBorder="1" applyAlignment="1">
      <alignment vertical="center"/>
    </xf>
    <xf numFmtId="0" fontId="48" fillId="28" borderId="54" xfId="0" applyFont="1" applyFill="1" applyBorder="1" applyAlignment="1">
      <alignment horizontal="center" vertical="center"/>
    </xf>
    <xf numFmtId="164" fontId="48" fillId="28" borderId="54" xfId="0" applyNumberFormat="1" applyFont="1" applyFill="1" applyBorder="1" applyAlignment="1">
      <alignment horizontal="center" vertical="center"/>
    </xf>
    <xf numFmtId="0" fontId="48" fillId="28" borderId="54" xfId="0" applyFont="1" applyFill="1" applyBorder="1" applyAlignment="1">
      <alignment vertical="center"/>
    </xf>
    <xf numFmtId="0" fontId="48" fillId="31" borderId="41" xfId="0" applyFont="1" applyFill="1" applyBorder="1" applyAlignment="1">
      <alignment horizontal="center" vertical="center"/>
    </xf>
    <xf numFmtId="0" fontId="48" fillId="23" borderId="48" xfId="0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vertical="center" wrapText="1"/>
    </xf>
    <xf numFmtId="0" fontId="48" fillId="23" borderId="41" xfId="7" applyFont="1" applyFill="1" applyBorder="1" applyAlignment="1">
      <alignment vertical="center" wrapText="1"/>
    </xf>
    <xf numFmtId="164" fontId="48" fillId="23" borderId="41" xfId="0" applyNumberFormat="1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vertical="center"/>
    </xf>
    <xf numFmtId="0" fontId="48" fillId="23" borderId="49" xfId="0" applyFont="1" applyFill="1" applyBorder="1" applyAlignment="1">
      <alignment horizontal="center" vertical="center"/>
    </xf>
    <xf numFmtId="171" fontId="48" fillId="23" borderId="41" xfId="0" applyNumberFormat="1" applyFont="1" applyFill="1" applyBorder="1" applyAlignment="1">
      <alignment horizontal="center" vertical="center"/>
    </xf>
    <xf numFmtId="0" fontId="46" fillId="28" borderId="41" xfId="0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horizontal="left" vertical="center" wrapText="1"/>
    </xf>
    <xf numFmtId="0" fontId="48" fillId="23" borderId="45" xfId="0" applyFont="1" applyFill="1" applyBorder="1" applyAlignment="1">
      <alignment horizontal="center" vertical="center"/>
    </xf>
    <xf numFmtId="16" fontId="48" fillId="23" borderId="41" xfId="0" applyNumberFormat="1" applyFont="1" applyFill="1" applyBorder="1" applyAlignment="1">
      <alignment horizontal="center" vertical="center"/>
    </xf>
    <xf numFmtId="1" fontId="50" fillId="0" borderId="0" xfId="0" applyNumberFormat="1" applyFont="1" applyAlignment="1">
      <alignment horizontal="center"/>
    </xf>
    <xf numFmtId="0" fontId="46" fillId="23" borderId="41" xfId="0" applyFont="1" applyFill="1" applyBorder="1" applyAlignment="1">
      <alignment horizontal="center" vertical="center"/>
    </xf>
    <xf numFmtId="0" fontId="45" fillId="17" borderId="41" xfId="0" applyFont="1" applyFill="1" applyBorder="1" applyAlignment="1">
      <alignment horizontal="center" wrapText="1"/>
    </xf>
    <xf numFmtId="0" fontId="45" fillId="17" borderId="41" xfId="0" applyFont="1" applyFill="1" applyBorder="1" applyAlignment="1">
      <alignment horizontal="center" vertical="center" wrapText="1"/>
    </xf>
    <xf numFmtId="0" fontId="48" fillId="23" borderId="57" xfId="0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horizontal="center" vertical="center"/>
    </xf>
    <xf numFmtId="0" fontId="48" fillId="23" borderId="51" xfId="0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vertical="center" wrapText="1"/>
    </xf>
    <xf numFmtId="0" fontId="48" fillId="21" borderId="57" xfId="0" applyFont="1" applyFill="1" applyBorder="1" applyAlignment="1">
      <alignment horizontal="center" vertical="center"/>
    </xf>
    <xf numFmtId="164" fontId="48" fillId="23" borderId="46" xfId="0" applyNumberFormat="1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horizontal="center" vertical="center" wrapText="1"/>
    </xf>
    <xf numFmtId="15" fontId="18" fillId="10" borderId="2" xfId="2" applyNumberFormat="1" applyFont="1" applyFill="1" applyBorder="1" applyAlignment="1">
      <alignment horizontal="center" vertical="center"/>
    </xf>
    <xf numFmtId="0" fontId="51" fillId="22" borderId="60" xfId="0" applyFont="1" applyFill="1" applyBorder="1" applyAlignment="1">
      <alignment horizontal="center" vertical="center"/>
    </xf>
    <xf numFmtId="0" fontId="51" fillId="0" borderId="60" xfId="0" applyFont="1" applyBorder="1"/>
    <xf numFmtId="0" fontId="52" fillId="27" borderId="41" xfId="0" applyFont="1" applyFill="1" applyBorder="1" applyAlignment="1">
      <alignment horizontal="center" vertical="center" wrapText="1"/>
    </xf>
    <xf numFmtId="0" fontId="51" fillId="21" borderId="41" xfId="0" applyFont="1" applyFill="1" applyBorder="1" applyAlignment="1">
      <alignment horizontal="center" vertical="center"/>
    </xf>
    <xf numFmtId="0" fontId="51" fillId="22" borderId="41" xfId="0" applyFont="1" applyFill="1" applyBorder="1" applyAlignment="1">
      <alignment horizontal="center" vertical="center"/>
    </xf>
    <xf numFmtId="0" fontId="51" fillId="28" borderId="41" xfId="0" applyFont="1" applyFill="1" applyBorder="1" applyAlignment="1">
      <alignment horizontal="center" vertical="center"/>
    </xf>
    <xf numFmtId="0" fontId="51" fillId="23" borderId="41" xfId="0" applyFont="1" applyFill="1" applyBorder="1" applyAlignment="1">
      <alignment horizontal="center" vertical="center"/>
    </xf>
    <xf numFmtId="0" fontId="51" fillId="0" borderId="41" xfId="0" applyFont="1" applyBorder="1" applyAlignment="1">
      <alignment horizontal="center" vertical="center"/>
    </xf>
    <xf numFmtId="0" fontId="51" fillId="23" borderId="46" xfId="0" applyFont="1" applyFill="1" applyBorder="1" applyAlignment="1">
      <alignment horizontal="center" vertical="center"/>
    </xf>
    <xf numFmtId="0" fontId="51" fillId="0" borderId="41" xfId="0" applyFont="1" applyBorder="1" applyAlignment="1">
      <alignment horizontal="center"/>
    </xf>
    <xf numFmtId="0" fontId="53" fillId="22" borderId="60" xfId="0" applyFont="1" applyFill="1" applyBorder="1" applyAlignment="1">
      <alignment horizontal="center" vertical="center"/>
    </xf>
    <xf numFmtId="14" fontId="47" fillId="32" borderId="60" xfId="0" applyNumberFormat="1" applyFont="1" applyFill="1" applyBorder="1" applyAlignment="1">
      <alignment horizontal="center" vertical="center"/>
    </xf>
    <xf numFmtId="0" fontId="48" fillId="0" borderId="60" xfId="0" applyFont="1" applyBorder="1" applyAlignment="1">
      <alignment horizontal="center" vertical="center"/>
    </xf>
    <xf numFmtId="0" fontId="53" fillId="0" borderId="60" xfId="0" applyFont="1" applyBorder="1" applyAlignment="1">
      <alignment horizontal="center" vertical="center"/>
    </xf>
    <xf numFmtId="0" fontId="53" fillId="29" borderId="60" xfId="0" applyFont="1" applyFill="1" applyBorder="1" applyAlignment="1">
      <alignment horizontal="center" vertical="center"/>
    </xf>
    <xf numFmtId="14" fontId="53" fillId="21" borderId="60" xfId="0" applyNumberFormat="1" applyFont="1" applyFill="1" applyBorder="1" applyAlignment="1">
      <alignment horizontal="center" vertical="center" wrapText="1"/>
    </xf>
    <xf numFmtId="0" fontId="53" fillId="28" borderId="60" xfId="0" applyFont="1" applyFill="1" applyBorder="1" applyAlignment="1">
      <alignment horizontal="center" vertical="center"/>
    </xf>
    <xf numFmtId="14" fontId="53" fillId="0" borderId="61" xfId="0" applyNumberFormat="1" applyFont="1" applyBorder="1" applyAlignment="1">
      <alignment horizontal="center" vertical="center"/>
    </xf>
    <xf numFmtId="0" fontId="9" fillId="0" borderId="0" xfId="0" applyFont="1"/>
    <xf numFmtId="1" fontId="11" fillId="0" borderId="0" xfId="2" applyNumberFormat="1"/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horizontal="center" vertical="center"/>
    </xf>
    <xf numFmtId="0" fontId="48" fillId="22" borderId="41" xfId="0" applyFont="1" applyFill="1" applyBorder="1" applyAlignment="1">
      <alignment horizontal="center" vertical="center"/>
    </xf>
    <xf numFmtId="0" fontId="48" fillId="21" borderId="49" xfId="0" applyFont="1" applyFill="1" applyBorder="1" applyAlignment="1">
      <alignment horizontal="center" vertical="center"/>
    </xf>
    <xf numFmtId="0" fontId="48" fillId="22" borderId="49" xfId="0" applyFont="1" applyFill="1" applyBorder="1" applyAlignment="1">
      <alignment horizontal="center" vertical="center"/>
    </xf>
    <xf numFmtId="0" fontId="48" fillId="28" borderId="48" xfId="0" applyFont="1" applyFill="1" applyBorder="1" applyAlignment="1">
      <alignment horizontal="center" vertical="center"/>
    </xf>
    <xf numFmtId="0" fontId="48" fillId="24" borderId="48" xfId="0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horizontal="center" vertical="center"/>
    </xf>
    <xf numFmtId="0" fontId="48" fillId="24" borderId="41" xfId="0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vertical="center" wrapText="1"/>
    </xf>
    <xf numFmtId="0" fontId="48" fillId="24" borderId="41" xfId="0" applyFont="1" applyFill="1" applyBorder="1" applyAlignment="1">
      <alignment vertical="center" wrapText="1"/>
    </xf>
    <xf numFmtId="0" fontId="48" fillId="28" borderId="41" xfId="7" applyFont="1" applyFill="1" applyBorder="1" applyAlignment="1">
      <alignment vertical="center" wrapText="1"/>
    </xf>
    <xf numFmtId="0" fontId="48" fillId="24" borderId="41" xfId="7" applyFont="1" applyFill="1" applyBorder="1" applyAlignment="1">
      <alignment vertical="center" wrapText="1"/>
    </xf>
    <xf numFmtId="164" fontId="48" fillId="28" borderId="41" xfId="0" applyNumberFormat="1" applyFont="1" applyFill="1" applyBorder="1" applyAlignment="1">
      <alignment horizontal="center" vertical="center"/>
    </xf>
    <xf numFmtId="164" fontId="48" fillId="24" borderId="41" xfId="0" applyNumberFormat="1" applyFont="1" applyFill="1" applyBorder="1" applyAlignment="1">
      <alignment horizontal="center" vertical="center"/>
    </xf>
    <xf numFmtId="164" fontId="48" fillId="21" borderId="41" xfId="0" applyNumberFormat="1" applyFont="1" applyFill="1" applyBorder="1" applyAlignment="1">
      <alignment horizontal="center" vertical="center"/>
    </xf>
    <xf numFmtId="164" fontId="48" fillId="22" borderId="41" xfId="0" applyNumberFormat="1" applyFont="1" applyFill="1" applyBorder="1" applyAlignment="1">
      <alignment horizontal="center" vertical="center"/>
    </xf>
    <xf numFmtId="0" fontId="51" fillId="21" borderId="41" xfId="0" applyFont="1" applyFill="1" applyBorder="1" applyAlignment="1">
      <alignment horizontal="center" vertical="center"/>
    </xf>
    <xf numFmtId="0" fontId="51" fillId="22" borderId="41" xfId="0" applyFont="1" applyFill="1" applyBorder="1" applyAlignment="1">
      <alignment horizontal="center" vertical="center"/>
    </xf>
    <xf numFmtId="0" fontId="53" fillId="22" borderId="59" xfId="0" applyFont="1" applyFill="1" applyBorder="1" applyAlignment="1">
      <alignment horizontal="center" vertical="center"/>
    </xf>
    <xf numFmtId="0" fontId="53" fillId="22" borderId="60" xfId="0" applyFont="1" applyFill="1" applyBorder="1" applyAlignment="1">
      <alignment horizontal="center" vertical="center"/>
    </xf>
    <xf numFmtId="0" fontId="48" fillId="21" borderId="48" xfId="0" applyFont="1" applyFill="1" applyBorder="1" applyAlignment="1">
      <alignment horizontal="center" vertical="center"/>
    </xf>
    <xf numFmtId="0" fontId="48" fillId="22" borderId="48" xfId="0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vertical="center" wrapText="1"/>
    </xf>
    <xf numFmtId="0" fontId="48" fillId="22" borderId="41" xfId="0" applyFont="1" applyFill="1" applyBorder="1" applyAlignment="1">
      <alignment vertical="center" wrapText="1"/>
    </xf>
    <xf numFmtId="0" fontId="48" fillId="21" borderId="41" xfId="7" applyFont="1" applyFill="1" applyBorder="1" applyAlignment="1">
      <alignment vertical="center" wrapText="1"/>
    </xf>
    <xf numFmtId="0" fontId="48" fillId="22" borderId="41" xfId="7" applyFont="1" applyFill="1" applyBorder="1" applyAlignment="1">
      <alignment vertical="center" wrapText="1"/>
    </xf>
    <xf numFmtId="0" fontId="48" fillId="23" borderId="41" xfId="0" applyFont="1" applyFill="1" applyBorder="1" applyAlignment="1">
      <alignment horizontal="center" vertical="center"/>
    </xf>
    <xf numFmtId="0" fontId="48" fillId="23" borderId="49" xfId="0" applyFont="1" applyFill="1" applyBorder="1" applyAlignment="1">
      <alignment horizontal="center" vertical="center"/>
    </xf>
    <xf numFmtId="0" fontId="48" fillId="24" borderId="49" xfId="0" applyFont="1" applyFill="1" applyBorder="1" applyAlignment="1">
      <alignment horizontal="center" vertical="center"/>
    </xf>
    <xf numFmtId="164" fontId="48" fillId="23" borderId="41" xfId="0" applyNumberFormat="1" applyFont="1" applyFill="1" applyBorder="1" applyAlignment="1">
      <alignment horizontal="center" vertical="center"/>
    </xf>
    <xf numFmtId="0" fontId="51" fillId="23" borderId="41" xfId="0" applyFont="1" applyFill="1" applyBorder="1" applyAlignment="1">
      <alignment horizontal="center" vertical="center"/>
    </xf>
    <xf numFmtId="0" fontId="51" fillId="24" borderId="41" xfId="0" applyFont="1" applyFill="1" applyBorder="1" applyAlignment="1">
      <alignment horizontal="center" vertical="center"/>
    </xf>
    <xf numFmtId="15" fontId="48" fillId="23" borderId="41" xfId="0" applyNumberFormat="1" applyFont="1" applyFill="1" applyBorder="1" applyAlignment="1">
      <alignment horizontal="center" vertical="center"/>
    </xf>
    <xf numFmtId="15" fontId="48" fillId="24" borderId="41" xfId="0" applyNumberFormat="1" applyFont="1" applyFill="1" applyBorder="1" applyAlignment="1">
      <alignment horizontal="center" vertical="center"/>
    </xf>
    <xf numFmtId="0" fontId="48" fillId="28" borderId="49" xfId="0" applyFont="1" applyFill="1" applyBorder="1" applyAlignment="1">
      <alignment horizontal="center" vertical="center"/>
    </xf>
    <xf numFmtId="0" fontId="48" fillId="23" borderId="48" xfId="0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vertical="center" wrapText="1"/>
    </xf>
    <xf numFmtId="0" fontId="48" fillId="23" borderId="41" xfId="7" applyFont="1" applyFill="1" applyBorder="1" applyAlignment="1">
      <alignment vertical="center" wrapText="1"/>
    </xf>
    <xf numFmtId="0" fontId="51" fillId="28" borderId="41" xfId="0" applyFont="1" applyFill="1" applyBorder="1" applyAlignment="1">
      <alignment horizontal="center" vertical="center"/>
    </xf>
    <xf numFmtId="15" fontId="48" fillId="28" borderId="41" xfId="0" applyNumberFormat="1" applyFont="1" applyFill="1" applyBorder="1" applyAlignment="1">
      <alignment horizontal="center" vertical="center"/>
    </xf>
    <xf numFmtId="0" fontId="48" fillId="21" borderId="50" xfId="0" applyFont="1" applyFill="1" applyBorder="1" applyAlignment="1">
      <alignment horizontal="center" vertical="center"/>
    </xf>
    <xf numFmtId="0" fontId="48" fillId="21" borderId="52" xfId="0" applyFont="1" applyFill="1" applyBorder="1" applyAlignment="1">
      <alignment horizontal="center" vertical="center"/>
    </xf>
    <xf numFmtId="0" fontId="48" fillId="21" borderId="45" xfId="0" applyFont="1" applyFill="1" applyBorder="1" applyAlignment="1">
      <alignment horizontal="center" vertical="center"/>
    </xf>
    <xf numFmtId="0" fontId="48" fillId="21" borderId="47" xfId="0" applyFont="1" applyFill="1" applyBorder="1" applyAlignment="1">
      <alignment horizontal="center" vertical="center"/>
    </xf>
    <xf numFmtId="0" fontId="48" fillId="21" borderId="45" xfId="0" applyFont="1" applyFill="1" applyBorder="1" applyAlignment="1">
      <alignment horizontal="center" vertical="center" wrapText="1"/>
    </xf>
    <xf numFmtId="0" fontId="48" fillId="21" borderId="47" xfId="0" applyFont="1" applyFill="1" applyBorder="1" applyAlignment="1">
      <alignment horizontal="center" vertical="center" wrapText="1"/>
    </xf>
    <xf numFmtId="0" fontId="48" fillId="21" borderId="45" xfId="7" applyFont="1" applyFill="1" applyBorder="1" applyAlignment="1">
      <alignment vertical="center" wrapText="1"/>
    </xf>
    <xf numFmtId="0" fontId="48" fillId="21" borderId="47" xfId="7" applyFont="1" applyFill="1" applyBorder="1" applyAlignment="1">
      <alignment vertical="center" wrapText="1"/>
    </xf>
    <xf numFmtId="164" fontId="48" fillId="21" borderId="45" xfId="0" applyNumberFormat="1" applyFont="1" applyFill="1" applyBorder="1" applyAlignment="1">
      <alignment horizontal="center" vertical="center"/>
    </xf>
    <xf numFmtId="164" fontId="48" fillId="21" borderId="47" xfId="0" applyNumberFormat="1" applyFont="1" applyFill="1" applyBorder="1" applyAlignment="1">
      <alignment horizontal="center" vertical="center"/>
    </xf>
    <xf numFmtId="0" fontId="48" fillId="21" borderId="56" xfId="0" applyFont="1" applyFill="1" applyBorder="1" applyAlignment="1">
      <alignment horizontal="center" vertical="center"/>
    </xf>
    <xf numFmtId="0" fontId="48" fillId="21" borderId="58" xfId="0" applyFont="1" applyFill="1" applyBorder="1" applyAlignment="1">
      <alignment horizontal="center" vertical="center"/>
    </xf>
    <xf numFmtId="0" fontId="51" fillId="21" borderId="45" xfId="0" applyFont="1" applyFill="1" applyBorder="1" applyAlignment="1">
      <alignment horizontal="center" vertical="center"/>
    </xf>
    <xf numFmtId="0" fontId="51" fillId="21" borderId="47" xfId="0" applyFont="1" applyFill="1" applyBorder="1" applyAlignment="1">
      <alignment horizontal="center" vertical="center"/>
    </xf>
    <xf numFmtId="16" fontId="48" fillId="28" borderId="41" xfId="0" applyNumberFormat="1" applyFont="1" applyFill="1" applyBorder="1" applyAlignment="1">
      <alignment horizontal="center" vertical="center"/>
    </xf>
    <xf numFmtId="0" fontId="48" fillId="24" borderId="41" xfId="0" applyFont="1" applyFill="1" applyBorder="1" applyAlignment="1">
      <alignment horizontal="center" vertical="center" wrapText="1"/>
    </xf>
    <xf numFmtId="0" fontId="48" fillId="28" borderId="41" xfId="0" applyFont="1" applyFill="1" applyBorder="1" applyAlignment="1">
      <alignment vertical="center"/>
    </xf>
    <xf numFmtId="0" fontId="48" fillId="28" borderId="56" xfId="0" applyFont="1" applyFill="1" applyBorder="1" applyAlignment="1">
      <alignment horizontal="center" vertical="center"/>
    </xf>
    <xf numFmtId="0" fontId="48" fillId="28" borderId="58" xfId="0" applyFont="1" applyFill="1" applyBorder="1" applyAlignment="1">
      <alignment horizontal="center" vertical="center"/>
    </xf>
    <xf numFmtId="0" fontId="48" fillId="0" borderId="41" xfId="0" applyFont="1" applyBorder="1" applyAlignment="1">
      <alignment horizontal="center" vertical="center"/>
    </xf>
    <xf numFmtId="164" fontId="48" fillId="0" borderId="41" xfId="0" applyNumberFormat="1" applyFont="1" applyBorder="1" applyAlignment="1">
      <alignment horizontal="center" vertical="center"/>
    </xf>
    <xf numFmtId="0" fontId="48" fillId="28" borderId="57" xfId="0" applyFont="1" applyFill="1" applyBorder="1" applyAlignment="1">
      <alignment horizontal="center" vertical="center"/>
    </xf>
    <xf numFmtId="0" fontId="51" fillId="28" borderId="45" xfId="0" applyFont="1" applyFill="1" applyBorder="1" applyAlignment="1">
      <alignment horizontal="center" vertical="center"/>
    </xf>
    <xf numFmtId="0" fontId="51" fillId="28" borderId="47" xfId="0" applyFont="1" applyFill="1" applyBorder="1" applyAlignment="1">
      <alignment horizontal="center" vertical="center"/>
    </xf>
    <xf numFmtId="0" fontId="48" fillId="28" borderId="45" xfId="0" applyFont="1" applyFill="1" applyBorder="1" applyAlignment="1">
      <alignment horizontal="center" vertical="center"/>
    </xf>
    <xf numFmtId="0" fontId="48" fillId="28" borderId="47" xfId="0" applyFont="1" applyFill="1" applyBorder="1" applyAlignment="1">
      <alignment horizontal="center" vertical="center"/>
    </xf>
    <xf numFmtId="0" fontId="48" fillId="0" borderId="49" xfId="0" applyFont="1" applyBorder="1" applyAlignment="1">
      <alignment horizontal="center" vertical="center"/>
    </xf>
    <xf numFmtId="0" fontId="48" fillId="28" borderId="50" xfId="0" applyFont="1" applyFill="1" applyBorder="1" applyAlignment="1">
      <alignment horizontal="center" vertical="center"/>
    </xf>
    <xf numFmtId="0" fontId="48" fillId="28" borderId="52" xfId="0" applyFont="1" applyFill="1" applyBorder="1" applyAlignment="1">
      <alignment horizontal="center" vertical="center"/>
    </xf>
    <xf numFmtId="0" fontId="48" fillId="28" borderId="45" xfId="0" applyFont="1" applyFill="1" applyBorder="1" applyAlignment="1">
      <alignment horizontal="center" vertical="center" wrapText="1"/>
    </xf>
    <xf numFmtId="0" fontId="48" fillId="28" borderId="47" xfId="0" applyFont="1" applyFill="1" applyBorder="1" applyAlignment="1">
      <alignment horizontal="center" vertical="center" wrapText="1"/>
    </xf>
    <xf numFmtId="0" fontId="48" fillId="28" borderId="45" xfId="7" applyFont="1" applyFill="1" applyBorder="1" applyAlignment="1">
      <alignment vertical="center" wrapText="1"/>
    </xf>
    <xf numFmtId="0" fontId="48" fillId="28" borderId="47" xfId="7" applyFont="1" applyFill="1" applyBorder="1" applyAlignment="1">
      <alignment vertical="center" wrapText="1"/>
    </xf>
    <xf numFmtId="164" fontId="48" fillId="28" borderId="45" xfId="0" applyNumberFormat="1" applyFont="1" applyFill="1" applyBorder="1" applyAlignment="1">
      <alignment horizontal="center" vertical="center"/>
    </xf>
    <xf numFmtId="164" fontId="48" fillId="28" borderId="47" xfId="0" applyNumberFormat="1" applyFont="1" applyFill="1" applyBorder="1" applyAlignment="1">
      <alignment horizontal="center" vertical="center"/>
    </xf>
    <xf numFmtId="0" fontId="51" fillId="0" borderId="41" xfId="0" applyFont="1" applyBorder="1" applyAlignment="1">
      <alignment horizontal="center" vertical="center"/>
    </xf>
    <xf numFmtId="0" fontId="48" fillId="23" borderId="45" xfId="0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horizontal="center" vertical="center"/>
    </xf>
    <xf numFmtId="0" fontId="48" fillId="23" borderId="47" xfId="0" applyFont="1" applyFill="1" applyBorder="1" applyAlignment="1">
      <alignment horizontal="center" vertical="center"/>
    </xf>
    <xf numFmtId="0" fontId="48" fillId="23" borderId="56" xfId="0" applyFont="1" applyFill="1" applyBorder="1" applyAlignment="1">
      <alignment horizontal="center" vertical="center"/>
    </xf>
    <xf numFmtId="0" fontId="48" fillId="23" borderId="58" xfId="0" applyFont="1" applyFill="1" applyBorder="1" applyAlignment="1">
      <alignment horizontal="center" vertical="center"/>
    </xf>
    <xf numFmtId="0" fontId="48" fillId="21" borderId="45" xfId="0" applyFont="1" applyFill="1" applyBorder="1" applyAlignment="1">
      <alignment vertical="center" wrapText="1"/>
    </xf>
    <xf numFmtId="0" fontId="48" fillId="21" borderId="47" xfId="0" applyFont="1" applyFill="1" applyBorder="1" applyAlignment="1">
      <alignment vertical="center" wrapText="1"/>
    </xf>
    <xf numFmtId="164" fontId="48" fillId="23" borderId="45" xfId="0" applyNumberFormat="1" applyFont="1" applyFill="1" applyBorder="1" applyAlignment="1">
      <alignment horizontal="center" vertical="center"/>
    </xf>
    <xf numFmtId="164" fontId="48" fillId="23" borderId="47" xfId="0" applyNumberFormat="1" applyFont="1" applyFill="1" applyBorder="1" applyAlignment="1">
      <alignment horizontal="center" vertical="center"/>
    </xf>
    <xf numFmtId="0" fontId="51" fillId="23" borderId="45" xfId="0" applyFont="1" applyFill="1" applyBorder="1" applyAlignment="1">
      <alignment horizontal="center" vertical="center"/>
    </xf>
    <xf numFmtId="0" fontId="51" fillId="23" borderId="47" xfId="0" applyFont="1" applyFill="1" applyBorder="1" applyAlignment="1">
      <alignment horizontal="center" vertical="center"/>
    </xf>
    <xf numFmtId="0" fontId="48" fillId="23" borderId="50" xfId="0" applyFont="1" applyFill="1" applyBorder="1" applyAlignment="1">
      <alignment horizontal="center" vertical="center"/>
    </xf>
    <xf numFmtId="0" fontId="48" fillId="23" borderId="52" xfId="0" applyFont="1" applyFill="1" applyBorder="1" applyAlignment="1">
      <alignment horizontal="center" vertical="center"/>
    </xf>
    <xf numFmtId="0" fontId="48" fillId="23" borderId="45" xfId="0" applyFont="1" applyFill="1" applyBorder="1" applyAlignment="1">
      <alignment horizontal="center" vertical="center" wrapText="1"/>
    </xf>
    <xf numFmtId="0" fontId="48" fillId="23" borderId="47" xfId="0" applyFont="1" applyFill="1" applyBorder="1" applyAlignment="1">
      <alignment horizontal="center" vertical="center" wrapText="1"/>
    </xf>
    <xf numFmtId="0" fontId="48" fillId="23" borderId="45" xfId="0" applyFont="1" applyFill="1" applyBorder="1" applyAlignment="1">
      <alignment vertical="center" wrapText="1"/>
    </xf>
    <xf numFmtId="0" fontId="48" fillId="23" borderId="47" xfId="0" applyFont="1" applyFill="1" applyBorder="1" applyAlignment="1">
      <alignment vertical="center" wrapText="1"/>
    </xf>
    <xf numFmtId="0" fontId="48" fillId="21" borderId="46" xfId="0" applyFont="1" applyFill="1" applyBorder="1" applyAlignment="1">
      <alignment horizontal="center" vertical="center"/>
    </xf>
    <xf numFmtId="0" fontId="48" fillId="21" borderId="57" xfId="0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horizontal="left" vertical="center" wrapText="1"/>
    </xf>
    <xf numFmtId="164" fontId="48" fillId="23" borderId="46" xfId="0" applyNumberFormat="1" applyFont="1" applyFill="1" applyBorder="1" applyAlignment="1">
      <alignment horizontal="center" vertical="center"/>
    </xf>
    <xf numFmtId="164" fontId="48" fillId="21" borderId="46" xfId="0" applyNumberFormat="1" applyFont="1" applyFill="1" applyBorder="1" applyAlignment="1">
      <alignment horizontal="center" vertical="center"/>
    </xf>
    <xf numFmtId="0" fontId="51" fillId="21" borderId="46" xfId="0" applyFont="1" applyFill="1" applyBorder="1" applyAlignment="1">
      <alignment horizontal="center" vertical="center"/>
    </xf>
    <xf numFmtId="0" fontId="48" fillId="21" borderId="51" xfId="0" applyFont="1" applyFill="1" applyBorder="1" applyAlignment="1">
      <alignment horizontal="center" vertical="center"/>
    </xf>
    <xf numFmtId="0" fontId="48" fillId="21" borderId="46" xfId="0" applyFont="1" applyFill="1" applyBorder="1" applyAlignment="1">
      <alignment horizontal="center" vertical="center" wrapText="1"/>
    </xf>
    <xf numFmtId="0" fontId="48" fillId="21" borderId="46" xfId="7" applyFont="1" applyFill="1" applyBorder="1" applyAlignment="1">
      <alignment vertical="center" wrapText="1"/>
    </xf>
    <xf numFmtId="0" fontId="48" fillId="28" borderId="41" xfId="0" applyFont="1" applyFill="1" applyBorder="1" applyAlignment="1">
      <alignment horizontal="left" vertical="center" wrapText="1"/>
    </xf>
    <xf numFmtId="0" fontId="48" fillId="28" borderId="51" xfId="0" applyFont="1" applyFill="1" applyBorder="1" applyAlignment="1">
      <alignment horizontal="center" vertical="center"/>
    </xf>
    <xf numFmtId="0" fontId="48" fillId="28" borderId="46" xfId="0" applyFont="1" applyFill="1" applyBorder="1" applyAlignment="1">
      <alignment horizontal="center" vertical="center"/>
    </xf>
    <xf numFmtId="0" fontId="48" fillId="28" borderId="45" xfId="0" applyFont="1" applyFill="1" applyBorder="1" applyAlignment="1">
      <alignment horizontal="left" vertical="center" wrapText="1"/>
    </xf>
    <xf numFmtId="0" fontId="48" fillId="28" borderId="46" xfId="0" applyFont="1" applyFill="1" applyBorder="1" applyAlignment="1">
      <alignment horizontal="left" vertical="center" wrapText="1"/>
    </xf>
    <xf numFmtId="0" fontId="48" fillId="28" borderId="47" xfId="0" applyFont="1" applyFill="1" applyBorder="1" applyAlignment="1">
      <alignment horizontal="left" vertical="center" wrapText="1"/>
    </xf>
    <xf numFmtId="0" fontId="48" fillId="28" borderId="45" xfId="0" applyFont="1" applyFill="1" applyBorder="1" applyAlignment="1">
      <alignment vertical="center" wrapText="1"/>
    </xf>
    <xf numFmtId="0" fontId="48" fillId="28" borderId="46" xfId="0" applyFont="1" applyFill="1" applyBorder="1" applyAlignment="1">
      <alignment vertical="center" wrapText="1"/>
    </xf>
    <xf numFmtId="0" fontId="48" fillId="28" borderId="47" xfId="0" applyFont="1" applyFill="1" applyBorder="1" applyAlignment="1">
      <alignment vertical="center" wrapText="1"/>
    </xf>
    <xf numFmtId="164" fontId="48" fillId="28" borderId="46" xfId="0" applyNumberFormat="1" applyFont="1" applyFill="1" applyBorder="1" applyAlignment="1">
      <alignment horizontal="center" vertical="center"/>
    </xf>
    <xf numFmtId="0" fontId="48" fillId="21" borderId="45" xfId="0" applyFont="1" applyFill="1" applyBorder="1" applyAlignment="1">
      <alignment vertical="center"/>
    </xf>
    <xf numFmtId="0" fontId="48" fillId="21" borderId="46" xfId="0" applyFont="1" applyFill="1" applyBorder="1" applyAlignment="1">
      <alignment vertical="center"/>
    </xf>
    <xf numFmtId="0" fontId="48" fillId="21" borderId="47" xfId="0" applyFont="1" applyFill="1" applyBorder="1" applyAlignment="1">
      <alignment vertical="center"/>
    </xf>
    <xf numFmtId="0" fontId="51" fillId="28" borderId="46" xfId="0" applyFont="1" applyFill="1" applyBorder="1" applyAlignment="1">
      <alignment horizontal="center" vertical="center"/>
    </xf>
    <xf numFmtId="0" fontId="48" fillId="21" borderId="46" xfId="0" applyFont="1" applyFill="1" applyBorder="1" applyAlignment="1">
      <alignment vertical="center" wrapText="1"/>
    </xf>
    <xf numFmtId="0" fontId="48" fillId="24" borderId="41" xfId="0" applyFont="1" applyFill="1" applyBorder="1" applyAlignment="1">
      <alignment vertical="center"/>
    </xf>
    <xf numFmtId="15" fontId="48" fillId="21" borderId="45" xfId="0" applyNumberFormat="1" applyFont="1" applyFill="1" applyBorder="1" applyAlignment="1">
      <alignment horizontal="center" vertical="center"/>
    </xf>
    <xf numFmtId="15" fontId="48" fillId="21" borderId="46" xfId="0" applyNumberFormat="1" applyFont="1" applyFill="1" applyBorder="1" applyAlignment="1">
      <alignment horizontal="center" vertical="center"/>
    </xf>
    <xf numFmtId="15" fontId="48" fillId="21" borderId="47" xfId="0" applyNumberFormat="1" applyFont="1" applyFill="1" applyBorder="1" applyAlignment="1">
      <alignment horizontal="center" vertical="center"/>
    </xf>
    <xf numFmtId="0" fontId="48" fillId="25" borderId="48" xfId="0" applyFont="1" applyFill="1" applyBorder="1" applyAlignment="1">
      <alignment horizontal="center" vertical="center"/>
    </xf>
    <xf numFmtId="0" fontId="48" fillId="25" borderId="41" xfId="0" applyFont="1" applyFill="1" applyBorder="1" applyAlignment="1">
      <alignment horizontal="center" vertical="center"/>
    </xf>
    <xf numFmtId="0" fontId="48" fillId="25" borderId="41" xfId="0" applyFont="1" applyFill="1" applyBorder="1" applyAlignment="1">
      <alignment vertical="center" wrapText="1"/>
    </xf>
    <xf numFmtId="0" fontId="48" fillId="25" borderId="41" xfId="7" applyFont="1" applyFill="1" applyBorder="1" applyAlignment="1">
      <alignment vertical="center" wrapText="1"/>
    </xf>
    <xf numFmtId="0" fontId="48" fillId="31" borderId="48" xfId="0" applyFont="1" applyFill="1" applyBorder="1" applyAlignment="1">
      <alignment horizontal="center" vertical="center"/>
    </xf>
    <xf numFmtId="0" fontId="48" fillId="31" borderId="41" xfId="0" applyFont="1" applyFill="1" applyBorder="1" applyAlignment="1">
      <alignment horizontal="center" vertical="center"/>
    </xf>
    <xf numFmtId="0" fontId="48" fillId="31" borderId="41" xfId="7" applyFont="1" applyFill="1" applyBorder="1" applyAlignment="1">
      <alignment vertical="center" wrapText="1"/>
    </xf>
    <xf numFmtId="164" fontId="48" fillId="31" borderId="41" xfId="0" applyNumberFormat="1" applyFont="1" applyFill="1" applyBorder="1" applyAlignment="1">
      <alignment horizontal="center" vertical="center"/>
    </xf>
    <xf numFmtId="0" fontId="48" fillId="25" borderId="41" xfId="0" applyFont="1" applyFill="1" applyBorder="1" applyAlignment="1">
      <alignment horizontal="center" vertical="center" wrapText="1"/>
    </xf>
    <xf numFmtId="0" fontId="48" fillId="31" borderId="49" xfId="0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horizontal="center" vertical="center" wrapText="1"/>
    </xf>
    <xf numFmtId="0" fontId="51" fillId="31" borderId="41" xfId="0" applyFont="1" applyFill="1" applyBorder="1" applyAlignment="1">
      <alignment horizontal="center" vertical="center"/>
    </xf>
    <xf numFmtId="0" fontId="48" fillId="23" borderId="57" xfId="0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vertical="center"/>
    </xf>
    <xf numFmtId="0" fontId="48" fillId="22" borderId="41" xfId="0" applyFont="1" applyFill="1" applyBorder="1" applyAlignment="1">
      <alignment vertical="center"/>
    </xf>
    <xf numFmtId="15" fontId="48" fillId="22" borderId="41" xfId="0" applyNumberFormat="1" applyFont="1" applyFill="1" applyBorder="1" applyAlignment="1">
      <alignment horizontal="center" vertical="center"/>
    </xf>
    <xf numFmtId="171" fontId="48" fillId="28" borderId="41" xfId="0" applyNumberFormat="1" applyFont="1" applyFill="1" applyBorder="1" applyAlignment="1">
      <alignment horizontal="center" vertical="center"/>
    </xf>
    <xf numFmtId="171" fontId="48" fillId="24" borderId="41" xfId="0" applyNumberFormat="1" applyFont="1" applyFill="1" applyBorder="1" applyAlignment="1">
      <alignment horizontal="center" vertical="center"/>
    </xf>
    <xf numFmtId="171" fontId="48" fillId="21" borderId="45" xfId="0" applyNumberFormat="1" applyFont="1" applyFill="1" applyBorder="1" applyAlignment="1">
      <alignment horizontal="center" vertical="center"/>
    </xf>
    <xf numFmtId="171" fontId="48" fillId="21" borderId="46" xfId="0" applyNumberFormat="1" applyFont="1" applyFill="1" applyBorder="1" applyAlignment="1">
      <alignment horizontal="center" vertical="center"/>
    </xf>
    <xf numFmtId="171" fontId="48" fillId="21" borderId="47" xfId="0" applyNumberFormat="1" applyFont="1" applyFill="1" applyBorder="1" applyAlignment="1">
      <alignment horizontal="center" vertical="center"/>
    </xf>
    <xf numFmtId="171" fontId="48" fillId="23" borderId="45" xfId="0" applyNumberFormat="1" applyFont="1" applyFill="1" applyBorder="1" applyAlignment="1">
      <alignment horizontal="center" vertical="center"/>
    </xf>
    <xf numFmtId="171" fontId="48" fillId="23" borderId="46" xfId="0" applyNumberFormat="1" applyFont="1" applyFill="1" applyBorder="1" applyAlignment="1">
      <alignment horizontal="center" vertical="center"/>
    </xf>
    <xf numFmtId="171" fontId="48" fillId="23" borderId="47" xfId="0" applyNumberFormat="1" applyFont="1" applyFill="1" applyBorder="1" applyAlignment="1">
      <alignment horizontal="center" vertical="center"/>
    </xf>
    <xf numFmtId="0" fontId="51" fillId="23" borderId="46" xfId="0" applyFont="1" applyFill="1" applyBorder="1" applyAlignment="1">
      <alignment horizontal="center" vertical="center"/>
    </xf>
    <xf numFmtId="0" fontId="48" fillId="23" borderId="51" xfId="0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vertical="center" wrapText="1"/>
    </xf>
    <xf numFmtId="0" fontId="48" fillId="23" borderId="45" xfId="7" applyFont="1" applyFill="1" applyBorder="1" applyAlignment="1">
      <alignment vertical="center" wrapText="1"/>
    </xf>
    <xf numFmtId="0" fontId="48" fillId="23" borderId="46" xfId="7" applyFont="1" applyFill="1" applyBorder="1" applyAlignment="1">
      <alignment vertical="center" wrapText="1"/>
    </xf>
    <xf numFmtId="0" fontId="48" fillId="23" borderId="47" xfId="7" applyFont="1" applyFill="1" applyBorder="1" applyAlignment="1">
      <alignment vertical="center" wrapText="1"/>
    </xf>
    <xf numFmtId="0" fontId="48" fillId="31" borderId="41" xfId="0" applyFont="1" applyFill="1" applyBorder="1" applyAlignment="1">
      <alignment vertical="center" wrapText="1"/>
    </xf>
    <xf numFmtId="171" fontId="48" fillId="23" borderId="41" xfId="0" applyNumberFormat="1" applyFont="1" applyFill="1" applyBorder="1" applyAlignment="1">
      <alignment horizontal="center" vertical="center"/>
    </xf>
    <xf numFmtId="171" fontId="48" fillId="31" borderId="41" xfId="0" applyNumberFormat="1" applyFont="1" applyFill="1" applyBorder="1" applyAlignment="1">
      <alignment horizontal="center" vertical="center"/>
    </xf>
    <xf numFmtId="0" fontId="48" fillId="31" borderId="47" xfId="0" applyFont="1" applyFill="1" applyBorder="1" applyAlignment="1">
      <alignment horizontal="center" vertical="center"/>
    </xf>
    <xf numFmtId="0" fontId="48" fillId="31" borderId="58" xfId="0" applyFont="1" applyFill="1" applyBorder="1" applyAlignment="1">
      <alignment horizontal="center" vertical="center"/>
    </xf>
    <xf numFmtId="0" fontId="48" fillId="31" borderId="52" xfId="0" applyFont="1" applyFill="1" applyBorder="1" applyAlignment="1">
      <alignment horizontal="center" vertical="center"/>
    </xf>
    <xf numFmtId="0" fontId="48" fillId="31" borderId="47" xfId="0" applyFont="1" applyFill="1" applyBorder="1" applyAlignment="1">
      <alignment horizontal="center" vertical="center" wrapText="1"/>
    </xf>
    <xf numFmtId="0" fontId="48" fillId="31" borderId="47" xfId="7" applyFont="1" applyFill="1" applyBorder="1" applyAlignment="1">
      <alignment vertical="center" wrapText="1"/>
    </xf>
    <xf numFmtId="171" fontId="48" fillId="31" borderId="47" xfId="0" applyNumberFormat="1" applyFont="1" applyFill="1" applyBorder="1" applyAlignment="1">
      <alignment horizontal="center" vertical="center"/>
    </xf>
    <xf numFmtId="16" fontId="48" fillId="24" borderId="41" xfId="0" applyNumberFormat="1" applyFont="1" applyFill="1" applyBorder="1" applyAlignment="1">
      <alignment horizontal="center" vertical="center"/>
    </xf>
    <xf numFmtId="0" fontId="48" fillId="23" borderId="45" xfId="0" applyFont="1" applyFill="1" applyBorder="1" applyAlignment="1">
      <alignment horizontal="left" vertical="center" wrapText="1"/>
    </xf>
    <xf numFmtId="0" fontId="48" fillId="23" borderId="47" xfId="0" applyFont="1" applyFill="1" applyBorder="1" applyAlignment="1">
      <alignment horizontal="left" vertical="center" wrapText="1"/>
    </xf>
    <xf numFmtId="171" fontId="48" fillId="28" borderId="45" xfId="0" applyNumberFormat="1" applyFont="1" applyFill="1" applyBorder="1" applyAlignment="1">
      <alignment horizontal="center" vertical="center"/>
    </xf>
    <xf numFmtId="171" fontId="48" fillId="28" borderId="47" xfId="0" applyNumberFormat="1" applyFont="1" applyFill="1" applyBorder="1" applyAlignment="1">
      <alignment horizontal="center" vertical="center"/>
    </xf>
    <xf numFmtId="16" fontId="48" fillId="23" borderId="41" xfId="0" applyNumberFormat="1" applyFont="1" applyFill="1" applyBorder="1" applyAlignment="1">
      <alignment horizontal="center" vertical="center"/>
    </xf>
    <xf numFmtId="16" fontId="48" fillId="0" borderId="41" xfId="0" applyNumberFormat="1" applyFont="1" applyBorder="1" applyAlignment="1">
      <alignment horizontal="center" vertical="center"/>
    </xf>
    <xf numFmtId="0" fontId="48" fillId="22" borderId="54" xfId="0" applyFont="1" applyFill="1" applyBorder="1" applyAlignment="1">
      <alignment horizontal="center" vertical="center"/>
    </xf>
    <xf numFmtId="0" fontId="48" fillId="28" borderId="55" xfId="0" applyFont="1" applyFill="1" applyBorder="1" applyAlignment="1">
      <alignment horizontal="center" vertical="center"/>
    </xf>
    <xf numFmtId="171" fontId="48" fillId="22" borderId="41" xfId="0" applyNumberFormat="1" applyFont="1" applyFill="1" applyBorder="1" applyAlignment="1">
      <alignment horizontal="center" vertical="center"/>
    </xf>
    <xf numFmtId="171" fontId="48" fillId="22" borderId="54" xfId="0" applyNumberFormat="1" applyFont="1" applyFill="1" applyBorder="1" applyAlignment="1">
      <alignment horizontal="center" vertical="center"/>
    </xf>
    <xf numFmtId="0" fontId="51" fillId="22" borderId="54" xfId="0" applyFont="1" applyFill="1" applyBorder="1" applyAlignment="1">
      <alignment horizontal="center" vertical="center"/>
    </xf>
    <xf numFmtId="0" fontId="48" fillId="22" borderId="53" xfId="0" applyFont="1" applyFill="1" applyBorder="1" applyAlignment="1">
      <alignment horizontal="center" vertical="center"/>
    </xf>
    <xf numFmtId="0" fontId="48" fillId="22" borderId="54" xfId="0" applyFont="1" applyFill="1" applyBorder="1" applyAlignment="1">
      <alignment vertical="center" wrapText="1"/>
    </xf>
    <xf numFmtId="0" fontId="48" fillId="22" borderId="54" xfId="7" applyFont="1" applyFill="1" applyBorder="1" applyAlignment="1">
      <alignment vertical="center" wrapText="1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wrapText="1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11</xdr:col>
      <xdr:colOff>903111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80150" y="0"/>
          <a:ext cx="1098961" cy="481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90" zoomScaleNormal="90" zoomScaleSheetLayoutView="80" workbookViewId="0">
      <pane xSplit="6" ySplit="7" topLeftCell="H8" activePane="bottomRight" state="frozen"/>
      <selection pane="topRight" activeCell="G1" sqref="G1"/>
      <selection pane="bottomLeft" activeCell="A8" sqref="A8"/>
      <selection pane="bottomRight" activeCell="J22" sqref="J22"/>
    </sheetView>
  </sheetViews>
  <sheetFormatPr defaultRowHeight="14" x14ac:dyDescent="0.3"/>
  <cols>
    <col min="1" max="1" width="46.1640625" bestFit="1" customWidth="1"/>
    <col min="2" max="2" width="9.75" customWidth="1"/>
    <col min="3" max="3" width="6.83203125" style="1" customWidth="1"/>
    <col min="4" max="4" width="10.25" bestFit="1" customWidth="1"/>
    <col min="6" max="6" width="10.1640625" customWidth="1"/>
    <col min="7" max="7" width="11.6640625" customWidth="1"/>
    <col min="8" max="8" width="14" customWidth="1"/>
    <col min="9" max="9" width="12.1640625" bestFit="1" customWidth="1"/>
    <col min="10" max="10" width="13.83203125" customWidth="1"/>
    <col min="11" max="11" width="13" customWidth="1"/>
    <col min="12" max="12" width="13.5" customWidth="1"/>
    <col min="13" max="13" width="9.08203125" customWidth="1"/>
    <col min="14" max="14" width="6.1640625" hidden="1" customWidth="1"/>
    <col min="15" max="15" width="5.1640625" hidden="1" customWidth="1"/>
  </cols>
  <sheetData>
    <row r="1" spans="1:15" s="10" customFormat="1" ht="37" customHeight="1" x14ac:dyDescent="0.3">
      <c r="A1" s="361" t="s">
        <v>52</v>
      </c>
      <c r="B1" s="362"/>
      <c r="C1" s="362"/>
      <c r="D1" s="362"/>
      <c r="E1" s="362"/>
      <c r="F1" s="362"/>
      <c r="G1" s="363"/>
      <c r="H1" s="363"/>
      <c r="I1" s="363"/>
      <c r="J1" s="363"/>
      <c r="K1" s="363"/>
      <c r="L1" s="364"/>
    </row>
    <row r="2" spans="1:15" s="13" customFormat="1" ht="11.5" x14ac:dyDescent="0.3">
      <c r="A2" s="117" t="s">
        <v>48</v>
      </c>
      <c r="B2" s="353" t="s">
        <v>49</v>
      </c>
      <c r="C2" s="354"/>
      <c r="D2" s="354"/>
      <c r="E2" s="354"/>
      <c r="F2" s="354"/>
      <c r="G2" s="114"/>
      <c r="H2" s="114"/>
      <c r="I2" s="114"/>
      <c r="J2" s="114"/>
      <c r="K2" s="114"/>
      <c r="L2" s="115"/>
      <c r="N2" s="142" t="s">
        <v>392</v>
      </c>
      <c r="O2" s="142" t="s">
        <v>393</v>
      </c>
    </row>
    <row r="3" spans="1:15" s="13" customFormat="1" ht="11.5" x14ac:dyDescent="0.3">
      <c r="A3" s="118" t="s">
        <v>50</v>
      </c>
      <c r="B3" s="355">
        <v>390</v>
      </c>
      <c r="C3" s="356"/>
      <c r="D3" s="356"/>
      <c r="E3" s="356"/>
      <c r="F3" s="357"/>
      <c r="G3" s="114"/>
      <c r="H3" s="114"/>
      <c r="I3" s="114"/>
      <c r="J3" s="114"/>
      <c r="K3" s="114"/>
      <c r="L3" s="115"/>
      <c r="N3" s="141">
        <v>45908</v>
      </c>
      <c r="O3" s="141">
        <v>45901</v>
      </c>
    </row>
    <row r="4" spans="1:15" s="13" customFormat="1" ht="11.5" x14ac:dyDescent="0.3">
      <c r="A4" s="116" t="s">
        <v>51</v>
      </c>
      <c r="B4" s="358">
        <v>45694</v>
      </c>
      <c r="C4" s="359"/>
      <c r="D4" s="359"/>
      <c r="E4" s="359"/>
      <c r="F4" s="360"/>
      <c r="G4" s="114"/>
      <c r="H4" s="114"/>
      <c r="I4" s="114"/>
      <c r="J4" s="114"/>
      <c r="K4" s="114"/>
      <c r="L4" s="115"/>
      <c r="N4" s="141">
        <f>N3+5</f>
        <v>45913</v>
      </c>
      <c r="O4" s="141">
        <v>45930</v>
      </c>
    </row>
    <row r="5" spans="1:15" s="13" customFormat="1" ht="11.5" x14ac:dyDescent="0.3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1" t="s">
        <v>401</v>
      </c>
      <c r="L5" s="162" t="s">
        <v>402</v>
      </c>
    </row>
    <row r="6" spans="1:15" s="13" customFormat="1" ht="11.5" x14ac:dyDescent="0.3">
      <c r="A6" s="116" t="s">
        <v>10</v>
      </c>
      <c r="B6" s="14">
        <v>45912</v>
      </c>
      <c r="C6" s="12"/>
      <c r="D6" s="12"/>
      <c r="E6" s="12"/>
      <c r="F6" s="120"/>
      <c r="G6" s="114"/>
      <c r="H6" s="114"/>
      <c r="I6" s="114"/>
      <c r="J6" s="114"/>
      <c r="K6" s="163">
        <f>N3</f>
        <v>45908</v>
      </c>
      <c r="L6" s="162">
        <v>45901</v>
      </c>
    </row>
    <row r="7" spans="1:15" s="13" customFormat="1" ht="11.5" x14ac:dyDescent="0.3">
      <c r="A7" s="117"/>
      <c r="B7" s="211"/>
      <c r="C7" s="212"/>
      <c r="D7" s="212"/>
      <c r="E7" s="212"/>
      <c r="F7" s="213"/>
      <c r="G7" s="114"/>
      <c r="H7" s="114"/>
      <c r="I7" s="114"/>
      <c r="J7" s="114"/>
      <c r="K7" s="214">
        <f>N4</f>
        <v>45913</v>
      </c>
      <c r="L7" s="215">
        <f>L6+29</f>
        <v>45930</v>
      </c>
    </row>
    <row r="8" spans="1:15" s="2" customFormat="1" ht="56" x14ac:dyDescent="0.3">
      <c r="A8" s="216" t="s">
        <v>0</v>
      </c>
      <c r="B8" s="216" t="s">
        <v>9</v>
      </c>
      <c r="C8" s="216" t="s">
        <v>3</v>
      </c>
      <c r="D8" s="216" t="s">
        <v>7</v>
      </c>
      <c r="E8" s="216" t="s">
        <v>8</v>
      </c>
      <c r="F8" s="217" t="s">
        <v>59</v>
      </c>
      <c r="G8" s="217" t="s">
        <v>58</v>
      </c>
      <c r="H8" s="217" t="s">
        <v>57</v>
      </c>
      <c r="I8" s="217" t="s">
        <v>61</v>
      </c>
      <c r="J8" s="217" t="s">
        <v>62</v>
      </c>
      <c r="K8" s="217" t="s">
        <v>406</v>
      </c>
      <c r="L8" s="217" t="s">
        <v>407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ht="14.5" x14ac:dyDescent="0.35">
      <c r="A10" s="218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ht="14.5" x14ac:dyDescent="0.35">
      <c r="A11" s="166" t="s">
        <v>404</v>
      </c>
      <c r="B11" s="8">
        <v>1033</v>
      </c>
      <c r="C11" s="8" t="s">
        <v>5</v>
      </c>
      <c r="D11" s="6">
        <f>'Construction Status'!S4</f>
        <v>952.23</v>
      </c>
      <c r="E11" s="6">
        <f>B11-D11</f>
        <v>80.769999999999982</v>
      </c>
      <c r="F11" s="165">
        <v>0.01</v>
      </c>
      <c r="G11" s="113">
        <f>F11*H11</f>
        <v>9.2181026137463703E-3</v>
      </c>
      <c r="H11" s="18">
        <f>D11/B11</f>
        <v>0.92181026137463695</v>
      </c>
      <c r="I11" s="7">
        <v>1</v>
      </c>
      <c r="J11" s="7">
        <v>3</v>
      </c>
      <c r="K11" s="7">
        <v>1</v>
      </c>
      <c r="L11" s="7">
        <v>5</v>
      </c>
      <c r="N11" s="159">
        <v>45894</v>
      </c>
      <c r="O11" s="3">
        <v>1</v>
      </c>
    </row>
    <row r="12" spans="1:15" s="3" customFormat="1" ht="14.5" x14ac:dyDescent="0.35">
      <c r="A12" s="166" t="s">
        <v>405</v>
      </c>
      <c r="B12" s="8">
        <v>1033</v>
      </c>
      <c r="C12" s="8" t="s">
        <v>5</v>
      </c>
      <c r="D12" s="6">
        <f>'Construction Status'!S5</f>
        <v>948.82999999999993</v>
      </c>
      <c r="E12" s="6">
        <f>B12-D12</f>
        <v>84.170000000000073</v>
      </c>
      <c r="F12" s="165">
        <v>0.01</v>
      </c>
      <c r="G12" s="113">
        <f>F12*H12</f>
        <v>9.1851887705711507E-3</v>
      </c>
      <c r="H12" s="18">
        <f>D12/B12</f>
        <v>0.9185188770571151</v>
      </c>
      <c r="I12" s="7">
        <f>SUMIF('Construction Status'!$U$2:$DF$2,'Construction DASHBOARD'!$B$6,'Construction Status'!U5:DF5)</f>
        <v>0</v>
      </c>
      <c r="J12" s="7">
        <v>3</v>
      </c>
      <c r="K12" s="7">
        <v>1</v>
      </c>
      <c r="L12" s="7">
        <v>5</v>
      </c>
      <c r="N12" s="159">
        <v>45895</v>
      </c>
    </row>
    <row r="13" spans="1:15" s="3" customFormat="1" ht="14.5" x14ac:dyDescent="0.35">
      <c r="A13" s="218" t="s">
        <v>19</v>
      </c>
      <c r="B13" s="8"/>
      <c r="C13" s="8"/>
      <c r="D13" s="6"/>
      <c r="E13" s="6"/>
      <c r="F13" s="164"/>
      <c r="G13" s="18"/>
      <c r="H13" s="18"/>
      <c r="I13" s="7"/>
      <c r="J13" s="7"/>
      <c r="K13" s="7"/>
      <c r="L13" s="7"/>
      <c r="N13" s="159">
        <v>45896</v>
      </c>
      <c r="O13" s="3">
        <v>1</v>
      </c>
    </row>
    <row r="14" spans="1:15" s="3" customFormat="1" ht="14.5" x14ac:dyDescent="0.35">
      <c r="A14" s="219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6" si="0">B14-D14</f>
        <v>0</v>
      </c>
      <c r="F14" s="165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>
        <v>0</v>
      </c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59">
        <v>45897</v>
      </c>
      <c r="O14" s="3">
        <v>1</v>
      </c>
    </row>
    <row r="15" spans="1:15" s="3" customFormat="1" ht="14.5" x14ac:dyDescent="0.35">
      <c r="A15" s="219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5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>
        <v>0</v>
      </c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59">
        <v>45898</v>
      </c>
      <c r="O15" s="3">
        <v>1</v>
      </c>
    </row>
    <row r="16" spans="1:15" s="3" customFormat="1" ht="14.5" x14ac:dyDescent="0.35">
      <c r="A16" s="219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5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>
        <v>0</v>
      </c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59">
        <v>45899</v>
      </c>
      <c r="O16" s="3">
        <v>2</v>
      </c>
    </row>
    <row r="17" spans="1:15" s="3" customFormat="1" ht="14.5" x14ac:dyDescent="0.35">
      <c r="A17" s="219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5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>
        <v>0</v>
      </c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59">
        <v>45900</v>
      </c>
      <c r="O17" s="3">
        <v>2</v>
      </c>
    </row>
    <row r="18" spans="1:15" s="3" customFormat="1" ht="14.5" x14ac:dyDescent="0.35">
      <c r="A18" s="219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5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>
        <v>0</v>
      </c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59"/>
      <c r="O18" s="3">
        <v>1</v>
      </c>
    </row>
    <row r="19" spans="1:15" s="3" customFormat="1" ht="15.5" x14ac:dyDescent="0.35">
      <c r="A19" s="68" t="s">
        <v>812</v>
      </c>
      <c r="B19" s="8">
        <f>'Construction Status'!K11</f>
        <v>180</v>
      </c>
      <c r="C19" s="8" t="s">
        <v>11</v>
      </c>
      <c r="D19" s="6">
        <f>'Construction Status'!Q11</f>
        <v>180</v>
      </c>
      <c r="E19" s="6">
        <f t="shared" si="0"/>
        <v>0</v>
      </c>
      <c r="F19" s="165">
        <v>2E-3</v>
      </c>
      <c r="G19" s="113">
        <f t="shared" si="1"/>
        <v>2E-3</v>
      </c>
      <c r="H19" s="18">
        <f t="shared" si="2"/>
        <v>1</v>
      </c>
      <c r="I19" s="7">
        <f>SUMIF('Construction Status'!$U$2:$DF$2,'Construction DASHBOARD'!$B$6,'Construction Status'!U11:DF11)</f>
        <v>0</v>
      </c>
      <c r="J19" s="7">
        <v>0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59"/>
      <c r="O19" s="3">
        <v>1</v>
      </c>
    </row>
    <row r="20" spans="1:15" s="3" customFormat="1" ht="14.5" x14ac:dyDescent="0.35">
      <c r="A20" s="218" t="s">
        <v>6</v>
      </c>
      <c r="B20" s="8"/>
      <c r="C20" s="8"/>
      <c r="D20" s="6"/>
      <c r="E20" s="6"/>
      <c r="F20" s="164"/>
      <c r="G20" s="113"/>
      <c r="H20" s="18"/>
      <c r="I20" s="7"/>
      <c r="J20" s="7"/>
      <c r="K20" s="7"/>
      <c r="L20" s="7"/>
      <c r="N20" s="159"/>
    </row>
    <row r="21" spans="1:15" s="3" customFormat="1" ht="14.5" x14ac:dyDescent="0.35">
      <c r="A21" s="219" t="s">
        <v>20</v>
      </c>
      <c r="B21" s="8">
        <v>116500</v>
      </c>
      <c r="C21" s="8" t="s">
        <v>315</v>
      </c>
      <c r="D21" s="6">
        <f>'Construction Status'!Q14</f>
        <v>18175</v>
      </c>
      <c r="E21" s="6">
        <f t="shared" si="0"/>
        <v>98325</v>
      </c>
      <c r="F21" s="165">
        <v>0.21</v>
      </c>
      <c r="G21" s="113">
        <f t="shared" si="1"/>
        <v>3.2761802575107295E-2</v>
      </c>
      <c r="H21" s="18">
        <f t="shared" si="2"/>
        <v>0.15600858369098713</v>
      </c>
      <c r="I21" s="7">
        <v>406</v>
      </c>
      <c r="J21" s="7">
        <v>1160</v>
      </c>
      <c r="K21" s="7">
        <v>1994</v>
      </c>
      <c r="L21" s="7">
        <v>4652</v>
      </c>
      <c r="N21" s="159"/>
    </row>
    <row r="22" spans="1:15" ht="14.5" x14ac:dyDescent="0.35">
      <c r="A22" s="219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5">
        <v>0.05</v>
      </c>
      <c r="G22" s="113">
        <f t="shared" si="1"/>
        <v>0</v>
      </c>
      <c r="H22" s="18">
        <f t="shared" si="2"/>
        <v>0</v>
      </c>
      <c r="I22" s="8"/>
      <c r="J22" s="8"/>
      <c r="K22" s="7" cm="1">
        <f t="array" ref="K22">SUMPRODUCT(('Construction Status'!$U$4:$DF$120)*('Construction Status'!$D$4:$D$120='Construction DASHBOARD'!A22)*('Construction Status'!$U$2:$DF$2&gt;='Construction DASHBOARD'!$N$3)*('Construction Status'!$U$2:$DF$2&lt;='Construction DASHBOARD'!$N$4))</f>
        <v>0</v>
      </c>
      <c r="L22" s="7" cm="1">
        <f t="array" ref="L22">SUMPRODUCT(('Construction Status'!$U$4:$DF$120)*('Construction Status'!$D$4:$D$120='Construction DASHBOARD'!A22)*('Construction Status'!$U$2:$DF$2&gt;='Construction DASHBOARD'!$O$3)*('Construction Status'!$U$2:$DF$2&lt;='Construction DASHBOARD'!$O$4))</f>
        <v>0</v>
      </c>
      <c r="N22" s="159"/>
      <c r="O22" s="3">
        <v>4</v>
      </c>
    </row>
    <row r="23" spans="1:15" ht="14.5" x14ac:dyDescent="0.35">
      <c r="A23" s="219" t="s">
        <v>22</v>
      </c>
      <c r="B23" s="8">
        <v>24</v>
      </c>
      <c r="C23" s="8" t="s">
        <v>2</v>
      </c>
      <c r="D23" s="6">
        <v>0</v>
      </c>
      <c r="E23" s="6">
        <f t="shared" si="0"/>
        <v>24</v>
      </c>
      <c r="F23" s="165">
        <v>0.05</v>
      </c>
      <c r="G23" s="113">
        <f t="shared" si="1"/>
        <v>0</v>
      </c>
      <c r="H23" s="18">
        <f t="shared" si="2"/>
        <v>0</v>
      </c>
      <c r="I23" s="8"/>
      <c r="J23" s="8"/>
      <c r="K23" s="7" cm="1">
        <f t="array" ref="K23">SUMPRODUCT(('Construction Status'!$U$4:$DF$120)*('Construction Status'!$D$4:$D$120='Construction DASHBOARD'!A23)*('Construction Status'!$U$2:$DF$2&gt;='Construction DASHBOARD'!$N$3)*('Construction Status'!$U$2:$DF$2&lt;='Construction DASHBOARD'!$N$4))</f>
        <v>0</v>
      </c>
      <c r="L23" s="7" cm="1">
        <f t="array" ref="L23">SUMPRODUCT(('Construction Status'!$U$4:$DF$120)*('Construction Status'!$D$4:$D$120='Construction DASHBOARD'!A23)*('Construction Status'!$U$2:$DF$2&gt;='Construction DASHBOARD'!$O$3)*('Construction Status'!$U$2:$DF$2&lt;='Construction DASHBOARD'!$O$4))</f>
        <v>0</v>
      </c>
      <c r="N23" s="159"/>
      <c r="O23" s="3">
        <v>4</v>
      </c>
    </row>
    <row r="24" spans="1:15" ht="14.5" x14ac:dyDescent="0.35">
      <c r="A24" s="219" t="s">
        <v>133</v>
      </c>
      <c r="B24" s="8">
        <v>1</v>
      </c>
      <c r="C24" s="8" t="s">
        <v>11</v>
      </c>
      <c r="D24" s="6">
        <v>0.2</v>
      </c>
      <c r="E24" s="6">
        <f t="shared" si="0"/>
        <v>0.8</v>
      </c>
      <c r="F24" s="165">
        <v>0.06</v>
      </c>
      <c r="G24" s="113">
        <f t="shared" si="1"/>
        <v>1.2E-2</v>
      </c>
      <c r="H24" s="18">
        <f t="shared" si="2"/>
        <v>0.2</v>
      </c>
      <c r="I24" s="8"/>
      <c r="J24" s="8"/>
      <c r="K24" s="7" cm="1">
        <f t="array" ref="K24">SUMPRODUCT(('Construction Status'!$U$4:$DF$120)*('Construction Status'!$D$4:$D$120='Construction DASHBOARD'!A24)*('Construction Status'!$U$2:$DF$2&gt;='Construction DASHBOARD'!$N$3)*('Construction Status'!$U$2:$DF$2&lt;='Construction DASHBOARD'!$N$4))</f>
        <v>0</v>
      </c>
      <c r="L24" s="7" cm="1">
        <f t="array" ref="L24">SUMPRODUCT(('Construction Status'!$U$4:$DF$120)*('Construction Status'!$D$4:$D$120='Construction DASHBOARD'!A24)*('Construction Status'!$U$2:$DF$2&gt;='Construction DASHBOARD'!$O$3)*('Construction Status'!$U$2:$DF$2&lt;='Construction DASHBOARD'!$O$4))</f>
        <v>0</v>
      </c>
      <c r="N24" s="159"/>
      <c r="O24" s="3">
        <v>4</v>
      </c>
    </row>
    <row r="25" spans="1:15" ht="17.149999999999999" customHeight="1" x14ac:dyDescent="0.35">
      <c r="A25" s="219" t="s">
        <v>23</v>
      </c>
      <c r="B25" s="8">
        <v>1</v>
      </c>
      <c r="C25" s="8" t="s">
        <v>204</v>
      </c>
      <c r="D25" s="6">
        <f>'Construction Status'!Q17</f>
        <v>0</v>
      </c>
      <c r="E25" s="6">
        <f t="shared" si="0"/>
        <v>1</v>
      </c>
      <c r="F25" s="165">
        <v>0.02</v>
      </c>
      <c r="G25" s="113"/>
      <c r="H25" s="18"/>
      <c r="I25" s="8"/>
      <c r="J25" s="8"/>
      <c r="K25" s="7" cm="1">
        <f t="array" ref="K25">SUMPRODUCT(('Construction Status'!$U$4:$DF$120)*('Construction Status'!$D$4:$D$120='Construction DASHBOARD'!A25)*('Construction Status'!$U$2:$DF$2&gt;='Construction DASHBOARD'!$N$3)*('Construction Status'!$U$2:$DF$2&lt;='Construction DASHBOARD'!$N$4))</f>
        <v>0</v>
      </c>
      <c r="L25" s="7" cm="1">
        <f t="array" ref="L25">SUMPRODUCT(('Construction Status'!$U$4:$DF$120)*('Construction Status'!$D$4:$D$120='Construction DASHBOARD'!A25)*('Construction Status'!$U$2:$DF$2&gt;='Construction DASHBOARD'!$O$3)*('Construction Status'!$U$2:$DF$2&lt;='Construction DASHBOARD'!$O$4))</f>
        <v>0</v>
      </c>
      <c r="N25" s="159"/>
      <c r="O25" s="3">
        <v>4</v>
      </c>
    </row>
    <row r="26" spans="1:15" ht="17.149999999999999" customHeight="1" x14ac:dyDescent="0.35">
      <c r="A26" s="219" t="s">
        <v>835</v>
      </c>
      <c r="B26" s="8">
        <v>21000</v>
      </c>
      <c r="C26" s="8" t="s">
        <v>828</v>
      </c>
      <c r="D26" s="6">
        <f>'Construction Status'!Q35</f>
        <v>6731</v>
      </c>
      <c r="E26" s="6">
        <f t="shared" si="0"/>
        <v>14269</v>
      </c>
      <c r="F26" s="165">
        <v>0.02</v>
      </c>
      <c r="G26" s="113">
        <f t="shared" si="1"/>
        <v>6.4104761904761913E-3</v>
      </c>
      <c r="H26" s="18">
        <f t="shared" si="2"/>
        <v>0.32052380952380954</v>
      </c>
      <c r="I26" s="8">
        <v>0</v>
      </c>
      <c r="J26" s="8">
        <v>500</v>
      </c>
      <c r="K26" s="7">
        <v>180</v>
      </c>
      <c r="L26" s="7">
        <v>746</v>
      </c>
      <c r="N26" s="159"/>
      <c r="O26">
        <v>4</v>
      </c>
    </row>
    <row r="27" spans="1:15" ht="14.5" x14ac:dyDescent="0.35">
      <c r="A27" s="218" t="s">
        <v>24</v>
      </c>
      <c r="B27" s="8"/>
      <c r="C27" s="8"/>
      <c r="D27" s="9"/>
      <c r="E27" s="9"/>
      <c r="F27" s="164"/>
      <c r="G27" s="19"/>
      <c r="H27" s="19"/>
      <c r="I27" s="9"/>
      <c r="J27" s="9"/>
      <c r="K27" s="9"/>
      <c r="L27" s="9"/>
      <c r="N27" s="159"/>
      <c r="O27">
        <v>6</v>
      </c>
    </row>
    <row r="28" spans="1:15" ht="14.5" x14ac:dyDescent="0.35">
      <c r="A28" s="219" t="s">
        <v>25</v>
      </c>
      <c r="B28" s="8">
        <v>24</v>
      </c>
      <c r="C28" s="8" t="s">
        <v>2</v>
      </c>
      <c r="D28" s="9"/>
      <c r="E28" s="9"/>
      <c r="F28" s="165">
        <v>0.08</v>
      </c>
      <c r="G28" s="19"/>
      <c r="H28" s="19"/>
      <c r="I28" s="9"/>
      <c r="J28" s="9"/>
      <c r="K28" s="9"/>
      <c r="L28" s="9"/>
      <c r="N28" s="159"/>
      <c r="O28">
        <v>6</v>
      </c>
    </row>
    <row r="29" spans="1:15" ht="14.5" x14ac:dyDescent="0.35">
      <c r="A29" s="219" t="s">
        <v>26</v>
      </c>
      <c r="B29" s="8">
        <v>24</v>
      </c>
      <c r="C29" s="8" t="s">
        <v>2</v>
      </c>
      <c r="D29" s="9"/>
      <c r="E29" s="9"/>
      <c r="F29" s="165">
        <v>0.06</v>
      </c>
      <c r="G29" s="19"/>
      <c r="H29" s="19"/>
      <c r="I29" s="9"/>
      <c r="J29" s="9"/>
      <c r="K29" s="9"/>
      <c r="L29" s="9"/>
      <c r="N29" s="159"/>
      <c r="O29">
        <v>6</v>
      </c>
    </row>
    <row r="30" spans="1:15" ht="14.5" x14ac:dyDescent="0.35">
      <c r="A30" s="218" t="s">
        <v>14</v>
      </c>
      <c r="B30" s="9"/>
      <c r="C30" s="8"/>
      <c r="D30" s="9"/>
      <c r="E30" s="9"/>
      <c r="F30" s="164"/>
      <c r="G30" s="19"/>
      <c r="H30" s="19"/>
      <c r="I30" s="9"/>
      <c r="J30" s="9"/>
      <c r="K30" s="9"/>
      <c r="L30" s="9"/>
      <c r="N30" s="159"/>
      <c r="O30">
        <v>6</v>
      </c>
    </row>
    <row r="31" spans="1:15" ht="14.5" x14ac:dyDescent="0.35">
      <c r="A31" s="219" t="s">
        <v>27</v>
      </c>
      <c r="B31" s="8">
        <v>1360</v>
      </c>
      <c r="C31" s="8" t="s">
        <v>17</v>
      </c>
      <c r="D31" s="9"/>
      <c r="E31" s="9"/>
      <c r="F31" s="165">
        <v>0.02</v>
      </c>
      <c r="G31" s="19"/>
      <c r="H31" s="19"/>
      <c r="I31" s="9"/>
      <c r="J31" s="9"/>
      <c r="K31" s="9"/>
      <c r="L31" s="9"/>
      <c r="N31" s="159"/>
      <c r="O31">
        <v>4</v>
      </c>
    </row>
    <row r="32" spans="1:15" ht="14.5" x14ac:dyDescent="0.35">
      <c r="A32" s="219" t="s">
        <v>28</v>
      </c>
      <c r="B32" s="8">
        <v>1360</v>
      </c>
      <c r="C32" s="8" t="s">
        <v>17</v>
      </c>
      <c r="D32" s="9"/>
      <c r="E32" s="9"/>
      <c r="F32" s="165">
        <v>0.02</v>
      </c>
      <c r="G32" s="19"/>
      <c r="H32" s="19"/>
      <c r="I32" s="9"/>
      <c r="J32" s="9"/>
      <c r="K32" s="9"/>
      <c r="L32" s="9"/>
      <c r="N32" s="159"/>
    </row>
    <row r="33" spans="1:12" x14ac:dyDescent="0.3">
      <c r="A33" s="219" t="s">
        <v>46</v>
      </c>
      <c r="B33" s="8">
        <v>1360</v>
      </c>
      <c r="C33" s="8" t="s">
        <v>17</v>
      </c>
      <c r="D33" s="9"/>
      <c r="E33" s="9"/>
      <c r="F33" s="165">
        <v>0.03</v>
      </c>
      <c r="G33" s="19"/>
      <c r="H33" s="19"/>
      <c r="I33" s="9"/>
      <c r="J33" s="9"/>
      <c r="K33" s="9"/>
      <c r="L33" s="9"/>
    </row>
    <row r="34" spans="1:12" x14ac:dyDescent="0.3">
      <c r="A34" s="219" t="s">
        <v>29</v>
      </c>
      <c r="B34" s="8">
        <v>1360</v>
      </c>
      <c r="C34" s="8" t="s">
        <v>17</v>
      </c>
      <c r="D34" s="9"/>
      <c r="E34" s="9"/>
      <c r="F34" s="165">
        <v>2.5000000000000001E-2</v>
      </c>
      <c r="G34" s="19"/>
      <c r="H34" s="19"/>
      <c r="I34" s="9"/>
      <c r="J34" s="9"/>
      <c r="K34" s="9"/>
      <c r="L34" s="9"/>
    </row>
    <row r="35" spans="1:12" x14ac:dyDescent="0.3">
      <c r="A35" s="219" t="s">
        <v>55</v>
      </c>
      <c r="B35" s="8">
        <v>1360</v>
      </c>
      <c r="C35" s="8" t="s">
        <v>17</v>
      </c>
      <c r="D35" s="9"/>
      <c r="E35" s="9"/>
      <c r="F35" s="165">
        <v>0.04</v>
      </c>
      <c r="G35" s="19"/>
      <c r="H35" s="19"/>
      <c r="I35" s="9"/>
      <c r="J35" s="9"/>
      <c r="K35" s="9"/>
      <c r="L35" s="9"/>
    </row>
    <row r="36" spans="1:12" x14ac:dyDescent="0.3">
      <c r="A36" s="219" t="s">
        <v>56</v>
      </c>
      <c r="B36" s="8">
        <v>1360</v>
      </c>
      <c r="C36" s="8" t="s">
        <v>17</v>
      </c>
      <c r="D36" s="9"/>
      <c r="E36" s="9"/>
      <c r="F36" s="165">
        <v>0.02</v>
      </c>
      <c r="G36" s="19"/>
      <c r="H36" s="19"/>
      <c r="I36" s="9"/>
      <c r="J36" s="9"/>
      <c r="K36" s="9"/>
      <c r="L36" s="9"/>
    </row>
    <row r="37" spans="1:12" x14ac:dyDescent="0.3">
      <c r="A37" s="219" t="s">
        <v>47</v>
      </c>
      <c r="B37" s="8">
        <v>1360</v>
      </c>
      <c r="C37" s="8" t="s">
        <v>17</v>
      </c>
      <c r="D37" s="9"/>
      <c r="E37" s="9"/>
      <c r="F37" s="165">
        <v>0.02</v>
      </c>
      <c r="G37" s="19"/>
      <c r="H37" s="19"/>
      <c r="I37" s="9"/>
      <c r="J37" s="9"/>
      <c r="K37" s="9"/>
      <c r="L37" s="9"/>
    </row>
    <row r="38" spans="1:12" x14ac:dyDescent="0.3">
      <c r="A38" s="218" t="s">
        <v>15</v>
      </c>
      <c r="B38" s="9"/>
      <c r="C38" s="8"/>
      <c r="D38" s="9"/>
      <c r="E38" s="9"/>
      <c r="F38" s="164"/>
      <c r="G38" s="19"/>
      <c r="H38" s="19"/>
      <c r="I38" s="9"/>
      <c r="J38" s="9"/>
      <c r="K38" s="9"/>
      <c r="L38" s="9"/>
    </row>
    <row r="39" spans="1:12" x14ac:dyDescent="0.3">
      <c r="A39" s="219" t="s">
        <v>30</v>
      </c>
      <c r="B39" s="8">
        <v>24</v>
      </c>
      <c r="C39" s="8" t="s">
        <v>2</v>
      </c>
      <c r="D39" s="9"/>
      <c r="E39" s="9"/>
      <c r="F39" s="165">
        <v>0.02</v>
      </c>
      <c r="G39" s="19"/>
      <c r="H39" s="19"/>
      <c r="I39" s="9"/>
      <c r="J39" s="9"/>
      <c r="K39" s="9"/>
      <c r="L39" s="9"/>
    </row>
    <row r="40" spans="1:12" x14ac:dyDescent="0.3">
      <c r="A40" s="219" t="s">
        <v>31</v>
      </c>
      <c r="B40" s="8">
        <v>24</v>
      </c>
      <c r="C40" s="8" t="s">
        <v>2</v>
      </c>
      <c r="D40" s="9"/>
      <c r="E40" s="9"/>
      <c r="F40" s="165">
        <v>0.02</v>
      </c>
      <c r="G40" s="19"/>
      <c r="H40" s="19"/>
      <c r="I40" s="9"/>
      <c r="J40" s="9"/>
      <c r="K40" s="9"/>
      <c r="L40" s="9"/>
    </row>
    <row r="41" spans="1:12" x14ac:dyDescent="0.3">
      <c r="A41" s="219" t="s">
        <v>32</v>
      </c>
      <c r="B41" s="8">
        <v>24</v>
      </c>
      <c r="C41" s="8" t="s">
        <v>2</v>
      </c>
      <c r="D41" s="9"/>
      <c r="E41" s="9"/>
      <c r="F41" s="165">
        <v>0.04</v>
      </c>
      <c r="G41" s="19"/>
      <c r="H41" s="19"/>
      <c r="I41" s="9"/>
      <c r="J41" s="9"/>
      <c r="K41" s="9"/>
      <c r="L41" s="9"/>
    </row>
    <row r="42" spans="1:12" x14ac:dyDescent="0.3">
      <c r="A42" s="219" t="s">
        <v>33</v>
      </c>
      <c r="B42" s="8">
        <v>24</v>
      </c>
      <c r="C42" s="8" t="s">
        <v>2</v>
      </c>
      <c r="D42" s="9"/>
      <c r="E42" s="9"/>
      <c r="F42" s="165">
        <v>0.01</v>
      </c>
      <c r="G42" s="19"/>
      <c r="H42" s="19"/>
      <c r="I42" s="9"/>
      <c r="J42" s="9"/>
      <c r="K42" s="9"/>
      <c r="L42" s="9"/>
    </row>
    <row r="43" spans="1:12" x14ac:dyDescent="0.3">
      <c r="A43" s="219" t="s">
        <v>34</v>
      </c>
      <c r="B43" s="8">
        <v>24</v>
      </c>
      <c r="C43" s="8" t="s">
        <v>2</v>
      </c>
      <c r="D43" s="9"/>
      <c r="E43" s="9"/>
      <c r="F43" s="165">
        <v>0.01</v>
      </c>
      <c r="G43" s="19"/>
      <c r="H43" s="19"/>
      <c r="I43" s="9"/>
      <c r="J43" s="9"/>
      <c r="K43" s="9"/>
      <c r="L43" s="9"/>
    </row>
    <row r="44" spans="1:12" x14ac:dyDescent="0.3">
      <c r="A44" s="219" t="s">
        <v>16</v>
      </c>
      <c r="B44" s="8">
        <v>24</v>
      </c>
      <c r="C44" s="8" t="s">
        <v>2</v>
      </c>
      <c r="D44" s="9"/>
      <c r="E44" s="9"/>
      <c r="F44" s="165">
        <v>0.02</v>
      </c>
      <c r="G44" s="19"/>
      <c r="H44" s="19"/>
      <c r="I44" s="9"/>
      <c r="J44" s="9"/>
      <c r="K44" s="9"/>
      <c r="L44" s="9"/>
    </row>
    <row r="45" spans="1:12" x14ac:dyDescent="0.3">
      <c r="A45" s="219" t="s">
        <v>35</v>
      </c>
      <c r="B45" s="8">
        <v>24</v>
      </c>
      <c r="C45" s="8" t="s">
        <v>2</v>
      </c>
      <c r="D45" s="9"/>
      <c r="E45" s="9"/>
      <c r="F45" s="165">
        <v>0.01</v>
      </c>
      <c r="G45" s="19"/>
      <c r="H45" s="19"/>
      <c r="I45" s="9"/>
      <c r="J45" s="9"/>
      <c r="K45" s="9"/>
      <c r="L45" s="9"/>
    </row>
    <row r="46" spans="1:12" x14ac:dyDescent="0.3">
      <c r="A46" s="218" t="s">
        <v>36</v>
      </c>
      <c r="B46" s="9"/>
      <c r="C46" s="8"/>
      <c r="D46" s="9"/>
      <c r="E46" s="9"/>
      <c r="F46" s="164"/>
      <c r="G46" s="19"/>
      <c r="H46" s="19"/>
      <c r="I46" s="9"/>
      <c r="J46" s="9"/>
      <c r="K46" s="9"/>
      <c r="L46" s="9"/>
    </row>
    <row r="47" spans="1:12" x14ac:dyDescent="0.3">
      <c r="A47" s="219" t="s">
        <v>37</v>
      </c>
      <c r="B47" s="8">
        <v>1173</v>
      </c>
      <c r="C47" s="8" t="s">
        <v>13</v>
      </c>
      <c r="D47" s="9"/>
      <c r="E47" s="9"/>
      <c r="F47" s="165">
        <v>0.02</v>
      </c>
      <c r="G47" s="19"/>
      <c r="H47" s="19"/>
      <c r="I47" s="9"/>
      <c r="J47" s="9"/>
      <c r="K47" s="9"/>
      <c r="L47" s="9"/>
    </row>
    <row r="48" spans="1:12" x14ac:dyDescent="0.3">
      <c r="A48" s="219" t="s">
        <v>38</v>
      </c>
      <c r="B48" s="8">
        <v>24</v>
      </c>
      <c r="C48" s="8" t="s">
        <v>2</v>
      </c>
      <c r="D48" s="9"/>
      <c r="E48" s="9"/>
      <c r="F48" s="165">
        <v>0.02</v>
      </c>
      <c r="G48" s="19"/>
      <c r="H48" s="19"/>
      <c r="I48" s="9"/>
      <c r="J48" s="9"/>
      <c r="K48" s="9"/>
      <c r="L48" s="9"/>
    </row>
    <row r="49" spans="1:12" x14ac:dyDescent="0.3">
      <c r="A49" s="218" t="s">
        <v>39</v>
      </c>
      <c r="B49" s="9"/>
      <c r="C49" s="8"/>
      <c r="D49" s="9"/>
      <c r="E49" s="9"/>
      <c r="F49" s="165"/>
      <c r="G49" s="19"/>
      <c r="H49" s="19"/>
      <c r="I49" s="9"/>
      <c r="J49" s="9"/>
      <c r="K49" s="9"/>
      <c r="L49" s="9"/>
    </row>
    <row r="50" spans="1:12" x14ac:dyDescent="0.3">
      <c r="A50" s="219" t="s">
        <v>40</v>
      </c>
      <c r="B50" s="8">
        <v>1</v>
      </c>
      <c r="C50" s="8" t="s">
        <v>11</v>
      </c>
      <c r="D50" s="9"/>
      <c r="E50" s="9"/>
      <c r="F50" s="165">
        <v>5.0000000000000001E-3</v>
      </c>
      <c r="G50" s="19"/>
      <c r="H50" s="19"/>
      <c r="I50" s="9"/>
      <c r="J50" s="9"/>
      <c r="K50" s="9"/>
      <c r="L50" s="9"/>
    </row>
    <row r="51" spans="1:12" x14ac:dyDescent="0.3">
      <c r="A51" s="219" t="s">
        <v>41</v>
      </c>
      <c r="B51" s="8">
        <v>1</v>
      </c>
      <c r="C51" s="8" t="s">
        <v>11</v>
      </c>
      <c r="D51" s="9"/>
      <c r="E51" s="9"/>
      <c r="F51" s="165">
        <v>0.01</v>
      </c>
      <c r="G51" s="19"/>
      <c r="H51" s="19"/>
      <c r="I51" s="9"/>
      <c r="J51" s="9"/>
      <c r="K51" s="9"/>
      <c r="L51" s="9"/>
    </row>
    <row r="52" spans="1:12" x14ac:dyDescent="0.3">
      <c r="A52" s="219" t="s">
        <v>296</v>
      </c>
      <c r="B52" s="8">
        <v>1</v>
      </c>
      <c r="C52" s="8" t="s">
        <v>11</v>
      </c>
      <c r="D52" s="9"/>
      <c r="E52" s="9"/>
      <c r="F52" s="165">
        <v>2.5000000000000001E-3</v>
      </c>
      <c r="G52" s="19"/>
      <c r="H52" s="19"/>
      <c r="I52" s="9"/>
      <c r="J52" s="9"/>
      <c r="K52" s="9"/>
      <c r="L52" s="9"/>
    </row>
    <row r="53" spans="1:12" x14ac:dyDescent="0.3">
      <c r="A53" s="219" t="s">
        <v>42</v>
      </c>
      <c r="B53" s="8">
        <v>1</v>
      </c>
      <c r="C53" s="8" t="s">
        <v>11</v>
      </c>
      <c r="D53" s="9"/>
      <c r="E53" s="9"/>
      <c r="F53" s="165">
        <v>2.5000000000000001E-3</v>
      </c>
      <c r="G53" s="19"/>
      <c r="H53" s="19"/>
      <c r="I53" s="9"/>
      <c r="J53" s="9"/>
      <c r="K53" s="9"/>
      <c r="L53" s="9"/>
    </row>
    <row r="54" spans="1:12" x14ac:dyDescent="0.3">
      <c r="A54" s="218" t="s">
        <v>53</v>
      </c>
      <c r="B54" s="9"/>
      <c r="C54" s="8"/>
      <c r="D54" s="9"/>
      <c r="E54" s="9"/>
      <c r="F54" s="165"/>
      <c r="G54" s="19"/>
      <c r="H54" s="19"/>
      <c r="I54" s="9"/>
      <c r="J54" s="9"/>
      <c r="K54" s="9"/>
      <c r="L54" s="9"/>
    </row>
    <row r="55" spans="1:12" x14ac:dyDescent="0.3">
      <c r="A55" s="219" t="s">
        <v>43</v>
      </c>
      <c r="B55" s="8">
        <v>100</v>
      </c>
      <c r="C55" s="8" t="s">
        <v>12</v>
      </c>
      <c r="D55" s="9"/>
      <c r="E55" s="9"/>
      <c r="F55" s="165">
        <v>0.01</v>
      </c>
      <c r="G55" s="19"/>
      <c r="H55" s="19"/>
      <c r="I55" s="9"/>
      <c r="J55" s="9"/>
      <c r="K55" s="9"/>
      <c r="L55" s="9"/>
    </row>
    <row r="56" spans="1:12" x14ac:dyDescent="0.3">
      <c r="A56" s="219" t="s">
        <v>44</v>
      </c>
      <c r="B56" s="8">
        <v>100</v>
      </c>
      <c r="C56" s="8" t="s">
        <v>12</v>
      </c>
      <c r="D56" s="9"/>
      <c r="E56" s="9"/>
      <c r="F56" s="165">
        <v>0.01</v>
      </c>
      <c r="G56" s="19"/>
      <c r="H56" s="19"/>
      <c r="I56" s="9"/>
      <c r="J56" s="9"/>
      <c r="K56" s="9"/>
      <c r="L56" s="9"/>
    </row>
    <row r="57" spans="1:12" x14ac:dyDescent="0.3">
      <c r="A57" s="219" t="s">
        <v>45</v>
      </c>
      <c r="B57" s="8">
        <v>100</v>
      </c>
      <c r="C57" s="8" t="s">
        <v>12</v>
      </c>
      <c r="D57" s="9"/>
      <c r="E57" s="9"/>
      <c r="F57" s="165">
        <v>0.01</v>
      </c>
      <c r="G57" s="19"/>
      <c r="H57" s="19"/>
      <c r="I57" s="9"/>
      <c r="J57" s="9"/>
      <c r="K57" s="9"/>
      <c r="L57" s="9"/>
    </row>
    <row r="58" spans="1:12" x14ac:dyDescent="0.3">
      <c r="A58" s="219" t="s">
        <v>54</v>
      </c>
      <c r="B58" s="8">
        <v>100</v>
      </c>
      <c r="C58" s="8" t="s">
        <v>12</v>
      </c>
      <c r="D58" s="9"/>
      <c r="E58" s="9"/>
      <c r="F58" s="165">
        <v>0.01</v>
      </c>
      <c r="G58" s="19"/>
      <c r="H58" s="19"/>
      <c r="I58" s="9"/>
      <c r="J58" s="9"/>
      <c r="K58" s="9"/>
      <c r="L58" s="9"/>
    </row>
    <row r="59" spans="1:12" x14ac:dyDescent="0.3">
      <c r="A59" s="9"/>
      <c r="B59" s="9"/>
      <c r="C59" s="8"/>
      <c r="D59" s="9"/>
      <c r="E59" s="9"/>
      <c r="F59" s="220">
        <f>SUM(F11:F58)</f>
        <v>1.0000000000000002</v>
      </c>
      <c r="G59" s="220">
        <f>SUM(G11:G58)</f>
        <v>9.4575570149901006E-2</v>
      </c>
      <c r="H59" s="9"/>
      <c r="I59" s="9"/>
      <c r="J59" s="9"/>
      <c r="K59" s="9"/>
      <c r="L59" s="9"/>
    </row>
    <row r="60" spans="1:12" x14ac:dyDescent="0.3">
      <c r="G60" s="17"/>
    </row>
    <row r="70" spans="2:3" x14ac:dyDescent="0.3">
      <c r="B70" s="20"/>
      <c r="C70" s="99"/>
    </row>
    <row r="71" spans="2:3" x14ac:dyDescent="0.3">
      <c r="B71" s="20" t="s">
        <v>9</v>
      </c>
      <c r="C71" s="21">
        <f>F59</f>
        <v>1.0000000000000002</v>
      </c>
    </row>
    <row r="72" spans="2:3" x14ac:dyDescent="0.3">
      <c r="B72" s="20" t="s">
        <v>60</v>
      </c>
      <c r="C72" s="21">
        <f>G59</f>
        <v>9.4575570149901006E-2</v>
      </c>
    </row>
    <row r="73" spans="2:3" x14ac:dyDescent="0.3">
      <c r="B73" s="20" t="s">
        <v>8</v>
      </c>
      <c r="C73" s="21">
        <f>C71-C72</f>
        <v>0.90542442985009919</v>
      </c>
    </row>
    <row r="74" spans="2:3" x14ac:dyDescent="0.3">
      <c r="B74" s="20"/>
      <c r="C74" s="99"/>
    </row>
    <row r="75" spans="2:3" x14ac:dyDescent="0.3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" x14ac:dyDescent="0.3"/>
  <cols>
    <col min="1" max="1" width="12.75" bestFit="1" customWidth="1"/>
    <col min="2" max="9" width="5.9140625" bestFit="1" customWidth="1"/>
    <col min="10" max="11" width="6.9140625" bestFit="1" customWidth="1"/>
    <col min="12" max="22" width="5.9140625" bestFit="1" customWidth="1"/>
    <col min="31" max="31" width="5.9140625" bestFit="1" customWidth="1"/>
    <col min="32" max="32" width="13.83203125" bestFit="1" customWidth="1"/>
    <col min="33" max="33" width="17.75" bestFit="1" customWidth="1"/>
  </cols>
  <sheetData>
    <row r="2" spans="1:43" s="10" customFormat="1" x14ac:dyDescent="0.3">
      <c r="A2" s="170" t="s">
        <v>10</v>
      </c>
      <c r="B2" s="171">
        <v>45754</v>
      </c>
      <c r="C2" s="171">
        <v>45755</v>
      </c>
      <c r="D2" s="171">
        <v>45756</v>
      </c>
      <c r="E2" s="171">
        <v>45757</v>
      </c>
      <c r="F2" s="171">
        <v>45758</v>
      </c>
      <c r="G2" s="171">
        <v>45759</v>
      </c>
      <c r="H2" s="171">
        <v>45760</v>
      </c>
      <c r="I2" s="171">
        <v>45761</v>
      </c>
      <c r="J2" s="171">
        <v>45762</v>
      </c>
      <c r="K2" s="171">
        <v>45763</v>
      </c>
      <c r="L2" s="171">
        <v>45764</v>
      </c>
      <c r="M2" s="171">
        <v>45765</v>
      </c>
      <c r="N2" s="171">
        <v>45766</v>
      </c>
      <c r="O2" s="171">
        <v>45767</v>
      </c>
      <c r="P2" s="171">
        <v>45768</v>
      </c>
      <c r="Q2" s="171">
        <v>45769</v>
      </c>
      <c r="R2" s="171">
        <v>45770</v>
      </c>
      <c r="S2" s="171">
        <v>45771</v>
      </c>
      <c r="T2" s="171">
        <v>45772</v>
      </c>
      <c r="U2" s="171">
        <v>45773</v>
      </c>
      <c r="V2" s="171">
        <v>45774</v>
      </c>
      <c r="W2" s="171">
        <v>45775</v>
      </c>
      <c r="X2" s="171">
        <v>45776</v>
      </c>
      <c r="Y2" s="171">
        <v>45777</v>
      </c>
      <c r="Z2" s="171">
        <v>45778</v>
      </c>
      <c r="AA2" s="171">
        <v>45779</v>
      </c>
      <c r="AB2" s="171">
        <v>45780</v>
      </c>
      <c r="AC2" s="171">
        <v>45781</v>
      </c>
      <c r="AD2" s="171">
        <v>45782</v>
      </c>
      <c r="AE2" s="171">
        <v>45783</v>
      </c>
      <c r="AF2" s="171">
        <v>45784</v>
      </c>
      <c r="AG2" s="171">
        <v>45785</v>
      </c>
      <c r="AH2" s="171">
        <v>45786</v>
      </c>
      <c r="AI2" s="171">
        <v>45787</v>
      </c>
      <c r="AJ2" s="171">
        <v>45788</v>
      </c>
      <c r="AK2" s="171">
        <v>45789</v>
      </c>
      <c r="AL2" s="171">
        <v>45790</v>
      </c>
      <c r="AM2" s="171">
        <v>45791</v>
      </c>
    </row>
    <row r="3" spans="1:43" s="10" customFormat="1" x14ac:dyDescent="0.3">
      <c r="A3" s="170" t="s">
        <v>409</v>
      </c>
      <c r="B3" s="172">
        <v>1</v>
      </c>
      <c r="C3" s="172">
        <v>1</v>
      </c>
      <c r="D3" s="172">
        <v>1</v>
      </c>
      <c r="E3" s="172">
        <v>1</v>
      </c>
      <c r="F3" s="172">
        <v>2</v>
      </c>
      <c r="G3" s="173">
        <v>2</v>
      </c>
      <c r="H3" s="173">
        <v>1</v>
      </c>
      <c r="I3" s="173">
        <v>1</v>
      </c>
      <c r="J3" s="174"/>
      <c r="K3" s="174"/>
      <c r="L3" s="173">
        <v>4</v>
      </c>
      <c r="M3" s="173">
        <v>4</v>
      </c>
      <c r="N3" s="173">
        <v>4</v>
      </c>
      <c r="O3" s="173">
        <v>4</v>
      </c>
      <c r="P3" s="173">
        <v>4</v>
      </c>
      <c r="Q3" s="173">
        <v>6</v>
      </c>
      <c r="R3" s="173">
        <v>6</v>
      </c>
      <c r="S3" s="173">
        <v>6</v>
      </c>
      <c r="T3" s="173">
        <v>6</v>
      </c>
      <c r="U3" s="173">
        <v>4</v>
      </c>
      <c r="V3" s="173">
        <v>4</v>
      </c>
      <c r="W3" s="175">
        <v>4</v>
      </c>
      <c r="X3" s="175">
        <v>6</v>
      </c>
      <c r="Y3" s="175">
        <v>6</v>
      </c>
      <c r="Z3" s="175">
        <v>4</v>
      </c>
      <c r="AA3" s="175">
        <v>4</v>
      </c>
      <c r="AB3" s="175">
        <v>6</v>
      </c>
      <c r="AC3" s="175">
        <v>6</v>
      </c>
      <c r="AD3" s="175">
        <v>6</v>
      </c>
      <c r="AE3" s="173">
        <v>5</v>
      </c>
      <c r="AF3" s="175">
        <v>4</v>
      </c>
      <c r="AG3" s="175">
        <v>3</v>
      </c>
      <c r="AH3" s="175">
        <v>5</v>
      </c>
      <c r="AI3" s="175">
        <v>5</v>
      </c>
      <c r="AJ3" s="175">
        <v>5</v>
      </c>
      <c r="AK3" s="175">
        <v>4</v>
      </c>
      <c r="AL3" s="175">
        <v>6</v>
      </c>
      <c r="AM3" s="175"/>
      <c r="AP3" s="176">
        <f>SUM(B3:AK3)</f>
        <v>135</v>
      </c>
    </row>
    <row r="4" spans="1:43" s="10" customFormat="1" x14ac:dyDescent="0.3">
      <c r="A4" s="170" t="s">
        <v>410</v>
      </c>
      <c r="B4" s="175">
        <f>'Construction Status'!Z4</f>
        <v>1.5</v>
      </c>
      <c r="C4" s="175">
        <f>'Construction Status'!AA4</f>
        <v>3.5</v>
      </c>
      <c r="D4" s="175">
        <f>'Construction Status'!AB4</f>
        <v>4</v>
      </c>
      <c r="E4" s="175">
        <f>'Construction Status'!AC4</f>
        <v>4</v>
      </c>
      <c r="F4" s="175">
        <f>'Construction Status'!AD4</f>
        <v>4</v>
      </c>
      <c r="G4" s="175">
        <f>'Construction Status'!AE4</f>
        <v>4</v>
      </c>
      <c r="H4" s="175">
        <f>'Construction Status'!AF4</f>
        <v>3</v>
      </c>
      <c r="I4" s="175">
        <f>'Construction Status'!AG4</f>
        <v>2</v>
      </c>
      <c r="J4" s="175">
        <f>'Construction Status'!AH4</f>
        <v>0</v>
      </c>
      <c r="K4" s="175">
        <f>'Construction Status'!AI4-10</f>
        <v>0</v>
      </c>
      <c r="L4" s="175">
        <f>'Construction Status'!AJ4</f>
        <v>20</v>
      </c>
      <c r="M4" s="175">
        <f>'Construction Status'!AK4</f>
        <v>20</v>
      </c>
      <c r="N4" s="175">
        <f>'Construction Status'!AL4+5</f>
        <v>25</v>
      </c>
      <c r="O4" s="175">
        <f>'Construction Status'!AM4+5</f>
        <v>26</v>
      </c>
      <c r="P4" s="175">
        <f>'Construction Status'!AN4</f>
        <v>40</v>
      </c>
      <c r="Q4" s="175">
        <f>'Construction Status'!AO4</f>
        <v>40</v>
      </c>
      <c r="R4" s="175">
        <f>'Construction Status'!AP4</f>
        <v>40</v>
      </c>
      <c r="S4" s="175">
        <f>'Construction Status'!AQ4</f>
        <v>38</v>
      </c>
      <c r="T4" s="175">
        <f>'Construction Status'!AR4</f>
        <v>0</v>
      </c>
      <c r="U4" s="175">
        <f>'Construction Status'!AS4</f>
        <v>0</v>
      </c>
      <c r="V4" s="175">
        <f>'Construction Status'!AT4</f>
        <v>0</v>
      </c>
      <c r="W4" s="175">
        <f>'Construction Status'!AU4</f>
        <v>0</v>
      </c>
      <c r="X4" s="175">
        <f>'Construction Status'!AV4</f>
        <v>0</v>
      </c>
      <c r="Y4" s="175">
        <f>'Construction Status'!AW4</f>
        <v>0</v>
      </c>
      <c r="Z4" s="175">
        <f>'Construction Status'!AX4</f>
        <v>0</v>
      </c>
      <c r="AA4" s="175">
        <f>'Construction Status'!AY4</f>
        <v>0</v>
      </c>
      <c r="AB4" s="175">
        <f>'Construction Status'!AZ4</f>
        <v>0</v>
      </c>
      <c r="AC4" s="175">
        <f>'Construction Status'!BA4</f>
        <v>0</v>
      </c>
      <c r="AD4" s="175"/>
      <c r="AE4" s="175"/>
      <c r="AF4" s="175">
        <v>5</v>
      </c>
      <c r="AG4" s="175">
        <v>10</v>
      </c>
      <c r="AH4" s="175">
        <v>10</v>
      </c>
      <c r="AI4" s="175">
        <v>5</v>
      </c>
      <c r="AJ4" s="175">
        <v>7</v>
      </c>
      <c r="AK4" s="175">
        <v>5</v>
      </c>
      <c r="AL4" s="175"/>
      <c r="AM4" s="175"/>
      <c r="AP4" s="176">
        <f>SUM(B4:AK4)</f>
        <v>317</v>
      </c>
      <c r="AQ4" s="177">
        <f>AP4/AP3</f>
        <v>2.3481481481481481</v>
      </c>
    </row>
    <row r="5" spans="1:43" s="10" customFormat="1" x14ac:dyDescent="0.3">
      <c r="A5" s="170" t="s">
        <v>411</v>
      </c>
      <c r="B5" s="175">
        <f>'Construction Status'!Z5</f>
        <v>0</v>
      </c>
      <c r="C5" s="175">
        <f>'Construction Status'!AA5</f>
        <v>0</v>
      </c>
      <c r="D5" s="175">
        <f>'Construction Status'!AB5</f>
        <v>0</v>
      </c>
      <c r="E5" s="175">
        <f>'Construction Status'!AC5</f>
        <v>0</v>
      </c>
      <c r="F5" s="175">
        <f>'Construction Status'!AD5</f>
        <v>0</v>
      </c>
      <c r="G5" s="175">
        <f>'Construction Status'!AE5</f>
        <v>0</v>
      </c>
      <c r="H5" s="175">
        <f>'Construction Status'!AF5</f>
        <v>0</v>
      </c>
      <c r="I5" s="175">
        <f>'Construction Status'!AG5</f>
        <v>0</v>
      </c>
      <c r="J5" s="175">
        <f>'Construction Status'!AH5</f>
        <v>0</v>
      </c>
      <c r="K5" s="175">
        <f>'Construction Status'!AI5</f>
        <v>0</v>
      </c>
      <c r="L5" s="175">
        <f>'Construction Status'!AJ5</f>
        <v>0</v>
      </c>
      <c r="M5" s="175">
        <f>'Construction Status'!AK5</f>
        <v>0</v>
      </c>
      <c r="N5" s="175">
        <f>'Construction Status'!AL5</f>
        <v>0</v>
      </c>
      <c r="O5" s="175">
        <f>'Construction Status'!AM5</f>
        <v>0</v>
      </c>
      <c r="P5" s="175">
        <f>'Construction Status'!AN5</f>
        <v>0</v>
      </c>
      <c r="Q5" s="175">
        <f>'Construction Status'!AO5</f>
        <v>0</v>
      </c>
      <c r="R5" s="175">
        <f>'Construction Status'!AP5</f>
        <v>0</v>
      </c>
      <c r="S5" s="175">
        <f>'Construction Status'!AQ5</f>
        <v>0</v>
      </c>
      <c r="T5" s="175">
        <f>'Construction Status'!AR5</f>
        <v>10</v>
      </c>
      <c r="U5" s="175">
        <f>'Construction Status'!AS5</f>
        <v>10</v>
      </c>
      <c r="V5" s="175">
        <f>'Construction Status'!AT5</f>
        <v>10</v>
      </c>
      <c r="W5" s="175">
        <f>'Construction Status'!AU5</f>
        <v>10</v>
      </c>
      <c r="X5" s="175">
        <f>'Construction Status'!AV5</f>
        <v>12</v>
      </c>
      <c r="Y5" s="175">
        <f>'Construction Status'!AW5</f>
        <v>13</v>
      </c>
      <c r="Z5" s="175">
        <f>'Construction Status'!AX5</f>
        <v>10</v>
      </c>
      <c r="AA5" s="175">
        <f>'Construction Status'!AY5</f>
        <v>12</v>
      </c>
      <c r="AB5" s="175">
        <f>'Construction Status'!AZ5</f>
        <v>11</v>
      </c>
      <c r="AC5" s="175">
        <f>'Construction Status'!BA5</f>
        <v>20</v>
      </c>
      <c r="AD5" s="175">
        <v>14</v>
      </c>
      <c r="AE5" s="175">
        <v>16</v>
      </c>
      <c r="AF5" s="175">
        <v>16</v>
      </c>
      <c r="AG5" s="175">
        <v>10</v>
      </c>
      <c r="AH5" s="175">
        <v>10</v>
      </c>
      <c r="AI5" s="175">
        <v>5</v>
      </c>
      <c r="AJ5" s="175">
        <v>7</v>
      </c>
      <c r="AK5" s="175">
        <v>5</v>
      </c>
      <c r="AL5" s="175"/>
      <c r="AM5" s="175"/>
      <c r="AP5" s="176">
        <f>SUM(T3:AK3)</f>
        <v>87</v>
      </c>
    </row>
    <row r="6" spans="1:43" s="10" customFormat="1" x14ac:dyDescent="0.3">
      <c r="A6" s="178" t="s">
        <v>412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P6" s="176">
        <f>SUM(B5:AK5)</f>
        <v>201</v>
      </c>
      <c r="AQ6" s="177">
        <f>AP6/AP5</f>
        <v>2.3103448275862069</v>
      </c>
    </row>
    <row r="7" spans="1:43" s="10" customFormat="1" x14ac:dyDescent="0.3">
      <c r="A7" s="170" t="s">
        <v>410</v>
      </c>
      <c r="B7" s="180">
        <f>B4/B3</f>
        <v>1.5</v>
      </c>
      <c r="C7" s="180">
        <f t="shared" ref="C7:S7" si="0">C4/C3</f>
        <v>3.5</v>
      </c>
      <c r="D7" s="180">
        <f t="shared" si="0"/>
        <v>4</v>
      </c>
      <c r="E7" s="180">
        <f t="shared" si="0"/>
        <v>4</v>
      </c>
      <c r="F7" s="180">
        <f t="shared" si="0"/>
        <v>2</v>
      </c>
      <c r="G7" s="180">
        <f t="shared" si="0"/>
        <v>2</v>
      </c>
      <c r="H7" s="180">
        <f t="shared" si="0"/>
        <v>3</v>
      </c>
      <c r="I7" s="180">
        <f t="shared" si="0"/>
        <v>2</v>
      </c>
      <c r="J7" s="180"/>
      <c r="K7" s="180"/>
      <c r="L7" s="180">
        <f t="shared" si="0"/>
        <v>5</v>
      </c>
      <c r="M7" s="180">
        <f t="shared" si="0"/>
        <v>5</v>
      </c>
      <c r="N7" s="180">
        <f t="shared" si="0"/>
        <v>6.25</v>
      </c>
      <c r="O7" s="180">
        <f t="shared" si="0"/>
        <v>6.5</v>
      </c>
      <c r="P7" s="180">
        <f t="shared" si="0"/>
        <v>10</v>
      </c>
      <c r="Q7" s="180">
        <f t="shared" si="0"/>
        <v>6.666666666666667</v>
      </c>
      <c r="R7" s="180">
        <f t="shared" si="0"/>
        <v>6.666666666666667</v>
      </c>
      <c r="S7" s="180">
        <f t="shared" si="0"/>
        <v>6.333333333333333</v>
      </c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43" s="10" customFormat="1" x14ac:dyDescent="0.3">
      <c r="A8" s="170" t="s">
        <v>411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80">
        <f>T5/T3</f>
        <v>1.6666666666666667</v>
      </c>
      <c r="U8" s="180">
        <f t="shared" ref="U8:AD8" si="1">U5/U3</f>
        <v>2.5</v>
      </c>
      <c r="V8" s="180">
        <f t="shared" si="1"/>
        <v>2.5</v>
      </c>
      <c r="W8" s="180">
        <f t="shared" si="1"/>
        <v>2.5</v>
      </c>
      <c r="X8" s="180">
        <f t="shared" si="1"/>
        <v>2</v>
      </c>
      <c r="Y8" s="180">
        <f t="shared" si="1"/>
        <v>2.1666666666666665</v>
      </c>
      <c r="Z8" s="180">
        <f t="shared" si="1"/>
        <v>2.5</v>
      </c>
      <c r="AA8" s="180">
        <f t="shared" si="1"/>
        <v>3</v>
      </c>
      <c r="AB8" s="180">
        <f t="shared" si="1"/>
        <v>1.8333333333333333</v>
      </c>
      <c r="AC8" s="180">
        <f t="shared" si="1"/>
        <v>3.3333333333333335</v>
      </c>
      <c r="AD8" s="180">
        <f t="shared" si="1"/>
        <v>2.3333333333333335</v>
      </c>
      <c r="AE8" s="180">
        <f t="shared" ref="AE8:AM8" si="2">AE5/AE3</f>
        <v>3.2</v>
      </c>
      <c r="AF8" s="180">
        <f t="shared" si="2"/>
        <v>4</v>
      </c>
      <c r="AG8" s="180">
        <f t="shared" si="2"/>
        <v>3.3333333333333335</v>
      </c>
      <c r="AH8" s="180">
        <f t="shared" si="2"/>
        <v>2</v>
      </c>
      <c r="AI8" s="180">
        <f t="shared" si="2"/>
        <v>1</v>
      </c>
      <c r="AJ8" s="180">
        <f t="shared" si="2"/>
        <v>1.4</v>
      </c>
      <c r="AK8" s="180">
        <f t="shared" si="2"/>
        <v>1.25</v>
      </c>
      <c r="AL8" s="180">
        <f t="shared" si="2"/>
        <v>0</v>
      </c>
      <c r="AM8" s="180" t="e">
        <f t="shared" si="2"/>
        <v>#DIV/0!</v>
      </c>
    </row>
    <row r="10" spans="1:43" x14ac:dyDescent="0.3">
      <c r="A10" s="181" t="s">
        <v>413</v>
      </c>
    </row>
    <row r="11" spans="1:43" x14ac:dyDescent="0.3">
      <c r="A11" s="181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">
      <c r="AC13" t="s">
        <v>415</v>
      </c>
      <c r="AE13" t="s">
        <v>8</v>
      </c>
      <c r="AF13" t="s">
        <v>414</v>
      </c>
      <c r="AG13" t="s">
        <v>416</v>
      </c>
    </row>
    <row r="14" spans="1:43" x14ac:dyDescent="0.3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6">
        <f>AE14/AF14</f>
        <v>10.684210526315789</v>
      </c>
    </row>
    <row r="16" spans="1:43" x14ac:dyDescent="0.3">
      <c r="AC16" t="s">
        <v>4</v>
      </c>
    </row>
    <row r="17" spans="29:33" x14ac:dyDescent="0.3">
      <c r="AC17">
        <v>250</v>
      </c>
      <c r="AD17">
        <v>121</v>
      </c>
      <c r="AE17">
        <f>AC17-AD17</f>
        <v>129</v>
      </c>
      <c r="AF17">
        <f>AF14</f>
        <v>19</v>
      </c>
      <c r="AG17" s="186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47FD-F042-4FE0-A767-36677AD3CEBD}">
  <dimension ref="A1:V326"/>
  <sheetViews>
    <sheetView workbookViewId="0">
      <selection activeCell="G3" sqref="G3:G6"/>
    </sheetView>
  </sheetViews>
  <sheetFormatPr defaultRowHeight="14" x14ac:dyDescent="0.3"/>
  <cols>
    <col min="1" max="1" width="5.6640625" customWidth="1"/>
    <col min="2" max="2" width="6.6640625" customWidth="1"/>
    <col min="3" max="3" width="9.08203125" customWidth="1"/>
    <col min="4" max="4" width="25.4140625" customWidth="1"/>
    <col min="5" max="5" width="13.9140625" customWidth="1"/>
    <col min="7" max="8" width="15.83203125" bestFit="1" customWidth="1"/>
    <col min="9" max="9" width="16.58203125" bestFit="1" customWidth="1"/>
    <col min="10" max="11" width="8.83203125" style="351" hidden="1" customWidth="1"/>
    <col min="13" max="14" width="15.83203125" bestFit="1" customWidth="1"/>
    <col min="16" max="17" width="8.83203125" bestFit="1" customWidth="1"/>
    <col min="18" max="18" width="15.5" bestFit="1" customWidth="1"/>
    <col min="21" max="21" width="16.5" customWidth="1"/>
    <col min="22" max="22" width="16.58203125" hidden="1" customWidth="1"/>
  </cols>
  <sheetData>
    <row r="1" spans="1:22" ht="21" x14ac:dyDescent="0.3">
      <c r="A1" s="383" t="s">
        <v>877</v>
      </c>
      <c r="B1" s="384"/>
      <c r="C1" s="384"/>
      <c r="D1" s="384"/>
      <c r="E1" s="384"/>
      <c r="F1" s="384"/>
      <c r="G1" s="384"/>
      <c r="H1" s="343"/>
      <c r="I1" s="344">
        <f ca="1">TODAY()</f>
        <v>45913</v>
      </c>
      <c r="J1" s="333"/>
      <c r="K1" s="334"/>
      <c r="L1" s="345"/>
      <c r="M1" s="346" t="s">
        <v>878</v>
      </c>
      <c r="N1" s="347" t="s">
        <v>853</v>
      </c>
      <c r="O1" s="348" t="s">
        <v>879</v>
      </c>
      <c r="P1" s="349" t="s">
        <v>397</v>
      </c>
      <c r="Q1" s="345"/>
      <c r="R1" s="345"/>
      <c r="S1" s="345"/>
      <c r="T1" s="345"/>
      <c r="U1" s="345"/>
      <c r="V1" s="350">
        <f ca="1">TODAY()</f>
        <v>45913</v>
      </c>
    </row>
    <row r="2" spans="1:22" ht="31.5" x14ac:dyDescent="0.3">
      <c r="A2" s="292" t="s">
        <v>443</v>
      </c>
      <c r="B2" s="288" t="s">
        <v>444</v>
      </c>
      <c r="C2" s="288" t="s">
        <v>444</v>
      </c>
      <c r="D2" s="288" t="s">
        <v>445</v>
      </c>
      <c r="E2" s="289" t="s">
        <v>446</v>
      </c>
      <c r="F2" s="289" t="s">
        <v>447</v>
      </c>
      <c r="G2" s="261" t="s">
        <v>839</v>
      </c>
      <c r="H2" s="261" t="s">
        <v>840</v>
      </c>
      <c r="I2" s="260" t="s">
        <v>841</v>
      </c>
      <c r="J2" s="335" t="s">
        <v>842</v>
      </c>
      <c r="K2" s="335" t="s">
        <v>843</v>
      </c>
      <c r="L2" s="289" t="s">
        <v>448</v>
      </c>
      <c r="M2" s="289" t="s">
        <v>449</v>
      </c>
      <c r="N2" s="289" t="s">
        <v>450</v>
      </c>
      <c r="O2" s="289" t="s">
        <v>844</v>
      </c>
      <c r="P2" s="289" t="s">
        <v>845</v>
      </c>
      <c r="Q2" s="289" t="s">
        <v>846</v>
      </c>
      <c r="R2" s="289" t="s">
        <v>451</v>
      </c>
      <c r="S2" s="289" t="s">
        <v>452</v>
      </c>
      <c r="T2" s="289" t="s">
        <v>847</v>
      </c>
      <c r="U2" s="289" t="s">
        <v>319</v>
      </c>
      <c r="V2" s="293"/>
    </row>
    <row r="3" spans="1:22" x14ac:dyDescent="0.3">
      <c r="A3" s="385">
        <v>1</v>
      </c>
      <c r="B3" s="365" t="s">
        <v>453</v>
      </c>
      <c r="C3" s="387" t="s">
        <v>454</v>
      </c>
      <c r="D3" s="389" t="s">
        <v>455</v>
      </c>
      <c r="E3" s="365" t="s">
        <v>456</v>
      </c>
      <c r="F3" s="365" t="s">
        <v>457</v>
      </c>
      <c r="G3" s="379">
        <v>45698</v>
      </c>
      <c r="H3" s="379">
        <f>G3+15</f>
        <v>45713</v>
      </c>
      <c r="I3" s="379">
        <v>45698</v>
      </c>
      <c r="J3" s="381">
        <f>I3-G3</f>
        <v>0</v>
      </c>
      <c r="K3" s="381"/>
      <c r="L3" s="262" t="s">
        <v>458</v>
      </c>
      <c r="M3" s="265">
        <v>45698</v>
      </c>
      <c r="N3" s="265"/>
      <c r="O3" s="266"/>
      <c r="P3" s="262"/>
      <c r="Q3" s="262"/>
      <c r="R3" s="365"/>
      <c r="S3" s="365" t="s">
        <v>397</v>
      </c>
      <c r="T3" s="365" t="s">
        <v>459</v>
      </c>
      <c r="U3" s="365" t="s">
        <v>461</v>
      </c>
      <c r="V3" s="367"/>
    </row>
    <row r="4" spans="1:22" x14ac:dyDescent="0.3">
      <c r="A4" s="386"/>
      <c r="B4" s="366"/>
      <c r="C4" s="388"/>
      <c r="D4" s="390"/>
      <c r="E4" s="366"/>
      <c r="F4" s="366"/>
      <c r="G4" s="380"/>
      <c r="H4" s="380"/>
      <c r="I4" s="380"/>
      <c r="J4" s="382"/>
      <c r="K4" s="382"/>
      <c r="L4" s="262" t="s">
        <v>460</v>
      </c>
      <c r="M4" s="265">
        <v>45700</v>
      </c>
      <c r="N4" s="265">
        <v>45700</v>
      </c>
      <c r="O4" s="266"/>
      <c r="P4" s="262">
        <f>N4-M4</f>
        <v>0</v>
      </c>
      <c r="Q4" s="262">
        <f>M5-N4</f>
        <v>2</v>
      </c>
      <c r="R4" s="366"/>
      <c r="S4" s="366"/>
      <c r="T4" s="366"/>
      <c r="U4" s="366"/>
      <c r="V4" s="368"/>
    </row>
    <row r="5" spans="1:22" x14ac:dyDescent="0.3">
      <c r="A5" s="386"/>
      <c r="B5" s="366"/>
      <c r="C5" s="388"/>
      <c r="D5" s="390"/>
      <c r="E5" s="366"/>
      <c r="F5" s="366"/>
      <c r="G5" s="380"/>
      <c r="H5" s="380"/>
      <c r="I5" s="380"/>
      <c r="J5" s="382"/>
      <c r="K5" s="382"/>
      <c r="L5" s="262" t="s">
        <v>462</v>
      </c>
      <c r="M5" s="265">
        <v>45702</v>
      </c>
      <c r="N5" s="265">
        <v>45705</v>
      </c>
      <c r="O5" s="266"/>
      <c r="P5" s="262">
        <f>N5-M5</f>
        <v>3</v>
      </c>
      <c r="Q5" s="262">
        <f>M6-N5</f>
        <v>2</v>
      </c>
      <c r="R5" s="366"/>
      <c r="S5" s="366"/>
      <c r="T5" s="366"/>
      <c r="U5" s="366"/>
      <c r="V5" s="368"/>
    </row>
    <row r="6" spans="1:22" x14ac:dyDescent="0.3">
      <c r="A6" s="386"/>
      <c r="B6" s="366"/>
      <c r="C6" s="388"/>
      <c r="D6" s="390"/>
      <c r="E6" s="366"/>
      <c r="F6" s="366"/>
      <c r="G6" s="380"/>
      <c r="H6" s="380"/>
      <c r="I6" s="380"/>
      <c r="J6" s="382"/>
      <c r="K6" s="382"/>
      <c r="L6" s="262" t="s">
        <v>463</v>
      </c>
      <c r="M6" s="265">
        <v>45707</v>
      </c>
      <c r="N6" s="265"/>
      <c r="O6" s="266"/>
      <c r="P6" s="262">
        <f ca="1">I1-M6</f>
        <v>206</v>
      </c>
      <c r="Q6" s="262"/>
      <c r="R6" s="366"/>
      <c r="S6" s="366"/>
      <c r="T6" s="366"/>
      <c r="U6" s="366"/>
      <c r="V6" s="368"/>
    </row>
    <row r="7" spans="1:22" x14ac:dyDescent="0.3">
      <c r="A7" s="369">
        <v>2</v>
      </c>
      <c r="B7" s="371" t="s">
        <v>453</v>
      </c>
      <c r="C7" s="373" t="s">
        <v>454</v>
      </c>
      <c r="D7" s="375" t="s">
        <v>465</v>
      </c>
      <c r="E7" s="371" t="s">
        <v>466</v>
      </c>
      <c r="F7" s="371" t="s">
        <v>467</v>
      </c>
      <c r="G7" s="377">
        <v>45740</v>
      </c>
      <c r="H7" s="377">
        <f>G7+15</f>
        <v>45755</v>
      </c>
      <c r="I7" s="377">
        <v>45740</v>
      </c>
      <c r="J7" s="403">
        <f>I7-G7</f>
        <v>0</v>
      </c>
      <c r="K7" s="403">
        <f>R7-H7</f>
        <v>0</v>
      </c>
      <c r="L7" s="270" t="s">
        <v>458</v>
      </c>
      <c r="M7" s="273">
        <v>45740</v>
      </c>
      <c r="N7" s="273">
        <v>45743</v>
      </c>
      <c r="O7" s="274" t="s">
        <v>468</v>
      </c>
      <c r="P7" s="270">
        <f>N7-M7</f>
        <v>3</v>
      </c>
      <c r="Q7" s="270">
        <f>M8-N7</f>
        <v>6</v>
      </c>
      <c r="R7" s="404">
        <f>N8</f>
        <v>45755</v>
      </c>
      <c r="S7" s="371" t="str">
        <f>U7</f>
        <v>Approved</v>
      </c>
      <c r="T7" s="371" t="str">
        <f>O8</f>
        <v>CAT -IV</v>
      </c>
      <c r="U7" s="371" t="s">
        <v>397</v>
      </c>
      <c r="V7" s="399"/>
    </row>
    <row r="8" spans="1:22" x14ac:dyDescent="0.3">
      <c r="A8" s="370"/>
      <c r="B8" s="372"/>
      <c r="C8" s="374"/>
      <c r="D8" s="376"/>
      <c r="E8" s="372"/>
      <c r="F8" s="372"/>
      <c r="G8" s="378"/>
      <c r="H8" s="378"/>
      <c r="I8" s="378"/>
      <c r="J8" s="396"/>
      <c r="K8" s="396"/>
      <c r="L8" s="270" t="s">
        <v>460</v>
      </c>
      <c r="M8" s="273">
        <v>45749</v>
      </c>
      <c r="N8" s="273">
        <v>45755</v>
      </c>
      <c r="O8" s="274" t="s">
        <v>469</v>
      </c>
      <c r="P8" s="270">
        <f>N8-M8</f>
        <v>6</v>
      </c>
      <c r="Q8" s="270"/>
      <c r="R8" s="398"/>
      <c r="S8" s="372"/>
      <c r="T8" s="372"/>
      <c r="U8" s="372"/>
      <c r="V8" s="393"/>
    </row>
    <row r="9" spans="1:22" ht="20" x14ac:dyDescent="0.3">
      <c r="A9" s="298">
        <v>3</v>
      </c>
      <c r="B9" s="270" t="s">
        <v>453</v>
      </c>
      <c r="C9" s="271" t="s">
        <v>454</v>
      </c>
      <c r="D9" s="272" t="s">
        <v>470</v>
      </c>
      <c r="E9" s="270" t="s">
        <v>471</v>
      </c>
      <c r="F9" s="270" t="s">
        <v>457</v>
      </c>
      <c r="G9" s="273">
        <v>45740</v>
      </c>
      <c r="H9" s="273">
        <f>G9+15</f>
        <v>45755</v>
      </c>
      <c r="I9" s="273"/>
      <c r="J9" s="338"/>
      <c r="K9" s="338"/>
      <c r="L9" s="270" t="s">
        <v>458</v>
      </c>
      <c r="M9" s="273"/>
      <c r="N9" s="273"/>
      <c r="O9" s="274"/>
      <c r="P9" s="270"/>
      <c r="Q9" s="270"/>
      <c r="R9" s="270"/>
      <c r="S9" s="270"/>
      <c r="T9" s="270"/>
      <c r="U9" s="270" t="s">
        <v>397</v>
      </c>
      <c r="V9" s="299"/>
    </row>
    <row r="10" spans="1:22" x14ac:dyDescent="0.3">
      <c r="A10" s="400">
        <v>4</v>
      </c>
      <c r="B10" s="391" t="s">
        <v>453</v>
      </c>
      <c r="C10" s="401" t="s">
        <v>454</v>
      </c>
      <c r="D10" s="402" t="s">
        <v>473</v>
      </c>
      <c r="E10" s="391" t="s">
        <v>474</v>
      </c>
      <c r="F10" s="391" t="s">
        <v>467</v>
      </c>
      <c r="G10" s="394">
        <v>45768</v>
      </c>
      <c r="H10" s="394">
        <f>G10+21</f>
        <v>45789</v>
      </c>
      <c r="I10" s="394">
        <v>45768</v>
      </c>
      <c r="J10" s="395">
        <f>I10-G10</f>
        <v>0</v>
      </c>
      <c r="K10" s="395">
        <f ca="1">I1-H10</f>
        <v>124</v>
      </c>
      <c r="L10" s="310" t="s">
        <v>458</v>
      </c>
      <c r="M10" s="313">
        <v>45768</v>
      </c>
      <c r="N10" s="313">
        <v>45776</v>
      </c>
      <c r="O10" s="314" t="s">
        <v>468</v>
      </c>
      <c r="P10" s="310">
        <f>N10-M10</f>
        <v>8</v>
      </c>
      <c r="Q10" s="310">
        <f>M11-N10</f>
        <v>51</v>
      </c>
      <c r="R10" s="397"/>
      <c r="S10" s="391" t="s">
        <v>482</v>
      </c>
      <c r="T10" s="391" t="str">
        <f>O10</f>
        <v>CAT -IV R</v>
      </c>
      <c r="U10" s="391" t="s">
        <v>464</v>
      </c>
      <c r="V10" s="392"/>
    </row>
    <row r="11" spans="1:22" x14ac:dyDescent="0.3">
      <c r="A11" s="370"/>
      <c r="B11" s="372"/>
      <c r="C11" s="374"/>
      <c r="D11" s="376"/>
      <c r="E11" s="372"/>
      <c r="F11" s="372"/>
      <c r="G11" s="378"/>
      <c r="H11" s="378"/>
      <c r="I11" s="378"/>
      <c r="J11" s="396"/>
      <c r="K11" s="396"/>
      <c r="L11" s="310" t="s">
        <v>460</v>
      </c>
      <c r="M11" s="313">
        <v>45827</v>
      </c>
      <c r="N11" s="313">
        <v>45866</v>
      </c>
      <c r="O11" s="314" t="s">
        <v>468</v>
      </c>
      <c r="P11" s="310">
        <f>N11-M11</f>
        <v>39</v>
      </c>
      <c r="Q11" s="310">
        <f ca="1">I1-N11</f>
        <v>47</v>
      </c>
      <c r="R11" s="398"/>
      <c r="S11" s="372"/>
      <c r="T11" s="372"/>
      <c r="U11" s="372"/>
      <c r="V11" s="393"/>
    </row>
    <row r="12" spans="1:22" x14ac:dyDescent="0.3">
      <c r="A12" s="296">
        <v>5</v>
      </c>
      <c r="B12" s="257" t="s">
        <v>453</v>
      </c>
      <c r="C12" s="267" t="s">
        <v>454</v>
      </c>
      <c r="D12" s="268" t="s">
        <v>475</v>
      </c>
      <c r="E12" s="259" t="s">
        <v>476</v>
      </c>
      <c r="F12" s="257" t="s">
        <v>467</v>
      </c>
      <c r="G12" s="269">
        <v>45814</v>
      </c>
      <c r="H12" s="269">
        <f>G12+15</f>
        <v>45829</v>
      </c>
      <c r="I12" s="269"/>
      <c r="J12" s="337"/>
      <c r="K12" s="337">
        <f ca="1">I1-H12</f>
        <v>84</v>
      </c>
      <c r="L12" s="259"/>
      <c r="M12" s="275"/>
      <c r="N12" s="275"/>
      <c r="O12" s="276"/>
      <c r="P12" s="259"/>
      <c r="Q12" s="259"/>
      <c r="R12" s="259"/>
      <c r="S12" s="259"/>
      <c r="T12" s="259"/>
      <c r="U12" s="259"/>
      <c r="V12" s="300"/>
    </row>
    <row r="13" spans="1:22" x14ac:dyDescent="0.3">
      <c r="A13" s="369">
        <v>6</v>
      </c>
      <c r="B13" s="371" t="s">
        <v>453</v>
      </c>
      <c r="C13" s="373" t="s">
        <v>454</v>
      </c>
      <c r="D13" s="375" t="s">
        <v>477</v>
      </c>
      <c r="E13" s="371" t="s">
        <v>478</v>
      </c>
      <c r="F13" s="371" t="s">
        <v>467</v>
      </c>
      <c r="G13" s="377">
        <v>45814</v>
      </c>
      <c r="H13" s="377">
        <f>G13+14</f>
        <v>45828</v>
      </c>
      <c r="I13" s="377">
        <v>45815</v>
      </c>
      <c r="J13" s="403">
        <f>I13-G13</f>
        <v>1</v>
      </c>
      <c r="K13" s="403">
        <f>R13-H13</f>
        <v>18</v>
      </c>
      <c r="L13" s="270" t="s">
        <v>458</v>
      </c>
      <c r="M13" s="273">
        <v>45815</v>
      </c>
      <c r="N13" s="273">
        <v>45828</v>
      </c>
      <c r="O13" s="274" t="s">
        <v>468</v>
      </c>
      <c r="P13" s="270">
        <f>N13-M13</f>
        <v>13</v>
      </c>
      <c r="Q13" s="270">
        <f>M14-N13</f>
        <v>6</v>
      </c>
      <c r="R13" s="377">
        <f>N14</f>
        <v>45846</v>
      </c>
      <c r="S13" s="371" t="s">
        <v>397</v>
      </c>
      <c r="T13" s="371" t="s">
        <v>469</v>
      </c>
      <c r="U13" s="371" t="s">
        <v>397</v>
      </c>
      <c r="V13" s="399"/>
    </row>
    <row r="14" spans="1:22" x14ac:dyDescent="0.3">
      <c r="A14" s="370"/>
      <c r="B14" s="372"/>
      <c r="C14" s="374"/>
      <c r="D14" s="376"/>
      <c r="E14" s="372"/>
      <c r="F14" s="372"/>
      <c r="G14" s="378"/>
      <c r="H14" s="378"/>
      <c r="I14" s="378"/>
      <c r="J14" s="396"/>
      <c r="K14" s="396"/>
      <c r="L14" s="270" t="s">
        <v>460</v>
      </c>
      <c r="M14" s="273">
        <v>45834</v>
      </c>
      <c r="N14" s="273">
        <v>45846</v>
      </c>
      <c r="O14" s="274" t="s">
        <v>469</v>
      </c>
      <c r="P14" s="270">
        <f>N14-M14</f>
        <v>12</v>
      </c>
      <c r="Q14" s="270"/>
      <c r="R14" s="371"/>
      <c r="S14" s="372"/>
      <c r="T14" s="372"/>
      <c r="U14" s="372"/>
      <c r="V14" s="393"/>
    </row>
    <row r="15" spans="1:22" x14ac:dyDescent="0.3">
      <c r="A15" s="369">
        <v>7</v>
      </c>
      <c r="B15" s="371" t="s">
        <v>453</v>
      </c>
      <c r="C15" s="373" t="s">
        <v>454</v>
      </c>
      <c r="D15" s="375" t="s">
        <v>479</v>
      </c>
      <c r="E15" s="371" t="s">
        <v>480</v>
      </c>
      <c r="F15" s="371" t="s">
        <v>457</v>
      </c>
      <c r="G15" s="377">
        <v>45742</v>
      </c>
      <c r="H15" s="377">
        <f>G15+15</f>
        <v>45757</v>
      </c>
      <c r="I15" s="377">
        <v>45742</v>
      </c>
      <c r="J15" s="403">
        <f>I15-G15</f>
        <v>0</v>
      </c>
      <c r="K15" s="403">
        <f>R15-H15</f>
        <v>76</v>
      </c>
      <c r="L15" s="270" t="s">
        <v>458</v>
      </c>
      <c r="M15" s="273">
        <v>45742</v>
      </c>
      <c r="N15" s="273">
        <v>45751</v>
      </c>
      <c r="O15" s="274" t="s">
        <v>481</v>
      </c>
      <c r="P15" s="270">
        <f>N15-M15</f>
        <v>9</v>
      </c>
      <c r="Q15" s="270">
        <f>M16-N15</f>
        <v>0</v>
      </c>
      <c r="R15" s="377">
        <f>N16</f>
        <v>45833</v>
      </c>
      <c r="S15" s="371" t="s">
        <v>397</v>
      </c>
      <c r="T15" s="371" t="str">
        <f>O16</f>
        <v>CAT - I</v>
      </c>
      <c r="U15" s="371" t="s">
        <v>397</v>
      </c>
      <c r="V15" s="399"/>
    </row>
    <row r="16" spans="1:22" x14ac:dyDescent="0.3">
      <c r="A16" s="386"/>
      <c r="B16" s="366"/>
      <c r="C16" s="388"/>
      <c r="D16" s="390"/>
      <c r="E16" s="366"/>
      <c r="F16" s="366"/>
      <c r="G16" s="380"/>
      <c r="H16" s="380"/>
      <c r="I16" s="380"/>
      <c r="J16" s="382"/>
      <c r="K16" s="382"/>
      <c r="L16" s="270" t="s">
        <v>460</v>
      </c>
      <c r="M16" s="273">
        <v>45751</v>
      </c>
      <c r="N16" s="273">
        <v>45833</v>
      </c>
      <c r="O16" s="274" t="s">
        <v>472</v>
      </c>
      <c r="P16" s="270">
        <f>N16-M16</f>
        <v>82</v>
      </c>
      <c r="Q16" s="270"/>
      <c r="R16" s="371"/>
      <c r="S16" s="366"/>
      <c r="T16" s="366"/>
      <c r="U16" s="366"/>
      <c r="V16" s="368"/>
    </row>
    <row r="17" spans="1:22" x14ac:dyDescent="0.3">
      <c r="A17" s="405">
        <v>8</v>
      </c>
      <c r="B17" s="407" t="s">
        <v>453</v>
      </c>
      <c r="C17" s="409" t="s">
        <v>454</v>
      </c>
      <c r="D17" s="411" t="s">
        <v>483</v>
      </c>
      <c r="E17" s="407" t="s">
        <v>484</v>
      </c>
      <c r="F17" s="407" t="s">
        <v>467</v>
      </c>
      <c r="G17" s="413">
        <v>45771</v>
      </c>
      <c r="H17" s="413">
        <f>G17+21</f>
        <v>45792</v>
      </c>
      <c r="I17" s="413">
        <f>M17</f>
        <v>45772</v>
      </c>
      <c r="J17" s="417">
        <f>I17-G17</f>
        <v>1</v>
      </c>
      <c r="K17" s="417">
        <f ca="1">I1-H17</f>
        <v>121</v>
      </c>
      <c r="L17" s="262" t="s">
        <v>458</v>
      </c>
      <c r="M17" s="265">
        <v>45772</v>
      </c>
      <c r="N17" s="265">
        <v>45833</v>
      </c>
      <c r="O17" s="266" t="s">
        <v>468</v>
      </c>
      <c r="P17" s="262">
        <f>N17-M17</f>
        <v>61</v>
      </c>
      <c r="Q17" s="262">
        <f ca="1">M18-I1</f>
        <v>-9</v>
      </c>
      <c r="R17" s="262"/>
      <c r="S17" s="407" t="s">
        <v>482</v>
      </c>
      <c r="T17" s="407" t="str">
        <f>O17</f>
        <v>CAT -IV R</v>
      </c>
      <c r="U17" s="407" t="s">
        <v>461</v>
      </c>
      <c r="V17" s="415"/>
    </row>
    <row r="18" spans="1:22" x14ac:dyDescent="0.3">
      <c r="A18" s="406"/>
      <c r="B18" s="408"/>
      <c r="C18" s="410"/>
      <c r="D18" s="412"/>
      <c r="E18" s="408"/>
      <c r="F18" s="408"/>
      <c r="G18" s="414"/>
      <c r="H18" s="414"/>
      <c r="I18" s="414"/>
      <c r="J18" s="418"/>
      <c r="K18" s="418"/>
      <c r="L18" s="262" t="s">
        <v>460</v>
      </c>
      <c r="M18" s="265">
        <v>45904</v>
      </c>
      <c r="N18" s="265"/>
      <c r="O18" s="266"/>
      <c r="P18" s="262">
        <f ca="1">I1-M18</f>
        <v>9</v>
      </c>
      <c r="Q18" s="262"/>
      <c r="R18" s="262"/>
      <c r="S18" s="408"/>
      <c r="T18" s="408"/>
      <c r="U18" s="408"/>
      <c r="V18" s="416"/>
    </row>
    <row r="19" spans="1:22" x14ac:dyDescent="0.3">
      <c r="A19" s="296">
        <v>9</v>
      </c>
      <c r="B19" s="257" t="s">
        <v>453</v>
      </c>
      <c r="C19" s="267" t="s">
        <v>454</v>
      </c>
      <c r="D19" s="268" t="s">
        <v>485</v>
      </c>
      <c r="E19" s="257" t="s">
        <v>486</v>
      </c>
      <c r="F19" s="257" t="s">
        <v>467</v>
      </c>
      <c r="G19" s="269"/>
      <c r="H19" s="269"/>
      <c r="I19" s="269"/>
      <c r="J19" s="337"/>
      <c r="K19" s="337"/>
      <c r="L19" s="257"/>
      <c r="M19" s="269"/>
      <c r="N19" s="269"/>
      <c r="O19" s="277"/>
      <c r="P19" s="257"/>
      <c r="Q19" s="257"/>
      <c r="R19" s="257"/>
      <c r="S19" s="257"/>
      <c r="T19" s="257"/>
      <c r="U19" s="257"/>
      <c r="V19" s="297"/>
    </row>
    <row r="20" spans="1:22" x14ac:dyDescent="0.3">
      <c r="A20" s="369">
        <v>10</v>
      </c>
      <c r="B20" s="371" t="s">
        <v>453</v>
      </c>
      <c r="C20" s="373" t="s">
        <v>454</v>
      </c>
      <c r="D20" s="375" t="s">
        <v>487</v>
      </c>
      <c r="E20" s="371" t="s">
        <v>488</v>
      </c>
      <c r="F20" s="371" t="s">
        <v>467</v>
      </c>
      <c r="G20" s="377">
        <v>45772</v>
      </c>
      <c r="H20" s="377">
        <f>G20+7</f>
        <v>45779</v>
      </c>
      <c r="I20" s="377">
        <v>45772</v>
      </c>
      <c r="J20" s="403">
        <f>I20-G20</f>
        <v>0</v>
      </c>
      <c r="K20" s="403">
        <f>R20-H20</f>
        <v>88</v>
      </c>
      <c r="L20" s="270" t="s">
        <v>458</v>
      </c>
      <c r="M20" s="273">
        <v>45772</v>
      </c>
      <c r="N20" s="273">
        <v>45778</v>
      </c>
      <c r="O20" s="274" t="s">
        <v>468</v>
      </c>
      <c r="P20" s="270">
        <f>N20-M20</f>
        <v>6</v>
      </c>
      <c r="Q20" s="270">
        <f>M21-N20</f>
        <v>70</v>
      </c>
      <c r="R20" s="377">
        <f>N23</f>
        <v>45867</v>
      </c>
      <c r="S20" s="371" t="s">
        <v>482</v>
      </c>
      <c r="T20" s="371" t="str">
        <f>O23</f>
        <v>CAT -IV</v>
      </c>
      <c r="U20" s="371" t="s">
        <v>397</v>
      </c>
      <c r="V20" s="399"/>
    </row>
    <row r="21" spans="1:22" x14ac:dyDescent="0.3">
      <c r="A21" s="370"/>
      <c r="B21" s="372"/>
      <c r="C21" s="374"/>
      <c r="D21" s="376"/>
      <c r="E21" s="372"/>
      <c r="F21" s="372"/>
      <c r="G21" s="378"/>
      <c r="H21" s="378"/>
      <c r="I21" s="378"/>
      <c r="J21" s="396"/>
      <c r="K21" s="396"/>
      <c r="L21" s="270" t="s">
        <v>460</v>
      </c>
      <c r="M21" s="273">
        <v>45848</v>
      </c>
      <c r="N21" s="273">
        <v>45850</v>
      </c>
      <c r="O21" s="274" t="s">
        <v>468</v>
      </c>
      <c r="P21" s="270">
        <f>N21-M21</f>
        <v>2</v>
      </c>
      <c r="Q21" s="270"/>
      <c r="R21" s="371"/>
      <c r="S21" s="372"/>
      <c r="T21" s="372"/>
      <c r="U21" s="372"/>
      <c r="V21" s="393"/>
    </row>
    <row r="22" spans="1:22" x14ac:dyDescent="0.3">
      <c r="A22" s="370"/>
      <c r="B22" s="372"/>
      <c r="C22" s="374"/>
      <c r="D22" s="376"/>
      <c r="E22" s="372"/>
      <c r="F22" s="372"/>
      <c r="G22" s="378"/>
      <c r="H22" s="378"/>
      <c r="I22" s="378"/>
      <c r="J22" s="396"/>
      <c r="K22" s="396"/>
      <c r="L22" s="270" t="s">
        <v>462</v>
      </c>
      <c r="M22" s="273">
        <v>45862</v>
      </c>
      <c r="N22" s="273">
        <v>45863</v>
      </c>
      <c r="O22" s="274" t="s">
        <v>468</v>
      </c>
      <c r="P22" s="270"/>
      <c r="Q22" s="270"/>
      <c r="R22" s="371"/>
      <c r="S22" s="372"/>
      <c r="T22" s="372"/>
      <c r="U22" s="372"/>
      <c r="V22" s="393"/>
    </row>
    <row r="23" spans="1:22" x14ac:dyDescent="0.3">
      <c r="A23" s="370"/>
      <c r="B23" s="372"/>
      <c r="C23" s="374"/>
      <c r="D23" s="376"/>
      <c r="E23" s="372"/>
      <c r="F23" s="372"/>
      <c r="G23" s="378"/>
      <c r="H23" s="378"/>
      <c r="I23" s="378"/>
      <c r="J23" s="396"/>
      <c r="K23" s="396"/>
      <c r="L23" s="270" t="s">
        <v>463</v>
      </c>
      <c r="M23" s="273">
        <v>45866</v>
      </c>
      <c r="N23" s="273">
        <v>45867</v>
      </c>
      <c r="O23" s="274" t="s">
        <v>469</v>
      </c>
      <c r="P23" s="270"/>
      <c r="Q23" s="270"/>
      <c r="R23" s="371"/>
      <c r="S23" s="372"/>
      <c r="T23" s="372"/>
      <c r="U23" s="372"/>
      <c r="V23" s="393"/>
    </row>
    <row r="24" spans="1:22" x14ac:dyDescent="0.3">
      <c r="A24" s="369">
        <v>11</v>
      </c>
      <c r="B24" s="371" t="s">
        <v>453</v>
      </c>
      <c r="C24" s="373" t="s">
        <v>454</v>
      </c>
      <c r="D24" s="375" t="s">
        <v>490</v>
      </c>
      <c r="E24" s="371" t="s">
        <v>491</v>
      </c>
      <c r="F24" s="371" t="s">
        <v>457</v>
      </c>
      <c r="G24" s="377">
        <v>45769</v>
      </c>
      <c r="H24" s="377">
        <f>G24+21</f>
        <v>45790</v>
      </c>
      <c r="I24" s="377">
        <v>45769</v>
      </c>
      <c r="J24" s="403">
        <f>I24-G24</f>
        <v>0</v>
      </c>
      <c r="K24" s="403">
        <f>R24-H24</f>
        <v>3</v>
      </c>
      <c r="L24" s="270" t="s">
        <v>458</v>
      </c>
      <c r="M24" s="273">
        <v>45769</v>
      </c>
      <c r="N24" s="273">
        <v>45771</v>
      </c>
      <c r="O24" s="274" t="s">
        <v>459</v>
      </c>
      <c r="P24" s="270">
        <f>N24-M24</f>
        <v>2</v>
      </c>
      <c r="Q24" s="270">
        <f>M25-N24</f>
        <v>6</v>
      </c>
      <c r="R24" s="404">
        <f>N26</f>
        <v>45793</v>
      </c>
      <c r="S24" s="371" t="s">
        <v>482</v>
      </c>
      <c r="T24" s="371" t="str">
        <f>O26</f>
        <v>CAT - I</v>
      </c>
      <c r="U24" s="371" t="s">
        <v>397</v>
      </c>
      <c r="V24" s="399"/>
    </row>
    <row r="25" spans="1:22" x14ac:dyDescent="0.3">
      <c r="A25" s="370"/>
      <c r="B25" s="372"/>
      <c r="C25" s="374"/>
      <c r="D25" s="376"/>
      <c r="E25" s="372"/>
      <c r="F25" s="372"/>
      <c r="G25" s="378"/>
      <c r="H25" s="378"/>
      <c r="I25" s="378"/>
      <c r="J25" s="396"/>
      <c r="K25" s="396"/>
      <c r="L25" s="270" t="s">
        <v>460</v>
      </c>
      <c r="M25" s="273">
        <v>45777</v>
      </c>
      <c r="N25" s="273">
        <v>45778</v>
      </c>
      <c r="O25" s="274" t="s">
        <v>481</v>
      </c>
      <c r="P25" s="270">
        <f>N25-M25</f>
        <v>1</v>
      </c>
      <c r="Q25" s="270">
        <f>M26-N25</f>
        <v>8</v>
      </c>
      <c r="R25" s="398"/>
      <c r="S25" s="372"/>
      <c r="T25" s="372"/>
      <c r="U25" s="372"/>
      <c r="V25" s="393"/>
    </row>
    <row r="26" spans="1:22" x14ac:dyDescent="0.3">
      <c r="A26" s="370"/>
      <c r="B26" s="372"/>
      <c r="C26" s="374"/>
      <c r="D26" s="376"/>
      <c r="E26" s="372"/>
      <c r="F26" s="372"/>
      <c r="G26" s="378"/>
      <c r="H26" s="378"/>
      <c r="I26" s="378"/>
      <c r="J26" s="396"/>
      <c r="K26" s="396"/>
      <c r="L26" s="270" t="s">
        <v>462</v>
      </c>
      <c r="M26" s="273">
        <v>45786</v>
      </c>
      <c r="N26" s="273">
        <v>45793</v>
      </c>
      <c r="O26" s="274" t="s">
        <v>472</v>
      </c>
      <c r="P26" s="270">
        <f>N26-M26</f>
        <v>7</v>
      </c>
      <c r="Q26" s="270"/>
      <c r="R26" s="398"/>
      <c r="S26" s="372"/>
      <c r="T26" s="372"/>
      <c r="U26" s="372"/>
      <c r="V26" s="393"/>
    </row>
    <row r="27" spans="1:22" x14ac:dyDescent="0.3">
      <c r="A27" s="405">
        <v>12</v>
      </c>
      <c r="B27" s="407" t="s">
        <v>453</v>
      </c>
      <c r="C27" s="409" t="s">
        <v>454</v>
      </c>
      <c r="D27" s="411" t="s">
        <v>492</v>
      </c>
      <c r="E27" s="407" t="s">
        <v>493</v>
      </c>
      <c r="F27" s="407" t="s">
        <v>467</v>
      </c>
      <c r="G27" s="413">
        <v>45801</v>
      </c>
      <c r="H27" s="413">
        <f>G27+21</f>
        <v>45822</v>
      </c>
      <c r="I27" s="413">
        <v>45843</v>
      </c>
      <c r="J27" s="417">
        <f>I27-G27</f>
        <v>42</v>
      </c>
      <c r="K27" s="417">
        <f>R27-H27</f>
        <v>23</v>
      </c>
      <c r="L27" s="262" t="s">
        <v>458</v>
      </c>
      <c r="M27" s="265">
        <v>45843</v>
      </c>
      <c r="N27" s="265">
        <v>45845</v>
      </c>
      <c r="O27" s="266" t="s">
        <v>469</v>
      </c>
      <c r="P27" s="262">
        <f>N27-M27</f>
        <v>2</v>
      </c>
      <c r="Q27" s="262"/>
      <c r="R27" s="265">
        <f>N27</f>
        <v>45845</v>
      </c>
      <c r="S27" s="407" t="s">
        <v>482</v>
      </c>
      <c r="T27" s="407" t="str">
        <f>T24</f>
        <v>CAT - I</v>
      </c>
      <c r="U27" s="407" t="s">
        <v>461</v>
      </c>
      <c r="V27" s="415"/>
    </row>
    <row r="28" spans="1:22" x14ac:dyDescent="0.3">
      <c r="A28" s="406"/>
      <c r="B28" s="408"/>
      <c r="C28" s="410"/>
      <c r="D28" s="412"/>
      <c r="E28" s="408"/>
      <c r="F28" s="408"/>
      <c r="G28" s="414"/>
      <c r="H28" s="414"/>
      <c r="I28" s="414"/>
      <c r="J28" s="418"/>
      <c r="K28" s="418"/>
      <c r="L28" s="262" t="s">
        <v>460</v>
      </c>
      <c r="M28" s="265">
        <v>45903</v>
      </c>
      <c r="N28" s="265"/>
      <c r="O28" s="266"/>
      <c r="P28" s="262"/>
      <c r="Q28" s="262"/>
      <c r="R28" s="265"/>
      <c r="S28" s="408"/>
      <c r="T28" s="408"/>
      <c r="U28" s="408"/>
      <c r="V28" s="416"/>
    </row>
    <row r="29" spans="1:22" x14ac:dyDescent="0.3">
      <c r="A29" s="296">
        <v>13</v>
      </c>
      <c r="B29" s="257" t="s">
        <v>453</v>
      </c>
      <c r="C29" s="267" t="s">
        <v>454</v>
      </c>
      <c r="D29" s="268" t="s">
        <v>494</v>
      </c>
      <c r="E29" s="259" t="s">
        <v>495</v>
      </c>
      <c r="F29" s="257" t="s">
        <v>467</v>
      </c>
      <c r="G29" s="269">
        <v>45741</v>
      </c>
      <c r="H29" s="269">
        <f>G29+15</f>
        <v>45756</v>
      </c>
      <c r="I29" s="269"/>
      <c r="J29" s="337"/>
      <c r="K29" s="337">
        <f ca="1">$I$1-H29</f>
        <v>157</v>
      </c>
      <c r="L29" s="259"/>
      <c r="M29" s="275"/>
      <c r="N29" s="275"/>
      <c r="O29" s="276"/>
      <c r="P29" s="259"/>
      <c r="Q29" s="259"/>
      <c r="R29" s="259"/>
      <c r="S29" s="259"/>
      <c r="T29" s="259"/>
      <c r="U29" s="259"/>
      <c r="V29" s="300"/>
    </row>
    <row r="30" spans="1:22" x14ac:dyDescent="0.3">
      <c r="A30" s="296">
        <v>14</v>
      </c>
      <c r="B30" s="257" t="s">
        <v>453</v>
      </c>
      <c r="C30" s="267" t="s">
        <v>454</v>
      </c>
      <c r="D30" s="268" t="s">
        <v>496</v>
      </c>
      <c r="E30" s="259" t="s">
        <v>497</v>
      </c>
      <c r="F30" s="257" t="s">
        <v>457</v>
      </c>
      <c r="G30" s="269">
        <v>45741</v>
      </c>
      <c r="H30" s="269">
        <f>G30+14</f>
        <v>45755</v>
      </c>
      <c r="I30" s="269"/>
      <c r="J30" s="337"/>
      <c r="K30" s="337">
        <f ca="1">$I$1-H30</f>
        <v>158</v>
      </c>
      <c r="L30" s="259"/>
      <c r="M30" s="275"/>
      <c r="N30" s="275"/>
      <c r="O30" s="276"/>
      <c r="P30" s="259"/>
      <c r="Q30" s="259"/>
      <c r="R30" s="259"/>
      <c r="S30" s="259"/>
      <c r="T30" s="259"/>
      <c r="U30" s="259"/>
      <c r="V30" s="300"/>
    </row>
    <row r="31" spans="1:22" x14ac:dyDescent="0.3">
      <c r="A31" s="369">
        <v>1</v>
      </c>
      <c r="B31" s="371" t="s">
        <v>6</v>
      </c>
      <c r="C31" s="373" t="s">
        <v>498</v>
      </c>
      <c r="D31" s="375" t="s">
        <v>499</v>
      </c>
      <c r="E31" s="371" t="s">
        <v>500</v>
      </c>
      <c r="F31" s="371" t="s">
        <v>457</v>
      </c>
      <c r="G31" s="377">
        <v>45727</v>
      </c>
      <c r="H31" s="377">
        <f>G31+21</f>
        <v>45748</v>
      </c>
      <c r="I31" s="377">
        <v>45727</v>
      </c>
      <c r="J31" s="403">
        <f>I31-G31</f>
        <v>0</v>
      </c>
      <c r="K31" s="403">
        <f>R31-H31</f>
        <v>62</v>
      </c>
      <c r="L31" s="270" t="s">
        <v>458</v>
      </c>
      <c r="M31" s="273">
        <v>45727</v>
      </c>
      <c r="N31" s="273">
        <v>45736</v>
      </c>
      <c r="O31" s="274" t="s">
        <v>459</v>
      </c>
      <c r="P31" s="270">
        <f>N31-M31</f>
        <v>9</v>
      </c>
      <c r="Q31" s="270">
        <f>M32-N31</f>
        <v>19</v>
      </c>
      <c r="R31" s="377">
        <f>N33</f>
        <v>45810</v>
      </c>
      <c r="S31" s="371" t="s">
        <v>397</v>
      </c>
      <c r="T31" s="371" t="str">
        <f>O33</f>
        <v>CAT - I</v>
      </c>
      <c r="U31" s="371" t="s">
        <v>397</v>
      </c>
      <c r="V31" s="399"/>
    </row>
    <row r="32" spans="1:22" x14ac:dyDescent="0.3">
      <c r="A32" s="370"/>
      <c r="B32" s="372"/>
      <c r="C32" s="374"/>
      <c r="D32" s="376"/>
      <c r="E32" s="372"/>
      <c r="F32" s="372"/>
      <c r="G32" s="378"/>
      <c r="H32" s="378"/>
      <c r="I32" s="378"/>
      <c r="J32" s="396"/>
      <c r="K32" s="396"/>
      <c r="L32" s="270" t="s">
        <v>460</v>
      </c>
      <c r="M32" s="273">
        <v>45755</v>
      </c>
      <c r="N32" s="273">
        <v>45758</v>
      </c>
      <c r="O32" s="274" t="s">
        <v>481</v>
      </c>
      <c r="P32" s="270">
        <f>N32-M32</f>
        <v>3</v>
      </c>
      <c r="Q32" s="270">
        <f>M33-N32</f>
        <v>47</v>
      </c>
      <c r="R32" s="372"/>
      <c r="S32" s="372"/>
      <c r="T32" s="372"/>
      <c r="U32" s="372"/>
      <c r="V32" s="393"/>
    </row>
    <row r="33" spans="1:22" x14ac:dyDescent="0.3">
      <c r="A33" s="370"/>
      <c r="B33" s="372"/>
      <c r="C33" s="374"/>
      <c r="D33" s="376"/>
      <c r="E33" s="372"/>
      <c r="F33" s="372"/>
      <c r="G33" s="378"/>
      <c r="H33" s="378"/>
      <c r="I33" s="378"/>
      <c r="J33" s="396"/>
      <c r="K33" s="396"/>
      <c r="L33" s="270" t="s">
        <v>462</v>
      </c>
      <c r="M33" s="273">
        <v>45805</v>
      </c>
      <c r="N33" s="273">
        <v>45810</v>
      </c>
      <c r="O33" s="274" t="s">
        <v>472</v>
      </c>
      <c r="P33" s="270">
        <f>N33-M33</f>
        <v>5</v>
      </c>
      <c r="Q33" s="270"/>
      <c r="R33" s="372"/>
      <c r="S33" s="372"/>
      <c r="T33" s="372"/>
      <c r="U33" s="372"/>
      <c r="V33" s="393"/>
    </row>
    <row r="34" spans="1:22" x14ac:dyDescent="0.3">
      <c r="A34" s="369">
        <v>2</v>
      </c>
      <c r="B34" s="371" t="s">
        <v>6</v>
      </c>
      <c r="C34" s="373" t="s">
        <v>498</v>
      </c>
      <c r="D34" s="375" t="s">
        <v>810</v>
      </c>
      <c r="E34" s="371" t="s">
        <v>501</v>
      </c>
      <c r="F34" s="371" t="s">
        <v>457</v>
      </c>
      <c r="G34" s="377">
        <v>45805</v>
      </c>
      <c r="H34" s="377">
        <f>G34+21</f>
        <v>45826</v>
      </c>
      <c r="I34" s="377">
        <v>45811</v>
      </c>
      <c r="J34" s="403">
        <f>I34-G34</f>
        <v>6</v>
      </c>
      <c r="K34" s="403">
        <f>R34-H34</f>
        <v>20</v>
      </c>
      <c r="L34" s="270" t="s">
        <v>458</v>
      </c>
      <c r="M34" s="273">
        <v>45811</v>
      </c>
      <c r="N34" s="273">
        <v>45818</v>
      </c>
      <c r="O34" s="274" t="s">
        <v>459</v>
      </c>
      <c r="P34" s="270">
        <f>N34-M34</f>
        <v>7</v>
      </c>
      <c r="Q34" s="270">
        <f>M35-N34</f>
        <v>15</v>
      </c>
      <c r="R34" s="377">
        <f>N35</f>
        <v>45846</v>
      </c>
      <c r="S34" s="371" t="s">
        <v>397</v>
      </c>
      <c r="T34" s="371" t="str">
        <f>O35</f>
        <v>CAT - I</v>
      </c>
      <c r="U34" s="371" t="s">
        <v>397</v>
      </c>
      <c r="V34" s="399"/>
    </row>
    <row r="35" spans="1:22" x14ac:dyDescent="0.3">
      <c r="A35" s="370"/>
      <c r="B35" s="372"/>
      <c r="C35" s="374"/>
      <c r="D35" s="376"/>
      <c r="E35" s="372"/>
      <c r="F35" s="372"/>
      <c r="G35" s="378"/>
      <c r="H35" s="378"/>
      <c r="I35" s="378"/>
      <c r="J35" s="396"/>
      <c r="K35" s="396"/>
      <c r="L35" s="270" t="s">
        <v>460</v>
      </c>
      <c r="M35" s="273">
        <v>45833</v>
      </c>
      <c r="N35" s="273">
        <v>45846</v>
      </c>
      <c r="O35" s="274" t="s">
        <v>472</v>
      </c>
      <c r="P35" s="270">
        <f>N35-M35</f>
        <v>13</v>
      </c>
      <c r="Q35" s="270"/>
      <c r="R35" s="372"/>
      <c r="S35" s="372"/>
      <c r="T35" s="372"/>
      <c r="U35" s="372"/>
      <c r="V35" s="393"/>
    </row>
    <row r="36" spans="1:22" x14ac:dyDescent="0.3">
      <c r="A36" s="369">
        <v>3</v>
      </c>
      <c r="B36" s="371" t="s">
        <v>6</v>
      </c>
      <c r="C36" s="373" t="s">
        <v>498</v>
      </c>
      <c r="D36" s="375" t="s">
        <v>502</v>
      </c>
      <c r="E36" s="371" t="s">
        <v>503</v>
      </c>
      <c r="F36" s="371" t="s">
        <v>457</v>
      </c>
      <c r="G36" s="377">
        <v>45795</v>
      </c>
      <c r="H36" s="377">
        <f>G36+21</f>
        <v>45816</v>
      </c>
      <c r="I36" s="377">
        <v>45813</v>
      </c>
      <c r="J36" s="403">
        <f>I36-G36</f>
        <v>18</v>
      </c>
      <c r="K36" s="403">
        <f>R36-H36</f>
        <v>52</v>
      </c>
      <c r="L36" s="270" t="s">
        <v>458</v>
      </c>
      <c r="M36" s="273">
        <v>45813</v>
      </c>
      <c r="N36" s="273">
        <v>45828</v>
      </c>
      <c r="O36" s="421" t="s">
        <v>472</v>
      </c>
      <c r="P36" s="270">
        <f t="shared" ref="P36:P42" si="0">N36-M36</f>
        <v>15</v>
      </c>
      <c r="Q36" s="270">
        <f>M37-N36</f>
        <v>21</v>
      </c>
      <c r="R36" s="377">
        <f>N37</f>
        <v>45868</v>
      </c>
      <c r="S36" s="371" t="s">
        <v>397</v>
      </c>
      <c r="T36" s="371" t="str">
        <f>O36</f>
        <v>CAT - I</v>
      </c>
      <c r="U36" s="371" t="s">
        <v>397</v>
      </c>
      <c r="V36" s="399"/>
    </row>
    <row r="37" spans="1:22" x14ac:dyDescent="0.3">
      <c r="A37" s="370"/>
      <c r="B37" s="372"/>
      <c r="C37" s="374"/>
      <c r="D37" s="376"/>
      <c r="E37" s="372"/>
      <c r="F37" s="372"/>
      <c r="G37" s="378"/>
      <c r="H37" s="378"/>
      <c r="I37" s="378"/>
      <c r="J37" s="396"/>
      <c r="K37" s="396"/>
      <c r="L37" s="270" t="s">
        <v>460</v>
      </c>
      <c r="M37" s="273">
        <v>45849</v>
      </c>
      <c r="N37" s="273">
        <v>45868</v>
      </c>
      <c r="O37" s="421"/>
      <c r="P37" s="270">
        <f>N37-M37</f>
        <v>19</v>
      </c>
      <c r="Q37" s="270"/>
      <c r="R37" s="372"/>
      <c r="S37" s="372"/>
      <c r="T37" s="372"/>
      <c r="U37" s="372"/>
      <c r="V37" s="393"/>
    </row>
    <row r="38" spans="1:22" x14ac:dyDescent="0.3">
      <c r="A38" s="369">
        <v>4</v>
      </c>
      <c r="B38" s="371" t="s">
        <v>6</v>
      </c>
      <c r="C38" s="373" t="s">
        <v>498</v>
      </c>
      <c r="D38" s="375" t="s">
        <v>504</v>
      </c>
      <c r="E38" s="371" t="s">
        <v>505</v>
      </c>
      <c r="F38" s="371" t="s">
        <v>457</v>
      </c>
      <c r="G38" s="377">
        <v>45751</v>
      </c>
      <c r="H38" s="377">
        <f>G38+21</f>
        <v>45772</v>
      </c>
      <c r="I38" s="377">
        <v>45727</v>
      </c>
      <c r="J38" s="403">
        <f>I38-G38</f>
        <v>-24</v>
      </c>
      <c r="K38" s="403">
        <f>R38-H38</f>
        <v>53</v>
      </c>
      <c r="L38" s="270" t="s">
        <v>458</v>
      </c>
      <c r="M38" s="273">
        <v>45727</v>
      </c>
      <c r="N38" s="273">
        <v>45736</v>
      </c>
      <c r="O38" s="274" t="s">
        <v>481</v>
      </c>
      <c r="P38" s="270">
        <f t="shared" si="0"/>
        <v>9</v>
      </c>
      <c r="Q38" s="270">
        <f>M39-N38</f>
        <v>19</v>
      </c>
      <c r="R38" s="419">
        <f>N42</f>
        <v>45825</v>
      </c>
      <c r="S38" s="371" t="s">
        <v>397</v>
      </c>
      <c r="T38" s="371" t="str">
        <f>O43</f>
        <v>CAT - I</v>
      </c>
      <c r="U38" s="371" t="s">
        <v>397</v>
      </c>
      <c r="V38" s="399"/>
    </row>
    <row r="39" spans="1:22" x14ac:dyDescent="0.3">
      <c r="A39" s="370"/>
      <c r="B39" s="372"/>
      <c r="C39" s="420"/>
      <c r="D39" s="376"/>
      <c r="E39" s="372"/>
      <c r="F39" s="372"/>
      <c r="G39" s="378"/>
      <c r="H39" s="378"/>
      <c r="I39" s="378"/>
      <c r="J39" s="396"/>
      <c r="K39" s="396"/>
      <c r="L39" s="270" t="s">
        <v>460</v>
      </c>
      <c r="M39" s="273">
        <v>45755</v>
      </c>
      <c r="N39" s="273">
        <v>45758</v>
      </c>
      <c r="O39" s="274" t="s">
        <v>472</v>
      </c>
      <c r="P39" s="270">
        <f t="shared" si="0"/>
        <v>3</v>
      </c>
      <c r="Q39" s="270">
        <f>M40-N39</f>
        <v>25</v>
      </c>
      <c r="R39" s="419"/>
      <c r="S39" s="372"/>
      <c r="T39" s="372"/>
      <c r="U39" s="372"/>
      <c r="V39" s="393"/>
    </row>
    <row r="40" spans="1:22" x14ac:dyDescent="0.3">
      <c r="A40" s="370"/>
      <c r="B40" s="372"/>
      <c r="C40" s="420"/>
      <c r="D40" s="376"/>
      <c r="E40" s="372"/>
      <c r="F40" s="372"/>
      <c r="G40" s="378"/>
      <c r="H40" s="378"/>
      <c r="I40" s="378"/>
      <c r="J40" s="396"/>
      <c r="K40" s="396"/>
      <c r="L40" s="270" t="s">
        <v>462</v>
      </c>
      <c r="M40" s="273">
        <v>45783</v>
      </c>
      <c r="N40" s="273">
        <v>45784</v>
      </c>
      <c r="O40" s="274" t="s">
        <v>472</v>
      </c>
      <c r="P40" s="270">
        <f t="shared" si="0"/>
        <v>1</v>
      </c>
      <c r="Q40" s="270">
        <f>M41-N40</f>
        <v>21</v>
      </c>
      <c r="R40" s="419"/>
      <c r="S40" s="372"/>
      <c r="T40" s="372"/>
      <c r="U40" s="372"/>
      <c r="V40" s="393"/>
    </row>
    <row r="41" spans="1:22" x14ac:dyDescent="0.3">
      <c r="A41" s="370"/>
      <c r="B41" s="372"/>
      <c r="C41" s="420"/>
      <c r="D41" s="376"/>
      <c r="E41" s="372"/>
      <c r="F41" s="372"/>
      <c r="G41" s="378"/>
      <c r="H41" s="378"/>
      <c r="I41" s="378"/>
      <c r="J41" s="396"/>
      <c r="K41" s="396"/>
      <c r="L41" s="270" t="s">
        <v>463</v>
      </c>
      <c r="M41" s="273">
        <v>45805</v>
      </c>
      <c r="N41" s="273">
        <v>45807</v>
      </c>
      <c r="O41" s="274" t="s">
        <v>481</v>
      </c>
      <c r="P41" s="270">
        <f t="shared" si="0"/>
        <v>2</v>
      </c>
      <c r="Q41" s="270"/>
      <c r="R41" s="419"/>
      <c r="S41" s="372"/>
      <c r="T41" s="372"/>
      <c r="U41" s="372"/>
      <c r="V41" s="393"/>
    </row>
    <row r="42" spans="1:22" x14ac:dyDescent="0.3">
      <c r="A42" s="370"/>
      <c r="B42" s="372"/>
      <c r="C42" s="420"/>
      <c r="D42" s="376"/>
      <c r="E42" s="372"/>
      <c r="F42" s="372"/>
      <c r="G42" s="378"/>
      <c r="H42" s="378"/>
      <c r="I42" s="378"/>
      <c r="J42" s="396"/>
      <c r="K42" s="396"/>
      <c r="L42" s="270" t="s">
        <v>813</v>
      </c>
      <c r="M42" s="273">
        <v>45825</v>
      </c>
      <c r="N42" s="273">
        <v>45825</v>
      </c>
      <c r="O42" s="274" t="s">
        <v>472</v>
      </c>
      <c r="P42" s="270">
        <f t="shared" si="0"/>
        <v>0</v>
      </c>
      <c r="Q42" s="270"/>
      <c r="R42" s="419"/>
      <c r="S42" s="372"/>
      <c r="T42" s="372"/>
      <c r="U42" s="372"/>
      <c r="V42" s="393"/>
    </row>
    <row r="43" spans="1:22" x14ac:dyDescent="0.3">
      <c r="A43" s="370"/>
      <c r="B43" s="372"/>
      <c r="C43" s="420"/>
      <c r="D43" s="376"/>
      <c r="E43" s="372"/>
      <c r="F43" s="372"/>
      <c r="G43" s="378"/>
      <c r="H43" s="378"/>
      <c r="I43" s="378"/>
      <c r="J43" s="396"/>
      <c r="K43" s="396"/>
      <c r="L43" s="270" t="s">
        <v>820</v>
      </c>
      <c r="M43" s="273">
        <v>45855</v>
      </c>
      <c r="N43" s="273">
        <v>45859</v>
      </c>
      <c r="O43" s="274" t="s">
        <v>472</v>
      </c>
      <c r="P43" s="270">
        <f>N43-M43</f>
        <v>4</v>
      </c>
      <c r="Q43" s="270"/>
      <c r="R43" s="419"/>
      <c r="S43" s="372"/>
      <c r="T43" s="372"/>
      <c r="U43" s="372"/>
      <c r="V43" s="393"/>
    </row>
    <row r="44" spans="1:22" x14ac:dyDescent="0.3">
      <c r="A44" s="369">
        <v>5</v>
      </c>
      <c r="B44" s="371" t="s">
        <v>6</v>
      </c>
      <c r="C44" s="373" t="s">
        <v>498</v>
      </c>
      <c r="D44" s="375" t="s">
        <v>506</v>
      </c>
      <c r="E44" s="371" t="s">
        <v>508</v>
      </c>
      <c r="F44" s="371" t="s">
        <v>457</v>
      </c>
      <c r="G44" s="377">
        <v>45811</v>
      </c>
      <c r="H44" s="377">
        <f>G44+15</f>
        <v>45826</v>
      </c>
      <c r="I44" s="377">
        <v>45811</v>
      </c>
      <c r="J44" s="403">
        <f>I44-G44</f>
        <v>0</v>
      </c>
      <c r="K44" s="403">
        <f>R44-H44</f>
        <v>20</v>
      </c>
      <c r="L44" s="270" t="s">
        <v>458</v>
      </c>
      <c r="M44" s="273">
        <v>45811</v>
      </c>
      <c r="N44" s="273">
        <v>45818</v>
      </c>
      <c r="O44" s="274" t="s">
        <v>459</v>
      </c>
      <c r="P44" s="270">
        <f>N44-M44</f>
        <v>7</v>
      </c>
      <c r="Q44" s="270">
        <f>M45-N44</f>
        <v>15</v>
      </c>
      <c r="R44" s="377">
        <f>N45</f>
        <v>45846</v>
      </c>
      <c r="S44" s="371" t="s">
        <v>397</v>
      </c>
      <c r="T44" s="371" t="str">
        <f>O45</f>
        <v>CAT - I</v>
      </c>
      <c r="U44" s="371" t="s">
        <v>397</v>
      </c>
      <c r="V44" s="422"/>
    </row>
    <row r="45" spans="1:22" x14ac:dyDescent="0.3">
      <c r="A45" s="370"/>
      <c r="B45" s="372"/>
      <c r="C45" s="374"/>
      <c r="D45" s="376"/>
      <c r="E45" s="372"/>
      <c r="F45" s="372"/>
      <c r="G45" s="378"/>
      <c r="H45" s="378"/>
      <c r="I45" s="378"/>
      <c r="J45" s="396"/>
      <c r="K45" s="396"/>
      <c r="L45" s="270" t="s">
        <v>460</v>
      </c>
      <c r="M45" s="273">
        <v>45833</v>
      </c>
      <c r="N45" s="273">
        <v>45846</v>
      </c>
      <c r="O45" s="274" t="s">
        <v>472</v>
      </c>
      <c r="P45" s="270">
        <f>N45-M45</f>
        <v>13</v>
      </c>
      <c r="Q45" s="270"/>
      <c r="R45" s="371"/>
      <c r="S45" s="372"/>
      <c r="T45" s="372"/>
      <c r="U45" s="372"/>
      <c r="V45" s="423"/>
    </row>
    <row r="46" spans="1:22" x14ac:dyDescent="0.3">
      <c r="A46" s="369">
        <v>6</v>
      </c>
      <c r="B46" s="371" t="s">
        <v>6</v>
      </c>
      <c r="C46" s="373" t="s">
        <v>498</v>
      </c>
      <c r="D46" s="375" t="s">
        <v>507</v>
      </c>
      <c r="E46" s="371" t="s">
        <v>508</v>
      </c>
      <c r="F46" s="371" t="s">
        <v>457</v>
      </c>
      <c r="G46" s="377">
        <v>45751</v>
      </c>
      <c r="H46" s="377">
        <f>G46+21</f>
        <v>45772</v>
      </c>
      <c r="I46" s="377">
        <v>45727</v>
      </c>
      <c r="J46" s="403">
        <f>I46-G46</f>
        <v>-24</v>
      </c>
      <c r="K46" s="403">
        <f>R46-H46</f>
        <v>-14</v>
      </c>
      <c r="L46" s="270" t="s">
        <v>458</v>
      </c>
      <c r="M46" s="273">
        <v>45727</v>
      </c>
      <c r="N46" s="273">
        <v>45736</v>
      </c>
      <c r="O46" s="274" t="s">
        <v>459</v>
      </c>
      <c r="P46" s="270">
        <f t="shared" ref="P46:P61" si="1">N46-M46</f>
        <v>9</v>
      </c>
      <c r="Q46" s="270">
        <f>M47-N46</f>
        <v>19</v>
      </c>
      <c r="R46" s="419">
        <v>45758</v>
      </c>
      <c r="S46" s="371" t="s">
        <v>397</v>
      </c>
      <c r="T46" s="371" t="str">
        <f>O47</f>
        <v>CAT - I</v>
      </c>
      <c r="U46" s="371" t="s">
        <v>397</v>
      </c>
      <c r="V46" s="399"/>
    </row>
    <row r="47" spans="1:22" x14ac:dyDescent="0.3">
      <c r="A47" s="370"/>
      <c r="B47" s="372"/>
      <c r="C47" s="374"/>
      <c r="D47" s="376"/>
      <c r="E47" s="372"/>
      <c r="F47" s="372"/>
      <c r="G47" s="378"/>
      <c r="H47" s="378"/>
      <c r="I47" s="378"/>
      <c r="J47" s="396"/>
      <c r="K47" s="396"/>
      <c r="L47" s="270" t="s">
        <v>460</v>
      </c>
      <c r="M47" s="273">
        <v>45755</v>
      </c>
      <c r="N47" s="273">
        <v>45758</v>
      </c>
      <c r="O47" s="274" t="s">
        <v>472</v>
      </c>
      <c r="P47" s="270">
        <f t="shared" si="1"/>
        <v>3</v>
      </c>
      <c r="Q47" s="270"/>
      <c r="R47" s="419"/>
      <c r="S47" s="372"/>
      <c r="T47" s="372"/>
      <c r="U47" s="372"/>
      <c r="V47" s="393"/>
    </row>
    <row r="48" spans="1:22" x14ac:dyDescent="0.3">
      <c r="A48" s="369">
        <v>7</v>
      </c>
      <c r="B48" s="371" t="s">
        <v>6</v>
      </c>
      <c r="C48" s="373" t="s">
        <v>498</v>
      </c>
      <c r="D48" s="375" t="s">
        <v>509</v>
      </c>
      <c r="E48" s="371" t="s">
        <v>510</v>
      </c>
      <c r="F48" s="371" t="s">
        <v>467</v>
      </c>
      <c r="G48" s="377">
        <v>45769</v>
      </c>
      <c r="H48" s="377">
        <f>G48+15</f>
        <v>45784</v>
      </c>
      <c r="I48" s="377">
        <v>45769</v>
      </c>
      <c r="J48" s="403">
        <f>I48-G48</f>
        <v>0</v>
      </c>
      <c r="K48" s="403">
        <f>R48-H48</f>
        <v>-5</v>
      </c>
      <c r="L48" s="270" t="s">
        <v>458</v>
      </c>
      <c r="M48" s="273">
        <v>45769</v>
      </c>
      <c r="N48" s="273">
        <v>45779</v>
      </c>
      <c r="O48" s="274" t="s">
        <v>511</v>
      </c>
      <c r="P48" s="270">
        <f t="shared" si="1"/>
        <v>10</v>
      </c>
      <c r="Q48" s="270">
        <f>M49-N48</f>
        <v>3</v>
      </c>
      <c r="R48" s="404">
        <f>N48</f>
        <v>45779</v>
      </c>
      <c r="S48" s="371" t="s">
        <v>397</v>
      </c>
      <c r="T48" s="371" t="str">
        <f>O49</f>
        <v xml:space="preserve">CAT -IV </v>
      </c>
      <c r="U48" s="371" t="s">
        <v>397</v>
      </c>
      <c r="V48" s="422"/>
    </row>
    <row r="49" spans="1:22" x14ac:dyDescent="0.3">
      <c r="A49" s="370"/>
      <c r="B49" s="372"/>
      <c r="C49" s="420"/>
      <c r="D49" s="376"/>
      <c r="E49" s="372"/>
      <c r="F49" s="372"/>
      <c r="G49" s="378"/>
      <c r="H49" s="378"/>
      <c r="I49" s="378"/>
      <c r="J49" s="396"/>
      <c r="K49" s="396"/>
      <c r="L49" s="270" t="s">
        <v>460</v>
      </c>
      <c r="M49" s="273">
        <v>45782</v>
      </c>
      <c r="N49" s="273">
        <v>45784</v>
      </c>
      <c r="O49" s="274" t="s">
        <v>511</v>
      </c>
      <c r="P49" s="270">
        <f t="shared" si="1"/>
        <v>2</v>
      </c>
      <c r="Q49" s="270">
        <f>M51-N49</f>
        <v>41</v>
      </c>
      <c r="R49" s="404"/>
      <c r="S49" s="372"/>
      <c r="T49" s="372"/>
      <c r="U49" s="372"/>
      <c r="V49" s="426"/>
    </row>
    <row r="50" spans="1:22" x14ac:dyDescent="0.3">
      <c r="A50" s="370"/>
      <c r="B50" s="372"/>
      <c r="C50" s="420"/>
      <c r="D50" s="376"/>
      <c r="E50" s="372"/>
      <c r="F50" s="372"/>
      <c r="G50" s="378"/>
      <c r="H50" s="378"/>
      <c r="I50" s="378"/>
      <c r="J50" s="396"/>
      <c r="K50" s="396"/>
      <c r="L50" s="270" t="s">
        <v>462</v>
      </c>
      <c r="M50" s="273">
        <v>45805</v>
      </c>
      <c r="N50" s="273">
        <v>45807</v>
      </c>
      <c r="O50" s="274" t="s">
        <v>511</v>
      </c>
      <c r="P50" s="270">
        <f t="shared" si="1"/>
        <v>2</v>
      </c>
      <c r="Q50" s="270">
        <f>M51-N50</f>
        <v>18</v>
      </c>
      <c r="R50" s="404"/>
      <c r="S50" s="372"/>
      <c r="T50" s="372"/>
      <c r="U50" s="372"/>
      <c r="V50" s="426"/>
    </row>
    <row r="51" spans="1:22" x14ac:dyDescent="0.3">
      <c r="A51" s="370"/>
      <c r="B51" s="372"/>
      <c r="C51" s="420"/>
      <c r="D51" s="376"/>
      <c r="E51" s="372"/>
      <c r="F51" s="372"/>
      <c r="G51" s="378"/>
      <c r="H51" s="378"/>
      <c r="I51" s="378"/>
      <c r="J51" s="396"/>
      <c r="K51" s="396"/>
      <c r="L51" s="270" t="s">
        <v>463</v>
      </c>
      <c r="M51" s="273">
        <v>45825</v>
      </c>
      <c r="N51" s="273">
        <v>45825</v>
      </c>
      <c r="O51" s="274" t="s">
        <v>511</v>
      </c>
      <c r="P51" s="270">
        <f t="shared" si="1"/>
        <v>0</v>
      </c>
      <c r="Q51" s="270"/>
      <c r="R51" s="404"/>
      <c r="S51" s="372"/>
      <c r="T51" s="372"/>
      <c r="U51" s="372"/>
      <c r="V51" s="426"/>
    </row>
    <row r="52" spans="1:22" x14ac:dyDescent="0.3">
      <c r="A52" s="370"/>
      <c r="B52" s="372"/>
      <c r="C52" s="420"/>
      <c r="D52" s="376"/>
      <c r="E52" s="372"/>
      <c r="F52" s="372"/>
      <c r="G52" s="378"/>
      <c r="H52" s="378"/>
      <c r="I52" s="378"/>
      <c r="J52" s="396"/>
      <c r="K52" s="396"/>
      <c r="L52" s="270" t="s">
        <v>813</v>
      </c>
      <c r="M52" s="273">
        <v>45838</v>
      </c>
      <c r="N52" s="273">
        <v>45838</v>
      </c>
      <c r="O52" s="274" t="s">
        <v>511</v>
      </c>
      <c r="P52" s="270">
        <f t="shared" si="1"/>
        <v>0</v>
      </c>
      <c r="Q52" s="270"/>
      <c r="R52" s="404"/>
      <c r="S52" s="372"/>
      <c r="T52" s="372"/>
      <c r="U52" s="372"/>
      <c r="V52" s="426"/>
    </row>
    <row r="53" spans="1:22" x14ac:dyDescent="0.3">
      <c r="A53" s="370"/>
      <c r="B53" s="372"/>
      <c r="C53" s="420"/>
      <c r="D53" s="376"/>
      <c r="E53" s="372"/>
      <c r="F53" s="372"/>
      <c r="G53" s="378"/>
      <c r="H53" s="378"/>
      <c r="I53" s="378"/>
      <c r="J53" s="396"/>
      <c r="K53" s="396"/>
      <c r="L53" s="270" t="s">
        <v>820</v>
      </c>
      <c r="M53" s="273">
        <v>45866</v>
      </c>
      <c r="N53" s="278">
        <v>45868</v>
      </c>
      <c r="O53" s="274" t="s">
        <v>511</v>
      </c>
      <c r="P53" s="270">
        <f>N53-M53</f>
        <v>2</v>
      </c>
      <c r="Q53" s="270"/>
      <c r="R53" s="404"/>
      <c r="S53" s="372"/>
      <c r="T53" s="372"/>
      <c r="U53" s="372"/>
      <c r="V53" s="423"/>
    </row>
    <row r="54" spans="1:22" x14ac:dyDescent="0.3">
      <c r="A54" s="369">
        <v>8</v>
      </c>
      <c r="B54" s="371" t="s">
        <v>6</v>
      </c>
      <c r="C54" s="373" t="s">
        <v>498</v>
      </c>
      <c r="D54" s="375" t="s">
        <v>512</v>
      </c>
      <c r="E54" s="371" t="s">
        <v>513</v>
      </c>
      <c r="F54" s="371" t="s">
        <v>467</v>
      </c>
      <c r="G54" s="377">
        <v>45811</v>
      </c>
      <c r="H54" s="377">
        <f>G54+15</f>
        <v>45826</v>
      </c>
      <c r="I54" s="377">
        <v>45811</v>
      </c>
      <c r="J54" s="403">
        <f>I54-G54</f>
        <v>0</v>
      </c>
      <c r="K54" s="403">
        <f>R54-H54</f>
        <v>20</v>
      </c>
      <c r="L54" s="270" t="s">
        <v>458</v>
      </c>
      <c r="M54" s="273">
        <v>45811</v>
      </c>
      <c r="N54" s="273">
        <v>45818</v>
      </c>
      <c r="O54" s="274" t="s">
        <v>468</v>
      </c>
      <c r="P54" s="270">
        <f t="shared" si="1"/>
        <v>7</v>
      </c>
      <c r="Q54" s="270">
        <f>M55-N54</f>
        <v>15</v>
      </c>
      <c r="R54" s="377">
        <f>N55</f>
        <v>45846</v>
      </c>
      <c r="S54" s="371" t="s">
        <v>397</v>
      </c>
      <c r="T54" s="371" t="str">
        <f>O55</f>
        <v xml:space="preserve">CAT -IV </v>
      </c>
      <c r="U54" s="371" t="s">
        <v>397</v>
      </c>
      <c r="V54" s="422"/>
    </row>
    <row r="55" spans="1:22" x14ac:dyDescent="0.3">
      <c r="A55" s="370"/>
      <c r="B55" s="372"/>
      <c r="C55" s="374"/>
      <c r="D55" s="376"/>
      <c r="E55" s="372"/>
      <c r="F55" s="372"/>
      <c r="G55" s="378"/>
      <c r="H55" s="378"/>
      <c r="I55" s="378"/>
      <c r="J55" s="396"/>
      <c r="K55" s="396"/>
      <c r="L55" s="270" t="s">
        <v>460</v>
      </c>
      <c r="M55" s="273">
        <v>45833</v>
      </c>
      <c r="N55" s="273">
        <v>45846</v>
      </c>
      <c r="O55" s="274" t="s">
        <v>511</v>
      </c>
      <c r="P55" s="270">
        <f t="shared" si="1"/>
        <v>13</v>
      </c>
      <c r="Q55" s="270"/>
      <c r="R55" s="372"/>
      <c r="S55" s="372"/>
      <c r="T55" s="372"/>
      <c r="U55" s="372"/>
      <c r="V55" s="423"/>
    </row>
    <row r="56" spans="1:22" ht="20" x14ac:dyDescent="0.3">
      <c r="A56" s="298">
        <v>9</v>
      </c>
      <c r="B56" s="270" t="s">
        <v>6</v>
      </c>
      <c r="C56" s="271" t="s">
        <v>498</v>
      </c>
      <c r="D56" s="272" t="s">
        <v>514</v>
      </c>
      <c r="E56" s="270" t="s">
        <v>854</v>
      </c>
      <c r="F56" s="270" t="s">
        <v>467</v>
      </c>
      <c r="G56" s="273">
        <v>45824</v>
      </c>
      <c r="H56" s="273">
        <f>G56+5</f>
        <v>45829</v>
      </c>
      <c r="I56" s="273">
        <v>45842</v>
      </c>
      <c r="J56" s="338">
        <f>I56-G56</f>
        <v>18</v>
      </c>
      <c r="K56" s="338">
        <f>R56-H56</f>
        <v>16</v>
      </c>
      <c r="L56" s="270" t="s">
        <v>458</v>
      </c>
      <c r="M56" s="273">
        <v>45842</v>
      </c>
      <c r="N56" s="273">
        <v>45845</v>
      </c>
      <c r="O56" s="274" t="s">
        <v>511</v>
      </c>
      <c r="P56" s="270">
        <f t="shared" si="1"/>
        <v>3</v>
      </c>
      <c r="Q56" s="270"/>
      <c r="R56" s="278">
        <v>45845</v>
      </c>
      <c r="S56" s="270" t="s">
        <v>397</v>
      </c>
      <c r="T56" s="270" t="s">
        <v>511</v>
      </c>
      <c r="U56" s="270" t="s">
        <v>397</v>
      </c>
      <c r="V56" s="299"/>
    </row>
    <row r="57" spans="1:22" ht="20" x14ac:dyDescent="0.3">
      <c r="A57" s="309">
        <v>10</v>
      </c>
      <c r="B57" s="310" t="s">
        <v>6</v>
      </c>
      <c r="C57" s="311" t="s">
        <v>498</v>
      </c>
      <c r="D57" s="312" t="s">
        <v>821</v>
      </c>
      <c r="E57" s="310" t="s">
        <v>822</v>
      </c>
      <c r="F57" s="310" t="s">
        <v>467</v>
      </c>
      <c r="G57" s="313">
        <v>45824</v>
      </c>
      <c r="H57" s="313">
        <f>G57+5</f>
        <v>45829</v>
      </c>
      <c r="I57" s="313">
        <v>45848</v>
      </c>
      <c r="J57" s="339">
        <f>I57-G57</f>
        <v>24</v>
      </c>
      <c r="K57" s="339">
        <f ca="1">I1-H57</f>
        <v>84</v>
      </c>
      <c r="L57" s="310" t="s">
        <v>458</v>
      </c>
      <c r="M57" s="313">
        <v>45848</v>
      </c>
      <c r="N57" s="313">
        <v>45850</v>
      </c>
      <c r="O57" s="314" t="s">
        <v>468</v>
      </c>
      <c r="P57" s="310">
        <f t="shared" si="1"/>
        <v>2</v>
      </c>
      <c r="Q57" s="310">
        <f ca="1">I1-N57</f>
        <v>63</v>
      </c>
      <c r="R57" s="320"/>
      <c r="S57" s="310" t="s">
        <v>489</v>
      </c>
      <c r="T57" s="310" t="str">
        <f>O57</f>
        <v>CAT -IV R</v>
      </c>
      <c r="U57" s="310" t="s">
        <v>464</v>
      </c>
      <c r="V57" s="315"/>
    </row>
    <row r="58" spans="1:22" ht="20" x14ac:dyDescent="0.3">
      <c r="A58" s="298">
        <v>11</v>
      </c>
      <c r="B58" s="270" t="s">
        <v>6</v>
      </c>
      <c r="C58" s="271" t="s">
        <v>498</v>
      </c>
      <c r="D58" s="272" t="s">
        <v>823</v>
      </c>
      <c r="E58" s="270" t="s">
        <v>824</v>
      </c>
      <c r="F58" s="270" t="s">
        <v>467</v>
      </c>
      <c r="G58" s="273">
        <v>45824</v>
      </c>
      <c r="H58" s="273">
        <f>G58+5</f>
        <v>45829</v>
      </c>
      <c r="I58" s="273">
        <v>45848</v>
      </c>
      <c r="J58" s="338">
        <f>I58-G58</f>
        <v>24</v>
      </c>
      <c r="K58" s="338">
        <f>N58-I58</f>
        <v>2</v>
      </c>
      <c r="L58" s="270" t="s">
        <v>458</v>
      </c>
      <c r="M58" s="273">
        <v>45848</v>
      </c>
      <c r="N58" s="273">
        <v>45850</v>
      </c>
      <c r="O58" s="274" t="s">
        <v>511</v>
      </c>
      <c r="P58" s="270">
        <f t="shared" si="1"/>
        <v>2</v>
      </c>
      <c r="Q58" s="270"/>
      <c r="R58" s="278">
        <f>N58</f>
        <v>45850</v>
      </c>
      <c r="S58" s="270" t="s">
        <v>397</v>
      </c>
      <c r="T58" s="270" t="s">
        <v>511</v>
      </c>
      <c r="U58" s="270" t="s">
        <v>397</v>
      </c>
      <c r="V58" s="299"/>
    </row>
    <row r="59" spans="1:22" x14ac:dyDescent="0.3">
      <c r="A59" s="385">
        <v>1</v>
      </c>
      <c r="B59" s="365" t="s">
        <v>6</v>
      </c>
      <c r="C59" s="387" t="s">
        <v>515</v>
      </c>
      <c r="D59" s="389" t="s">
        <v>516</v>
      </c>
      <c r="E59" s="365" t="s">
        <v>517</v>
      </c>
      <c r="F59" s="365" t="s">
        <v>457</v>
      </c>
      <c r="G59" s="379">
        <v>45763</v>
      </c>
      <c r="H59" s="379">
        <f>G59+21</f>
        <v>45784</v>
      </c>
      <c r="I59" s="379">
        <v>45763</v>
      </c>
      <c r="J59" s="381">
        <f>I59-G59</f>
        <v>0</v>
      </c>
      <c r="K59" s="381">
        <f ca="1">I1-H59</f>
        <v>129</v>
      </c>
      <c r="L59" s="262" t="s">
        <v>458</v>
      </c>
      <c r="M59" s="265">
        <v>45763</v>
      </c>
      <c r="N59" s="265">
        <v>45784</v>
      </c>
      <c r="O59" s="266" t="s">
        <v>459</v>
      </c>
      <c r="P59" s="262">
        <f t="shared" si="1"/>
        <v>21</v>
      </c>
      <c r="Q59" s="262">
        <f>M63-N59</f>
        <v>69</v>
      </c>
      <c r="R59" s="262"/>
      <c r="S59" s="365" t="s">
        <v>489</v>
      </c>
      <c r="T59" s="365" t="str">
        <f>O63</f>
        <v>CAT - II</v>
      </c>
      <c r="U59" s="365" t="s">
        <v>461</v>
      </c>
      <c r="V59" s="367"/>
    </row>
    <row r="60" spans="1:22" x14ac:dyDescent="0.3">
      <c r="A60" s="385"/>
      <c r="B60" s="365"/>
      <c r="C60" s="387"/>
      <c r="D60" s="389"/>
      <c r="E60" s="424"/>
      <c r="F60" s="424"/>
      <c r="G60" s="425"/>
      <c r="H60" s="425"/>
      <c r="I60" s="425"/>
      <c r="J60" s="440"/>
      <c r="K60" s="440"/>
      <c r="L60" s="262" t="s">
        <v>460</v>
      </c>
      <c r="M60" s="265">
        <v>45791</v>
      </c>
      <c r="N60" s="265">
        <v>45800</v>
      </c>
      <c r="O60" s="266" t="s">
        <v>459</v>
      </c>
      <c r="P60" s="262">
        <f t="shared" si="1"/>
        <v>9</v>
      </c>
      <c r="Q60" s="262">
        <f>M61-N60</f>
        <v>16</v>
      </c>
      <c r="R60" s="262"/>
      <c r="S60" s="424"/>
      <c r="T60" s="424"/>
      <c r="U60" s="424"/>
      <c r="V60" s="431"/>
    </row>
    <row r="61" spans="1:22" x14ac:dyDescent="0.3">
      <c r="A61" s="385"/>
      <c r="B61" s="365"/>
      <c r="C61" s="387"/>
      <c r="D61" s="389"/>
      <c r="E61" s="424"/>
      <c r="F61" s="424"/>
      <c r="G61" s="425"/>
      <c r="H61" s="425"/>
      <c r="I61" s="425"/>
      <c r="J61" s="440"/>
      <c r="K61" s="440"/>
      <c r="L61" s="262" t="s">
        <v>462</v>
      </c>
      <c r="M61" s="265">
        <v>45816</v>
      </c>
      <c r="N61" s="265">
        <v>45821</v>
      </c>
      <c r="O61" s="266" t="s">
        <v>459</v>
      </c>
      <c r="P61" s="262">
        <f t="shared" si="1"/>
        <v>5</v>
      </c>
      <c r="Q61" s="262">
        <f>M63-N61</f>
        <v>32</v>
      </c>
      <c r="R61" s="262"/>
      <c r="S61" s="424"/>
      <c r="T61" s="424"/>
      <c r="U61" s="424"/>
      <c r="V61" s="431"/>
    </row>
    <row r="62" spans="1:22" x14ac:dyDescent="0.3">
      <c r="A62" s="385"/>
      <c r="B62" s="365"/>
      <c r="C62" s="387"/>
      <c r="D62" s="389"/>
      <c r="E62" s="424"/>
      <c r="F62" s="424"/>
      <c r="G62" s="425"/>
      <c r="H62" s="425"/>
      <c r="I62" s="425"/>
      <c r="J62" s="440"/>
      <c r="K62" s="440"/>
      <c r="L62" s="262" t="s">
        <v>463</v>
      </c>
      <c r="M62" s="265">
        <v>45825</v>
      </c>
      <c r="N62" s="265">
        <v>45827</v>
      </c>
      <c r="O62" s="266" t="s">
        <v>481</v>
      </c>
      <c r="P62" s="262">
        <f>N62-M62</f>
        <v>2</v>
      </c>
      <c r="Q62" s="262"/>
      <c r="R62" s="262"/>
      <c r="S62" s="424"/>
      <c r="T62" s="424"/>
      <c r="U62" s="424"/>
      <c r="V62" s="431"/>
    </row>
    <row r="63" spans="1:22" x14ac:dyDescent="0.3">
      <c r="A63" s="385"/>
      <c r="B63" s="365"/>
      <c r="C63" s="387"/>
      <c r="D63" s="389"/>
      <c r="E63" s="424"/>
      <c r="F63" s="424"/>
      <c r="G63" s="425"/>
      <c r="H63" s="425"/>
      <c r="I63" s="425"/>
      <c r="J63" s="440"/>
      <c r="K63" s="440"/>
      <c r="L63" s="262" t="s">
        <v>813</v>
      </c>
      <c r="M63" s="265">
        <v>45853</v>
      </c>
      <c r="N63" s="265"/>
      <c r="O63" s="266" t="s">
        <v>481</v>
      </c>
      <c r="P63" s="262">
        <f ca="1">I1-M63</f>
        <v>60</v>
      </c>
      <c r="Q63" s="262"/>
      <c r="R63" s="262"/>
      <c r="S63" s="424"/>
      <c r="T63" s="424"/>
      <c r="U63" s="424"/>
      <c r="V63" s="431"/>
    </row>
    <row r="64" spans="1:22" ht="20" x14ac:dyDescent="0.3">
      <c r="A64" s="298">
        <v>2</v>
      </c>
      <c r="B64" s="270" t="s">
        <v>6</v>
      </c>
      <c r="C64" s="271" t="s">
        <v>515</v>
      </c>
      <c r="D64" s="272" t="s">
        <v>518</v>
      </c>
      <c r="E64" s="270" t="s">
        <v>519</v>
      </c>
      <c r="F64" s="270" t="s">
        <v>457</v>
      </c>
      <c r="G64" s="273">
        <v>45809</v>
      </c>
      <c r="H64" s="273">
        <f>G64+15</f>
        <v>45824</v>
      </c>
      <c r="I64" s="273">
        <v>45853</v>
      </c>
      <c r="J64" s="338">
        <f>I64-G64</f>
        <v>44</v>
      </c>
      <c r="K64" s="338">
        <f>N64-I64</f>
        <v>19</v>
      </c>
      <c r="L64" s="270" t="s">
        <v>462</v>
      </c>
      <c r="M64" s="273">
        <v>45867</v>
      </c>
      <c r="N64" s="273">
        <v>45872</v>
      </c>
      <c r="O64" s="274" t="s">
        <v>472</v>
      </c>
      <c r="P64" s="270">
        <f>N64-M64</f>
        <v>5</v>
      </c>
      <c r="Q64" s="270"/>
      <c r="R64" s="270"/>
      <c r="S64" s="270" t="s">
        <v>397</v>
      </c>
      <c r="T64" s="270" t="str">
        <f>O64</f>
        <v>CAT - I</v>
      </c>
      <c r="U64" s="270" t="s">
        <v>397</v>
      </c>
      <c r="V64" s="299"/>
    </row>
    <row r="65" spans="1:22" x14ac:dyDescent="0.3">
      <c r="A65" s="432">
        <v>3</v>
      </c>
      <c r="B65" s="429" t="s">
        <v>6</v>
      </c>
      <c r="C65" s="434" t="s">
        <v>515</v>
      </c>
      <c r="D65" s="436" t="s">
        <v>520</v>
      </c>
      <c r="E65" s="429" t="s">
        <v>848</v>
      </c>
      <c r="F65" s="429" t="s">
        <v>457</v>
      </c>
      <c r="G65" s="438">
        <v>45813</v>
      </c>
      <c r="H65" s="438">
        <f>G65+15</f>
        <v>45828</v>
      </c>
      <c r="I65" s="438">
        <f>M65</f>
        <v>45867</v>
      </c>
      <c r="J65" s="427">
        <f>I65-G65</f>
        <v>54</v>
      </c>
      <c r="K65" s="427">
        <f>N65-I65</f>
        <v>5</v>
      </c>
      <c r="L65" s="270" t="s">
        <v>462</v>
      </c>
      <c r="M65" s="273">
        <v>45867</v>
      </c>
      <c r="N65" s="273">
        <v>45872</v>
      </c>
      <c r="O65" s="274" t="s">
        <v>472</v>
      </c>
      <c r="P65" s="270"/>
      <c r="Q65" s="270"/>
      <c r="R65" s="273">
        <f>N65</f>
        <v>45872</v>
      </c>
      <c r="S65" s="429" t="s">
        <v>397</v>
      </c>
      <c r="T65" s="429" t="str">
        <f>O65</f>
        <v>CAT - I</v>
      </c>
      <c r="U65" s="429" t="s">
        <v>397</v>
      </c>
      <c r="V65" s="299"/>
    </row>
    <row r="66" spans="1:22" x14ac:dyDescent="0.3">
      <c r="A66" s="433"/>
      <c r="B66" s="430"/>
      <c r="C66" s="435"/>
      <c r="D66" s="437"/>
      <c r="E66" s="430"/>
      <c r="F66" s="430"/>
      <c r="G66" s="439"/>
      <c r="H66" s="439"/>
      <c r="I66" s="439"/>
      <c r="J66" s="428"/>
      <c r="K66" s="428"/>
      <c r="L66" s="270" t="s">
        <v>463</v>
      </c>
      <c r="M66" s="273">
        <v>45903</v>
      </c>
      <c r="N66" s="273">
        <v>45904</v>
      </c>
      <c r="O66" s="274" t="s">
        <v>472</v>
      </c>
      <c r="P66" s="270"/>
      <c r="Q66" s="270"/>
      <c r="R66" s="273"/>
      <c r="S66" s="430"/>
      <c r="T66" s="430"/>
      <c r="U66" s="430"/>
      <c r="V66" s="299"/>
    </row>
    <row r="67" spans="1:22" x14ac:dyDescent="0.3">
      <c r="A67" s="369">
        <v>3</v>
      </c>
      <c r="B67" s="371" t="s">
        <v>6</v>
      </c>
      <c r="C67" s="373" t="s">
        <v>515</v>
      </c>
      <c r="D67" s="373" t="s">
        <v>520</v>
      </c>
      <c r="E67" s="371" t="s">
        <v>849</v>
      </c>
      <c r="F67" s="371" t="s">
        <v>457</v>
      </c>
      <c r="G67" s="377">
        <v>45813</v>
      </c>
      <c r="H67" s="377">
        <f>G67+15</f>
        <v>45828</v>
      </c>
      <c r="I67" s="377">
        <f>M67</f>
        <v>45867</v>
      </c>
      <c r="J67" s="403">
        <f>I67-G67</f>
        <v>54</v>
      </c>
      <c r="K67" s="403">
        <f>N68-I67</f>
        <v>16</v>
      </c>
      <c r="L67" s="270" t="s">
        <v>458</v>
      </c>
      <c r="M67" s="273">
        <v>45867</v>
      </c>
      <c r="N67" s="273">
        <v>45872</v>
      </c>
      <c r="O67" s="274" t="s">
        <v>459</v>
      </c>
      <c r="P67" s="270">
        <f>N67-M67</f>
        <v>5</v>
      </c>
      <c r="Q67" s="270">
        <f>M68-N67</f>
        <v>9</v>
      </c>
      <c r="R67" s="377">
        <f>N68</f>
        <v>45883</v>
      </c>
      <c r="S67" s="371" t="s">
        <v>397</v>
      </c>
      <c r="T67" s="371" t="str">
        <f>O68</f>
        <v>CAT - I</v>
      </c>
      <c r="U67" s="371" t="s">
        <v>397</v>
      </c>
      <c r="V67" s="399"/>
    </row>
    <row r="68" spans="1:22" x14ac:dyDescent="0.3">
      <c r="A68" s="370"/>
      <c r="B68" s="372"/>
      <c r="C68" s="373"/>
      <c r="D68" s="374"/>
      <c r="E68" s="372"/>
      <c r="F68" s="372"/>
      <c r="G68" s="378"/>
      <c r="H68" s="378"/>
      <c r="I68" s="378"/>
      <c r="J68" s="396"/>
      <c r="K68" s="396"/>
      <c r="L68" s="270" t="s">
        <v>460</v>
      </c>
      <c r="M68" s="273">
        <v>45881</v>
      </c>
      <c r="N68" s="273">
        <v>45883</v>
      </c>
      <c r="O68" s="274" t="s">
        <v>472</v>
      </c>
      <c r="P68" s="270">
        <f>N68-M68</f>
        <v>2</v>
      </c>
      <c r="Q68" s="270"/>
      <c r="R68" s="371"/>
      <c r="S68" s="372"/>
      <c r="T68" s="372"/>
      <c r="U68" s="372"/>
      <c r="V68" s="393"/>
    </row>
    <row r="69" spans="1:22" x14ac:dyDescent="0.3">
      <c r="A69" s="452">
        <v>3</v>
      </c>
      <c r="B69" s="441" t="s">
        <v>6</v>
      </c>
      <c r="C69" s="454" t="s">
        <v>515</v>
      </c>
      <c r="D69" s="456" t="s">
        <v>867</v>
      </c>
      <c r="E69" s="441" t="s">
        <v>868</v>
      </c>
      <c r="F69" s="441" t="s">
        <v>457</v>
      </c>
      <c r="G69" s="448">
        <v>45813</v>
      </c>
      <c r="H69" s="448">
        <f>G69+15</f>
        <v>45828</v>
      </c>
      <c r="I69" s="448">
        <f>M69</f>
        <v>45895</v>
      </c>
      <c r="J69" s="450">
        <f>I69-G69</f>
        <v>82</v>
      </c>
      <c r="K69" s="450">
        <f ca="1">I1-H69</f>
        <v>85</v>
      </c>
      <c r="L69" s="310" t="s">
        <v>458</v>
      </c>
      <c r="M69" s="313">
        <v>45895</v>
      </c>
      <c r="N69" s="313">
        <v>45901</v>
      </c>
      <c r="O69" s="314" t="s">
        <v>459</v>
      </c>
      <c r="P69" s="310">
        <f>N69-M69</f>
        <v>6</v>
      </c>
      <c r="Q69" s="310"/>
      <c r="R69" s="310"/>
      <c r="S69" s="441" t="s">
        <v>489</v>
      </c>
      <c r="T69" s="441" t="str">
        <f>O69</f>
        <v>CAT - III</v>
      </c>
      <c r="U69" s="441" t="s">
        <v>873</v>
      </c>
      <c r="V69" s="444"/>
    </row>
    <row r="70" spans="1:22" x14ac:dyDescent="0.3">
      <c r="A70" s="453"/>
      <c r="B70" s="443"/>
      <c r="C70" s="455"/>
      <c r="D70" s="457"/>
      <c r="E70" s="443"/>
      <c r="F70" s="443"/>
      <c r="G70" s="449"/>
      <c r="H70" s="449"/>
      <c r="I70" s="449"/>
      <c r="J70" s="451"/>
      <c r="K70" s="451"/>
      <c r="L70" s="310" t="s">
        <v>460</v>
      </c>
      <c r="M70" s="313">
        <v>45903</v>
      </c>
      <c r="N70" s="313">
        <v>45908</v>
      </c>
      <c r="O70" s="314" t="s">
        <v>459</v>
      </c>
      <c r="P70" s="310"/>
      <c r="Q70" s="310"/>
      <c r="R70" s="310"/>
      <c r="S70" s="442"/>
      <c r="T70" s="442"/>
      <c r="U70" s="442"/>
      <c r="V70" s="445"/>
    </row>
    <row r="71" spans="1:22" x14ac:dyDescent="0.3">
      <c r="A71" s="327"/>
      <c r="B71" s="326"/>
      <c r="C71" s="331"/>
      <c r="D71" s="328"/>
      <c r="E71" s="326"/>
      <c r="F71" s="326"/>
      <c r="G71" s="330"/>
      <c r="H71" s="330"/>
      <c r="I71" s="330"/>
      <c r="J71" s="341"/>
      <c r="K71" s="341"/>
      <c r="L71" s="310" t="s">
        <v>462</v>
      </c>
      <c r="M71" s="313">
        <v>45909</v>
      </c>
      <c r="N71" s="313"/>
      <c r="O71" s="314"/>
      <c r="P71" s="310"/>
      <c r="Q71" s="310"/>
      <c r="R71" s="310"/>
      <c r="S71" s="443"/>
      <c r="T71" s="443"/>
      <c r="U71" s="443"/>
      <c r="V71" s="325"/>
    </row>
    <row r="72" spans="1:22" x14ac:dyDescent="0.3">
      <c r="A72" s="405">
        <v>3</v>
      </c>
      <c r="B72" s="407" t="s">
        <v>6</v>
      </c>
      <c r="C72" s="409" t="s">
        <v>515</v>
      </c>
      <c r="D72" s="446" t="s">
        <v>867</v>
      </c>
      <c r="E72" s="407" t="s">
        <v>869</v>
      </c>
      <c r="F72" s="407" t="s">
        <v>457</v>
      </c>
      <c r="G72" s="413">
        <v>45813</v>
      </c>
      <c r="H72" s="413">
        <f>G72+15</f>
        <v>45828</v>
      </c>
      <c r="I72" s="413">
        <f>M72</f>
        <v>45903</v>
      </c>
      <c r="J72" s="417">
        <f>I72-G72</f>
        <v>90</v>
      </c>
      <c r="K72" s="417"/>
      <c r="L72" s="262" t="s">
        <v>460</v>
      </c>
      <c r="M72" s="265">
        <v>45903</v>
      </c>
      <c r="N72" s="265">
        <v>45904</v>
      </c>
      <c r="O72" s="266" t="s">
        <v>481</v>
      </c>
      <c r="P72" s="262">
        <f>N72-M72</f>
        <v>1</v>
      </c>
      <c r="Q72" s="262"/>
      <c r="R72" s="262"/>
      <c r="S72" s="407" t="s">
        <v>482</v>
      </c>
      <c r="T72" s="407" t="str">
        <f>O72</f>
        <v>CAT - II</v>
      </c>
      <c r="U72" s="407" t="s">
        <v>461</v>
      </c>
      <c r="V72" s="415"/>
    </row>
    <row r="73" spans="1:22" x14ac:dyDescent="0.3">
      <c r="A73" s="406"/>
      <c r="B73" s="408"/>
      <c r="C73" s="410"/>
      <c r="D73" s="447"/>
      <c r="E73" s="408"/>
      <c r="F73" s="408"/>
      <c r="G73" s="414"/>
      <c r="H73" s="414"/>
      <c r="I73" s="414"/>
      <c r="J73" s="418"/>
      <c r="K73" s="418"/>
      <c r="L73" s="262" t="s">
        <v>462</v>
      </c>
      <c r="M73" s="265">
        <v>45905</v>
      </c>
      <c r="N73" s="265"/>
      <c r="O73" s="266"/>
      <c r="P73" s="262"/>
      <c r="Q73" s="262"/>
      <c r="R73" s="262"/>
      <c r="S73" s="408"/>
      <c r="T73" s="408"/>
      <c r="U73" s="408"/>
      <c r="V73" s="416"/>
    </row>
    <row r="74" spans="1:22" ht="20" x14ac:dyDescent="0.3">
      <c r="A74" s="296">
        <v>4</v>
      </c>
      <c r="B74" s="257" t="s">
        <v>6</v>
      </c>
      <c r="C74" s="267" t="s">
        <v>515</v>
      </c>
      <c r="D74" s="268" t="s">
        <v>521</v>
      </c>
      <c r="E74" s="259" t="s">
        <v>522</v>
      </c>
      <c r="F74" s="259" t="s">
        <v>457</v>
      </c>
      <c r="G74" s="275">
        <v>45838</v>
      </c>
      <c r="H74" s="275">
        <f>G74+7</f>
        <v>45845</v>
      </c>
      <c r="I74" s="275"/>
      <c r="J74" s="340">
        <f ca="1">$I$1-G74</f>
        <v>75</v>
      </c>
      <c r="K74" s="337">
        <f ca="1">$I$1-H74</f>
        <v>68</v>
      </c>
      <c r="L74" s="259"/>
      <c r="M74" s="275"/>
      <c r="N74" s="275"/>
      <c r="O74" s="276"/>
      <c r="P74" s="259"/>
      <c r="Q74" s="259"/>
      <c r="R74" s="259"/>
      <c r="S74" s="259"/>
      <c r="T74" s="259"/>
      <c r="U74" s="259"/>
      <c r="V74" s="300"/>
    </row>
    <row r="75" spans="1:22" ht="20" x14ac:dyDescent="0.3">
      <c r="A75" s="296">
        <v>5</v>
      </c>
      <c r="B75" s="257" t="s">
        <v>6</v>
      </c>
      <c r="C75" s="267" t="s">
        <v>515</v>
      </c>
      <c r="D75" s="268" t="s">
        <v>523</v>
      </c>
      <c r="E75" s="259" t="s">
        <v>524</v>
      </c>
      <c r="F75" s="259" t="s">
        <v>457</v>
      </c>
      <c r="G75" s="275">
        <v>45874</v>
      </c>
      <c r="H75" s="275">
        <f>G75+12</f>
        <v>45886</v>
      </c>
      <c r="I75" s="275"/>
      <c r="J75" s="340">
        <f t="shared" ref="J75:K79" ca="1" si="2">$I$1-G75</f>
        <v>39</v>
      </c>
      <c r="K75" s="337">
        <f ca="1">$I$1-H75</f>
        <v>27</v>
      </c>
      <c r="L75" s="259"/>
      <c r="M75" s="275"/>
      <c r="N75" s="275"/>
      <c r="O75" s="276"/>
      <c r="P75" s="259"/>
      <c r="Q75" s="259"/>
      <c r="R75" s="259"/>
      <c r="S75" s="259"/>
      <c r="T75" s="259"/>
      <c r="U75" s="259"/>
      <c r="V75" s="300"/>
    </row>
    <row r="76" spans="1:22" ht="20" x14ac:dyDescent="0.3">
      <c r="A76" s="296">
        <v>6</v>
      </c>
      <c r="B76" s="257" t="s">
        <v>6</v>
      </c>
      <c r="C76" s="267" t="s">
        <v>515</v>
      </c>
      <c r="D76" s="268" t="s">
        <v>525</v>
      </c>
      <c r="E76" s="259" t="s">
        <v>526</v>
      </c>
      <c r="F76" s="259" t="s">
        <v>457</v>
      </c>
      <c r="G76" s="275">
        <v>45905</v>
      </c>
      <c r="H76" s="275">
        <f>G76+15</f>
        <v>45920</v>
      </c>
      <c r="I76" s="275"/>
      <c r="J76" s="340">
        <f t="shared" ca="1" si="2"/>
        <v>8</v>
      </c>
      <c r="K76" s="337">
        <f t="shared" ca="1" si="2"/>
        <v>-7</v>
      </c>
      <c r="L76" s="259"/>
      <c r="M76" s="275"/>
      <c r="N76" s="275"/>
      <c r="O76" s="276"/>
      <c r="P76" s="259"/>
      <c r="Q76" s="259"/>
      <c r="R76" s="259"/>
      <c r="S76" s="259"/>
      <c r="T76" s="259"/>
      <c r="U76" s="259"/>
      <c r="V76" s="300"/>
    </row>
    <row r="77" spans="1:22" ht="20" x14ac:dyDescent="0.3">
      <c r="A77" s="296">
        <v>7</v>
      </c>
      <c r="B77" s="257" t="s">
        <v>6</v>
      </c>
      <c r="C77" s="267" t="s">
        <v>515</v>
      </c>
      <c r="D77" s="268" t="s">
        <v>527</v>
      </c>
      <c r="E77" s="259" t="s">
        <v>528</v>
      </c>
      <c r="F77" s="259" t="s">
        <v>457</v>
      </c>
      <c r="G77" s="275">
        <v>45908</v>
      </c>
      <c r="H77" s="275">
        <f>G77+15</f>
        <v>45923</v>
      </c>
      <c r="I77" s="275"/>
      <c r="J77" s="340">
        <f t="shared" ca="1" si="2"/>
        <v>5</v>
      </c>
      <c r="K77" s="337">
        <f t="shared" ca="1" si="2"/>
        <v>-10</v>
      </c>
      <c r="L77" s="259"/>
      <c r="M77" s="275"/>
      <c r="N77" s="275"/>
      <c r="O77" s="276"/>
      <c r="P77" s="259"/>
      <c r="Q77" s="259"/>
      <c r="R77" s="259"/>
      <c r="S77" s="259"/>
      <c r="T77" s="259"/>
      <c r="U77" s="259"/>
      <c r="V77" s="300"/>
    </row>
    <row r="78" spans="1:22" ht="20" x14ac:dyDescent="0.3">
      <c r="A78" s="296">
        <v>8</v>
      </c>
      <c r="B78" s="257" t="s">
        <v>6</v>
      </c>
      <c r="C78" s="267" t="s">
        <v>515</v>
      </c>
      <c r="D78" s="268" t="s">
        <v>529</v>
      </c>
      <c r="E78" s="259" t="s">
        <v>530</v>
      </c>
      <c r="F78" s="259" t="s">
        <v>457</v>
      </c>
      <c r="G78" s="275">
        <v>45858</v>
      </c>
      <c r="H78" s="275">
        <f>G78+15</f>
        <v>45873</v>
      </c>
      <c r="I78" s="275"/>
      <c r="J78" s="340">
        <f t="shared" ca="1" si="2"/>
        <v>55</v>
      </c>
      <c r="K78" s="337">
        <f t="shared" ca="1" si="2"/>
        <v>40</v>
      </c>
      <c r="L78" s="259"/>
      <c r="M78" s="275"/>
      <c r="N78" s="275"/>
      <c r="O78" s="276"/>
      <c r="P78" s="259"/>
      <c r="Q78" s="259"/>
      <c r="R78" s="259"/>
      <c r="S78" s="259"/>
      <c r="T78" s="259"/>
      <c r="U78" s="259"/>
      <c r="V78" s="300"/>
    </row>
    <row r="79" spans="1:22" ht="20" x14ac:dyDescent="0.3">
      <c r="A79" s="296">
        <v>9</v>
      </c>
      <c r="B79" s="257" t="s">
        <v>6</v>
      </c>
      <c r="C79" s="267" t="s">
        <v>515</v>
      </c>
      <c r="D79" s="268" t="s">
        <v>531</v>
      </c>
      <c r="E79" s="259" t="s">
        <v>532</v>
      </c>
      <c r="F79" s="259" t="s">
        <v>457</v>
      </c>
      <c r="G79" s="275">
        <v>45868</v>
      </c>
      <c r="H79" s="275">
        <f>G79+15</f>
        <v>45883</v>
      </c>
      <c r="I79" s="275"/>
      <c r="J79" s="340">
        <f t="shared" ca="1" si="2"/>
        <v>45</v>
      </c>
      <c r="K79" s="337">
        <f t="shared" ca="1" si="2"/>
        <v>30</v>
      </c>
      <c r="L79" s="259"/>
      <c r="M79" s="275"/>
      <c r="N79" s="275"/>
      <c r="O79" s="276"/>
      <c r="P79" s="259"/>
      <c r="Q79" s="259"/>
      <c r="R79" s="259"/>
      <c r="S79" s="259"/>
      <c r="T79" s="259"/>
      <c r="U79" s="259"/>
      <c r="V79" s="300"/>
    </row>
    <row r="80" spans="1:22" x14ac:dyDescent="0.3">
      <c r="A80" s="405">
        <v>1</v>
      </c>
      <c r="B80" s="407" t="s">
        <v>6</v>
      </c>
      <c r="C80" s="409" t="s">
        <v>533</v>
      </c>
      <c r="D80" s="411" t="s">
        <v>856</v>
      </c>
      <c r="E80" s="407" t="s">
        <v>829</v>
      </c>
      <c r="F80" s="407" t="s">
        <v>457</v>
      </c>
      <c r="G80" s="413">
        <v>45794</v>
      </c>
      <c r="H80" s="413">
        <f>G80+7</f>
        <v>45801</v>
      </c>
      <c r="I80" s="413">
        <v>45834</v>
      </c>
      <c r="J80" s="417">
        <f>I80-G80</f>
        <v>40</v>
      </c>
      <c r="K80" s="417">
        <f ca="1">I1-H80</f>
        <v>112</v>
      </c>
      <c r="L80" s="262" t="s">
        <v>458</v>
      </c>
      <c r="M80" s="265">
        <v>45834</v>
      </c>
      <c r="N80" s="265">
        <v>45845</v>
      </c>
      <c r="O80" s="266" t="s">
        <v>459</v>
      </c>
      <c r="P80" s="262">
        <f>N80-M80</f>
        <v>11</v>
      </c>
      <c r="Q80" s="262">
        <f>M81-N80</f>
        <v>11</v>
      </c>
      <c r="R80" s="365"/>
      <c r="S80" s="407" t="s">
        <v>482</v>
      </c>
      <c r="T80" s="407" t="str">
        <f>O80</f>
        <v>CAT - III</v>
      </c>
      <c r="U80" s="407" t="s">
        <v>461</v>
      </c>
      <c r="V80" s="415"/>
    </row>
    <row r="81" spans="1:22" x14ac:dyDescent="0.3">
      <c r="A81" s="464"/>
      <c r="B81" s="458"/>
      <c r="C81" s="465"/>
      <c r="D81" s="466"/>
      <c r="E81" s="458"/>
      <c r="F81" s="458"/>
      <c r="G81" s="462"/>
      <c r="H81" s="462"/>
      <c r="I81" s="462"/>
      <c r="J81" s="463"/>
      <c r="K81" s="463"/>
      <c r="L81" s="262" t="s">
        <v>460</v>
      </c>
      <c r="M81" s="265">
        <v>45856</v>
      </c>
      <c r="N81" s="265">
        <v>45862</v>
      </c>
      <c r="O81" s="266" t="s">
        <v>459</v>
      </c>
      <c r="P81" s="262">
        <f>N81-M81</f>
        <v>6</v>
      </c>
      <c r="Q81" s="262">
        <f>M82-N81</f>
        <v>5</v>
      </c>
      <c r="R81" s="365"/>
      <c r="S81" s="458"/>
      <c r="T81" s="458"/>
      <c r="U81" s="458"/>
      <c r="V81" s="459"/>
    </row>
    <row r="82" spans="1:22" x14ac:dyDescent="0.3">
      <c r="A82" s="464"/>
      <c r="B82" s="458"/>
      <c r="C82" s="465"/>
      <c r="D82" s="466"/>
      <c r="E82" s="458"/>
      <c r="F82" s="458"/>
      <c r="G82" s="462"/>
      <c r="H82" s="462"/>
      <c r="I82" s="462"/>
      <c r="J82" s="463"/>
      <c r="K82" s="463"/>
      <c r="L82" s="262" t="s">
        <v>462</v>
      </c>
      <c r="M82" s="265">
        <v>45867</v>
      </c>
      <c r="N82" s="265">
        <v>45888</v>
      </c>
      <c r="O82" s="266" t="s">
        <v>459</v>
      </c>
      <c r="P82" s="262">
        <f>N82-M82</f>
        <v>21</v>
      </c>
      <c r="Q82" s="262">
        <f>M83-N82</f>
        <v>3</v>
      </c>
      <c r="R82" s="365"/>
      <c r="S82" s="458"/>
      <c r="T82" s="458"/>
      <c r="U82" s="458"/>
      <c r="V82" s="459"/>
    </row>
    <row r="83" spans="1:22" x14ac:dyDescent="0.3">
      <c r="A83" s="464"/>
      <c r="B83" s="458"/>
      <c r="C83" s="465"/>
      <c r="D83" s="466"/>
      <c r="E83" s="458"/>
      <c r="F83" s="458"/>
      <c r="G83" s="462"/>
      <c r="H83" s="462"/>
      <c r="I83" s="462"/>
      <c r="J83" s="463"/>
      <c r="K83" s="463"/>
      <c r="L83" s="262" t="s">
        <v>463</v>
      </c>
      <c r="M83" s="265">
        <v>45891</v>
      </c>
      <c r="N83" s="265">
        <v>45901</v>
      </c>
      <c r="O83" s="266" t="s">
        <v>459</v>
      </c>
      <c r="P83" s="262">
        <f>N83-M83</f>
        <v>10</v>
      </c>
      <c r="Q83" s="262">
        <f>M84-N83</f>
        <v>3</v>
      </c>
      <c r="R83" s="365"/>
      <c r="S83" s="458"/>
      <c r="T83" s="458"/>
      <c r="U83" s="458"/>
      <c r="V83" s="459"/>
    </row>
    <row r="84" spans="1:22" x14ac:dyDescent="0.3">
      <c r="A84" s="406"/>
      <c r="B84" s="408"/>
      <c r="C84" s="410"/>
      <c r="D84" s="412"/>
      <c r="E84" s="408"/>
      <c r="F84" s="408"/>
      <c r="G84" s="414"/>
      <c r="H84" s="414"/>
      <c r="I84" s="414"/>
      <c r="J84" s="418"/>
      <c r="K84" s="418"/>
      <c r="L84" s="262" t="s">
        <v>813</v>
      </c>
      <c r="M84" s="265">
        <v>45904</v>
      </c>
      <c r="N84" s="265"/>
      <c r="O84" s="266"/>
      <c r="P84" s="262"/>
      <c r="Q84" s="262"/>
      <c r="R84" s="262"/>
      <c r="S84" s="408"/>
      <c r="T84" s="408"/>
      <c r="U84" s="408"/>
      <c r="V84" s="416"/>
    </row>
    <row r="85" spans="1:22" x14ac:dyDescent="0.3">
      <c r="A85" s="400">
        <v>2</v>
      </c>
      <c r="B85" s="391" t="s">
        <v>6</v>
      </c>
      <c r="C85" s="460" t="s">
        <v>533</v>
      </c>
      <c r="D85" s="402" t="s">
        <v>857</v>
      </c>
      <c r="E85" s="391" t="s">
        <v>858</v>
      </c>
      <c r="F85" s="391" t="s">
        <v>457</v>
      </c>
      <c r="G85" s="448">
        <v>45794</v>
      </c>
      <c r="H85" s="448">
        <f>G85+7</f>
        <v>45801</v>
      </c>
      <c r="I85" s="448">
        <v>45860</v>
      </c>
      <c r="J85" s="395">
        <f>I85-G85</f>
        <v>66</v>
      </c>
      <c r="K85" s="395">
        <f ca="1">I1-H85</f>
        <v>112</v>
      </c>
      <c r="L85" s="310" t="s">
        <v>458</v>
      </c>
      <c r="M85" s="313">
        <v>45861</v>
      </c>
      <c r="N85" s="313"/>
      <c r="O85" s="314"/>
      <c r="P85" s="310"/>
      <c r="Q85" s="310"/>
      <c r="R85" s="391"/>
      <c r="S85" s="391" t="s">
        <v>489</v>
      </c>
      <c r="T85" s="391" t="str">
        <f>O86</f>
        <v>CAT - III</v>
      </c>
      <c r="U85" s="391" t="s">
        <v>464</v>
      </c>
      <c r="V85" s="392"/>
    </row>
    <row r="86" spans="1:22" x14ac:dyDescent="0.3">
      <c r="A86" s="400"/>
      <c r="B86" s="391"/>
      <c r="C86" s="460"/>
      <c r="D86" s="402"/>
      <c r="E86" s="391"/>
      <c r="F86" s="391"/>
      <c r="G86" s="461"/>
      <c r="H86" s="461"/>
      <c r="I86" s="461"/>
      <c r="J86" s="395"/>
      <c r="K86" s="395"/>
      <c r="L86" s="310" t="s">
        <v>458</v>
      </c>
      <c r="M86" s="313">
        <v>45870</v>
      </c>
      <c r="N86" s="313">
        <v>45891</v>
      </c>
      <c r="O86" s="314" t="s">
        <v>459</v>
      </c>
      <c r="P86" s="310">
        <f>N86-M86</f>
        <v>21</v>
      </c>
      <c r="Q86" s="310">
        <f>M87-N86</f>
        <v>4</v>
      </c>
      <c r="R86" s="391"/>
      <c r="S86" s="391"/>
      <c r="T86" s="391"/>
      <c r="U86" s="391"/>
      <c r="V86" s="392"/>
    </row>
    <row r="87" spans="1:22" x14ac:dyDescent="0.3">
      <c r="A87" s="400"/>
      <c r="B87" s="391"/>
      <c r="C87" s="460"/>
      <c r="D87" s="402"/>
      <c r="E87" s="391"/>
      <c r="F87" s="391"/>
      <c r="G87" s="449"/>
      <c r="H87" s="449"/>
      <c r="I87" s="449"/>
      <c r="J87" s="395"/>
      <c r="K87" s="395"/>
      <c r="L87" s="310" t="s">
        <v>460</v>
      </c>
      <c r="M87" s="313">
        <v>45895</v>
      </c>
      <c r="N87" s="313">
        <v>45903</v>
      </c>
      <c r="O87" s="314" t="s">
        <v>459</v>
      </c>
      <c r="P87" s="310">
        <f>N87-M87</f>
        <v>8</v>
      </c>
      <c r="Q87" s="310"/>
      <c r="R87" s="391"/>
      <c r="S87" s="391"/>
      <c r="T87" s="391"/>
      <c r="U87" s="391"/>
      <c r="V87" s="392"/>
    </row>
    <row r="88" spans="1:22" ht="20" x14ac:dyDescent="0.3">
      <c r="A88" s="294"/>
      <c r="B88" s="262" t="s">
        <v>6</v>
      </c>
      <c r="C88" s="318" t="s">
        <v>533</v>
      </c>
      <c r="D88" s="264" t="s">
        <v>857</v>
      </c>
      <c r="E88" s="262" t="s">
        <v>870</v>
      </c>
      <c r="F88" s="262" t="s">
        <v>457</v>
      </c>
      <c r="G88" s="265">
        <v>45794</v>
      </c>
      <c r="H88" s="265">
        <f>G88+7</f>
        <v>45801</v>
      </c>
      <c r="I88" s="265">
        <f>M88</f>
        <v>45904</v>
      </c>
      <c r="J88" s="336"/>
      <c r="K88" s="336"/>
      <c r="L88" s="262" t="s">
        <v>458</v>
      </c>
      <c r="M88" s="265">
        <v>45904</v>
      </c>
      <c r="N88" s="265"/>
      <c r="O88" s="266"/>
      <c r="P88" s="262"/>
      <c r="Q88" s="262"/>
      <c r="R88" s="262"/>
      <c r="S88" s="262" t="s">
        <v>482</v>
      </c>
      <c r="T88" s="262" t="s">
        <v>458</v>
      </c>
      <c r="U88" s="262" t="s">
        <v>461</v>
      </c>
      <c r="V88" s="295"/>
    </row>
    <row r="89" spans="1:22" x14ac:dyDescent="0.3">
      <c r="A89" s="369">
        <v>3</v>
      </c>
      <c r="B89" s="371" t="s">
        <v>6</v>
      </c>
      <c r="C89" s="467" t="s">
        <v>533</v>
      </c>
      <c r="D89" s="375" t="s">
        <v>534</v>
      </c>
      <c r="E89" s="371" t="s">
        <v>836</v>
      </c>
      <c r="F89" s="371" t="s">
        <v>457</v>
      </c>
      <c r="G89" s="377">
        <v>45794</v>
      </c>
      <c r="H89" s="377">
        <f>G89+7</f>
        <v>45801</v>
      </c>
      <c r="I89" s="377">
        <v>45834</v>
      </c>
      <c r="J89" s="403">
        <f>I89-G89</f>
        <v>40</v>
      </c>
      <c r="K89" s="403">
        <f>N92-I89</f>
        <v>41</v>
      </c>
      <c r="L89" s="270" t="s">
        <v>458</v>
      </c>
      <c r="M89" s="273">
        <v>45834</v>
      </c>
      <c r="N89" s="273">
        <v>45845</v>
      </c>
      <c r="O89" s="274" t="s">
        <v>459</v>
      </c>
      <c r="P89" s="270">
        <f>N89-M89</f>
        <v>11</v>
      </c>
      <c r="Q89" s="270">
        <f>M90-N89</f>
        <v>10</v>
      </c>
      <c r="R89" s="371"/>
      <c r="S89" s="371" t="s">
        <v>397</v>
      </c>
      <c r="T89" s="371" t="str">
        <f>O92</f>
        <v>CAT - I</v>
      </c>
      <c r="U89" s="371" t="s">
        <v>397</v>
      </c>
      <c r="V89" s="399"/>
    </row>
    <row r="90" spans="1:22" x14ac:dyDescent="0.3">
      <c r="A90" s="369"/>
      <c r="B90" s="371"/>
      <c r="C90" s="467"/>
      <c r="D90" s="375"/>
      <c r="E90" s="371"/>
      <c r="F90" s="371"/>
      <c r="G90" s="377"/>
      <c r="H90" s="377"/>
      <c r="I90" s="377"/>
      <c r="J90" s="403"/>
      <c r="K90" s="403"/>
      <c r="L90" s="270" t="s">
        <v>460</v>
      </c>
      <c r="M90" s="273">
        <v>45855</v>
      </c>
      <c r="N90" s="273"/>
      <c r="O90" s="274" t="s">
        <v>459</v>
      </c>
      <c r="P90" s="270"/>
      <c r="Q90" s="270"/>
      <c r="R90" s="371"/>
      <c r="S90" s="371"/>
      <c r="T90" s="371"/>
      <c r="U90" s="371"/>
      <c r="V90" s="399"/>
    </row>
    <row r="91" spans="1:22" x14ac:dyDescent="0.3">
      <c r="A91" s="369"/>
      <c r="B91" s="371"/>
      <c r="C91" s="467"/>
      <c r="D91" s="375"/>
      <c r="E91" s="371"/>
      <c r="F91" s="371"/>
      <c r="G91" s="377"/>
      <c r="H91" s="377"/>
      <c r="I91" s="377"/>
      <c r="J91" s="403"/>
      <c r="K91" s="403"/>
      <c r="L91" s="270" t="s">
        <v>458</v>
      </c>
      <c r="M91" s="273">
        <v>45867</v>
      </c>
      <c r="N91" s="273">
        <v>45872</v>
      </c>
      <c r="O91" s="274" t="s">
        <v>481</v>
      </c>
      <c r="P91" s="270">
        <f>N91-M91</f>
        <v>5</v>
      </c>
      <c r="Q91" s="270">
        <f ca="1">I1-N91</f>
        <v>41</v>
      </c>
      <c r="R91" s="371"/>
      <c r="S91" s="371"/>
      <c r="T91" s="371"/>
      <c r="U91" s="371"/>
      <c r="V91" s="399"/>
    </row>
    <row r="92" spans="1:22" x14ac:dyDescent="0.3">
      <c r="A92" s="369"/>
      <c r="B92" s="371"/>
      <c r="C92" s="467"/>
      <c r="D92" s="375"/>
      <c r="E92" s="371"/>
      <c r="F92" s="371"/>
      <c r="G92" s="377"/>
      <c r="H92" s="377"/>
      <c r="I92" s="377"/>
      <c r="J92" s="403"/>
      <c r="K92" s="403"/>
      <c r="L92" s="270" t="s">
        <v>460</v>
      </c>
      <c r="M92" s="273">
        <v>45873</v>
      </c>
      <c r="N92" s="273">
        <v>45875</v>
      </c>
      <c r="O92" s="274" t="s">
        <v>472</v>
      </c>
      <c r="P92" s="270">
        <f>N92-M92</f>
        <v>2</v>
      </c>
      <c r="Q92" s="270"/>
      <c r="R92" s="371"/>
      <c r="S92" s="371"/>
      <c r="T92" s="371"/>
      <c r="U92" s="371"/>
      <c r="V92" s="399"/>
    </row>
    <row r="93" spans="1:22" x14ac:dyDescent="0.3">
      <c r="A93" s="405">
        <v>3</v>
      </c>
      <c r="B93" s="407" t="s">
        <v>6</v>
      </c>
      <c r="C93" s="409" t="s">
        <v>533</v>
      </c>
      <c r="D93" s="411" t="s">
        <v>534</v>
      </c>
      <c r="E93" s="407" t="s">
        <v>855</v>
      </c>
      <c r="F93" s="407" t="s">
        <v>457</v>
      </c>
      <c r="G93" s="413">
        <v>45794</v>
      </c>
      <c r="H93" s="413">
        <v>45801</v>
      </c>
      <c r="I93" s="413">
        <f>I89</f>
        <v>45834</v>
      </c>
      <c r="J93" s="417">
        <f>I93-G93</f>
        <v>40</v>
      </c>
      <c r="K93" s="417">
        <f ca="1">I1-H93</f>
        <v>112</v>
      </c>
      <c r="L93" s="262" t="s">
        <v>460</v>
      </c>
      <c r="M93" s="265">
        <v>45882</v>
      </c>
      <c r="N93" s="265">
        <v>45887</v>
      </c>
      <c r="O93" s="266" t="str">
        <f>O91</f>
        <v>CAT - II</v>
      </c>
      <c r="P93" s="262">
        <f>N93-M93</f>
        <v>5</v>
      </c>
      <c r="Q93" s="262">
        <f ca="1">I1-N93</f>
        <v>26</v>
      </c>
      <c r="R93" s="407"/>
      <c r="S93" s="407" t="s">
        <v>482</v>
      </c>
      <c r="T93" s="407" t="str">
        <f>O93</f>
        <v>CAT - II</v>
      </c>
      <c r="U93" s="407" t="s">
        <v>461</v>
      </c>
      <c r="V93" s="415"/>
    </row>
    <row r="94" spans="1:22" x14ac:dyDescent="0.3">
      <c r="A94" s="406"/>
      <c r="B94" s="408"/>
      <c r="C94" s="410"/>
      <c r="D94" s="412"/>
      <c r="E94" s="408"/>
      <c r="F94" s="408"/>
      <c r="G94" s="414"/>
      <c r="H94" s="414"/>
      <c r="I94" s="414"/>
      <c r="J94" s="418"/>
      <c r="K94" s="418"/>
      <c r="L94" s="262" t="s">
        <v>462</v>
      </c>
      <c r="M94" s="265">
        <v>45890</v>
      </c>
      <c r="N94" s="265"/>
      <c r="O94" s="266"/>
      <c r="P94" s="262"/>
      <c r="Q94" s="262"/>
      <c r="R94" s="408"/>
      <c r="S94" s="408"/>
      <c r="T94" s="408"/>
      <c r="U94" s="408"/>
      <c r="V94" s="416"/>
    </row>
    <row r="95" spans="1:22" x14ac:dyDescent="0.3">
      <c r="A95" s="405">
        <v>4</v>
      </c>
      <c r="B95" s="407" t="s">
        <v>6</v>
      </c>
      <c r="C95" s="409" t="s">
        <v>533</v>
      </c>
      <c r="D95" s="411" t="s">
        <v>535</v>
      </c>
      <c r="E95" s="407" t="s">
        <v>536</v>
      </c>
      <c r="F95" s="407" t="s">
        <v>457</v>
      </c>
      <c r="G95" s="413">
        <v>45797</v>
      </c>
      <c r="H95" s="413">
        <f>G95+12</f>
        <v>45809</v>
      </c>
      <c r="I95" s="413">
        <f>M95</f>
        <v>45860</v>
      </c>
      <c r="J95" s="417">
        <f>I95-G95</f>
        <v>63</v>
      </c>
      <c r="K95" s="417">
        <f ca="1">I1-H95</f>
        <v>104</v>
      </c>
      <c r="L95" s="262" t="s">
        <v>458</v>
      </c>
      <c r="M95" s="265">
        <v>45860</v>
      </c>
      <c r="N95" s="265"/>
      <c r="O95" s="266"/>
      <c r="P95" s="262"/>
      <c r="Q95" s="262"/>
      <c r="R95" s="407"/>
      <c r="S95" s="407" t="s">
        <v>482</v>
      </c>
      <c r="T95" s="407" t="str">
        <f>O97</f>
        <v>CAT - II</v>
      </c>
      <c r="U95" s="407" t="s">
        <v>461</v>
      </c>
      <c r="V95" s="415"/>
    </row>
    <row r="96" spans="1:22" x14ac:dyDescent="0.3">
      <c r="A96" s="464"/>
      <c r="B96" s="458"/>
      <c r="C96" s="465"/>
      <c r="D96" s="466"/>
      <c r="E96" s="458"/>
      <c r="F96" s="458"/>
      <c r="G96" s="462"/>
      <c r="H96" s="462"/>
      <c r="I96" s="462"/>
      <c r="J96" s="463"/>
      <c r="K96" s="463"/>
      <c r="L96" s="262" t="s">
        <v>458</v>
      </c>
      <c r="M96" s="265">
        <v>45870</v>
      </c>
      <c r="N96" s="265">
        <v>45891</v>
      </c>
      <c r="O96" s="266"/>
      <c r="P96" s="262"/>
      <c r="Q96" s="262"/>
      <c r="R96" s="458"/>
      <c r="S96" s="458"/>
      <c r="T96" s="458"/>
      <c r="U96" s="458"/>
      <c r="V96" s="459"/>
    </row>
    <row r="97" spans="1:22" x14ac:dyDescent="0.3">
      <c r="A97" s="464"/>
      <c r="B97" s="458"/>
      <c r="C97" s="465"/>
      <c r="D97" s="466"/>
      <c r="E97" s="458"/>
      <c r="F97" s="458"/>
      <c r="G97" s="462"/>
      <c r="H97" s="462"/>
      <c r="I97" s="462"/>
      <c r="J97" s="463"/>
      <c r="K97" s="463"/>
      <c r="L97" s="262" t="s">
        <v>460</v>
      </c>
      <c r="M97" s="265">
        <v>45895</v>
      </c>
      <c r="N97" s="265">
        <v>45903</v>
      </c>
      <c r="O97" s="266" t="s">
        <v>481</v>
      </c>
      <c r="P97" s="262"/>
      <c r="Q97" s="262"/>
      <c r="R97" s="458"/>
      <c r="S97" s="458"/>
      <c r="T97" s="458"/>
      <c r="U97" s="458"/>
      <c r="V97" s="416"/>
    </row>
    <row r="98" spans="1:22" x14ac:dyDescent="0.3">
      <c r="A98" s="406"/>
      <c r="B98" s="408"/>
      <c r="C98" s="410"/>
      <c r="D98" s="412"/>
      <c r="E98" s="408"/>
      <c r="F98" s="408"/>
      <c r="G98" s="414"/>
      <c r="H98" s="414"/>
      <c r="I98" s="414"/>
      <c r="J98" s="418"/>
      <c r="K98" s="418"/>
      <c r="L98" s="262" t="s">
        <v>462</v>
      </c>
      <c r="M98" s="265">
        <v>45908</v>
      </c>
      <c r="N98" s="265"/>
      <c r="O98" s="266"/>
      <c r="P98" s="262"/>
      <c r="Q98" s="262"/>
      <c r="R98" s="408"/>
      <c r="S98" s="408"/>
      <c r="T98" s="408"/>
      <c r="U98" s="408"/>
      <c r="V98" s="329"/>
    </row>
    <row r="99" spans="1:22" x14ac:dyDescent="0.3">
      <c r="A99" s="432">
        <v>5</v>
      </c>
      <c r="B99" s="429" t="s">
        <v>6</v>
      </c>
      <c r="C99" s="470" t="s">
        <v>533</v>
      </c>
      <c r="D99" s="473" t="s">
        <v>537</v>
      </c>
      <c r="E99" s="429" t="s">
        <v>837</v>
      </c>
      <c r="F99" s="429" t="s">
        <v>457</v>
      </c>
      <c r="G99" s="438">
        <v>45792</v>
      </c>
      <c r="H99" s="438">
        <f>G99+12</f>
        <v>45804</v>
      </c>
      <c r="I99" s="438">
        <f>M99</f>
        <v>45861</v>
      </c>
      <c r="J99" s="427">
        <f>I99-G99</f>
        <v>69</v>
      </c>
      <c r="K99" s="427">
        <f ca="1">I1-H99</f>
        <v>109</v>
      </c>
      <c r="L99" s="270" t="s">
        <v>458</v>
      </c>
      <c r="M99" s="273">
        <v>45861</v>
      </c>
      <c r="N99" s="273">
        <v>45872</v>
      </c>
      <c r="O99" s="274" t="s">
        <v>459</v>
      </c>
      <c r="P99" s="270">
        <f>N99-M99</f>
        <v>11</v>
      </c>
      <c r="Q99" s="270">
        <f ca="1">I1-N99</f>
        <v>41</v>
      </c>
      <c r="R99" s="429"/>
      <c r="S99" s="429" t="s">
        <v>397</v>
      </c>
      <c r="T99" s="429" t="str">
        <f>O101</f>
        <v>CAT - I</v>
      </c>
      <c r="U99" s="429" t="s">
        <v>397</v>
      </c>
      <c r="V99" s="422"/>
    </row>
    <row r="100" spans="1:22" x14ac:dyDescent="0.3">
      <c r="A100" s="468"/>
      <c r="B100" s="469"/>
      <c r="C100" s="471"/>
      <c r="D100" s="474"/>
      <c r="E100" s="469"/>
      <c r="F100" s="469"/>
      <c r="G100" s="476"/>
      <c r="H100" s="476"/>
      <c r="I100" s="476"/>
      <c r="J100" s="480"/>
      <c r="K100" s="480"/>
      <c r="L100" s="270" t="s">
        <v>460</v>
      </c>
      <c r="M100" s="273">
        <v>45880</v>
      </c>
      <c r="N100" s="273">
        <v>45888</v>
      </c>
      <c r="O100" s="274" t="s">
        <v>481</v>
      </c>
      <c r="P100" s="270">
        <f>N100-M100</f>
        <v>8</v>
      </c>
      <c r="Q100" s="270">
        <f>M101-N100</f>
        <v>4</v>
      </c>
      <c r="R100" s="469"/>
      <c r="S100" s="469"/>
      <c r="T100" s="469"/>
      <c r="U100" s="469"/>
      <c r="V100" s="426"/>
    </row>
    <row r="101" spans="1:22" x14ac:dyDescent="0.3">
      <c r="A101" s="433"/>
      <c r="B101" s="430"/>
      <c r="C101" s="472"/>
      <c r="D101" s="475"/>
      <c r="E101" s="430"/>
      <c r="F101" s="430"/>
      <c r="G101" s="439"/>
      <c r="H101" s="439"/>
      <c r="I101" s="439"/>
      <c r="J101" s="428"/>
      <c r="K101" s="428"/>
      <c r="L101" s="270" t="s">
        <v>462</v>
      </c>
      <c r="M101" s="273">
        <v>45892</v>
      </c>
      <c r="N101" s="273">
        <v>45902</v>
      </c>
      <c r="O101" s="274" t="s">
        <v>472</v>
      </c>
      <c r="P101" s="270">
        <f>N101-M101</f>
        <v>10</v>
      </c>
      <c r="Q101" s="270"/>
      <c r="R101" s="430"/>
      <c r="S101" s="430"/>
      <c r="T101" s="430"/>
      <c r="U101" s="430"/>
      <c r="V101" s="423"/>
    </row>
    <row r="102" spans="1:22" x14ac:dyDescent="0.3">
      <c r="A102" s="432">
        <v>6</v>
      </c>
      <c r="B102" s="429" t="s">
        <v>6</v>
      </c>
      <c r="C102" s="470" t="s">
        <v>533</v>
      </c>
      <c r="D102" s="473" t="s">
        <v>538</v>
      </c>
      <c r="E102" s="429" t="s">
        <v>838</v>
      </c>
      <c r="F102" s="429" t="s">
        <v>457</v>
      </c>
      <c r="G102" s="438">
        <v>45802</v>
      </c>
      <c r="H102" s="438">
        <f>G102+15</f>
        <v>45817</v>
      </c>
      <c r="I102" s="438">
        <f>M102</f>
        <v>45861</v>
      </c>
      <c r="J102" s="427">
        <f>I102-G102</f>
        <v>59</v>
      </c>
      <c r="K102" s="427">
        <f>N104-I102</f>
        <v>35</v>
      </c>
      <c r="L102" s="270" t="s">
        <v>458</v>
      </c>
      <c r="M102" s="273">
        <v>45861</v>
      </c>
      <c r="N102" s="273">
        <v>45872</v>
      </c>
      <c r="O102" s="274" t="s">
        <v>459</v>
      </c>
      <c r="P102" s="270">
        <f>N102-M102</f>
        <v>11</v>
      </c>
      <c r="Q102" s="270">
        <f ca="1">I1-N102</f>
        <v>41</v>
      </c>
      <c r="R102" s="429"/>
      <c r="S102" s="429" t="s">
        <v>397</v>
      </c>
      <c r="T102" s="429" t="str">
        <f>O104</f>
        <v>CAT - I</v>
      </c>
      <c r="U102" s="429" t="s">
        <v>397</v>
      </c>
      <c r="V102" s="422"/>
    </row>
    <row r="103" spans="1:22" x14ac:dyDescent="0.3">
      <c r="A103" s="468"/>
      <c r="B103" s="469"/>
      <c r="C103" s="471"/>
      <c r="D103" s="474"/>
      <c r="E103" s="469"/>
      <c r="F103" s="469"/>
      <c r="G103" s="476"/>
      <c r="H103" s="476"/>
      <c r="I103" s="476"/>
      <c r="J103" s="480"/>
      <c r="K103" s="480"/>
      <c r="L103" s="270" t="s">
        <v>460</v>
      </c>
      <c r="M103" s="273">
        <v>45880</v>
      </c>
      <c r="N103" s="273">
        <v>45888</v>
      </c>
      <c r="O103" s="274" t="s">
        <v>481</v>
      </c>
      <c r="P103" s="270">
        <f>M103-N102</f>
        <v>8</v>
      </c>
      <c r="Q103" s="270">
        <f>M104-N103</f>
        <v>4</v>
      </c>
      <c r="R103" s="469"/>
      <c r="S103" s="469"/>
      <c r="T103" s="469"/>
      <c r="U103" s="469"/>
      <c r="V103" s="426"/>
    </row>
    <row r="104" spans="1:22" x14ac:dyDescent="0.3">
      <c r="A104" s="433"/>
      <c r="B104" s="430"/>
      <c r="C104" s="472"/>
      <c r="D104" s="475"/>
      <c r="E104" s="430"/>
      <c r="F104" s="430"/>
      <c r="G104" s="439"/>
      <c r="H104" s="439"/>
      <c r="I104" s="439"/>
      <c r="J104" s="428"/>
      <c r="K104" s="428"/>
      <c r="L104" s="270" t="s">
        <v>462</v>
      </c>
      <c r="M104" s="273">
        <v>45892</v>
      </c>
      <c r="N104" s="273">
        <v>45896</v>
      </c>
      <c r="O104" s="274" t="s">
        <v>472</v>
      </c>
      <c r="P104" s="270">
        <f>N104-M104</f>
        <v>4</v>
      </c>
      <c r="Q104" s="270"/>
      <c r="R104" s="430"/>
      <c r="S104" s="430"/>
      <c r="T104" s="430"/>
      <c r="U104" s="430"/>
      <c r="V104" s="423"/>
    </row>
    <row r="105" spans="1:22" x14ac:dyDescent="0.3">
      <c r="A105" s="405">
        <v>7</v>
      </c>
      <c r="B105" s="407" t="s">
        <v>6</v>
      </c>
      <c r="C105" s="409" t="s">
        <v>533</v>
      </c>
      <c r="D105" s="477" t="s">
        <v>539</v>
      </c>
      <c r="E105" s="407" t="s">
        <v>540</v>
      </c>
      <c r="F105" s="407" t="s">
        <v>457</v>
      </c>
      <c r="G105" s="413">
        <v>45810</v>
      </c>
      <c r="H105" s="413">
        <f>G105+12</f>
        <v>45822</v>
      </c>
      <c r="I105" s="413">
        <f>M105</f>
        <v>45869</v>
      </c>
      <c r="J105" s="417">
        <f>I105-G105</f>
        <v>59</v>
      </c>
      <c r="K105" s="417">
        <f ca="1">I1-H105</f>
        <v>91</v>
      </c>
      <c r="L105" s="262" t="s">
        <v>458</v>
      </c>
      <c r="M105" s="265">
        <v>45869</v>
      </c>
      <c r="N105" s="265"/>
      <c r="O105" s="266"/>
      <c r="P105" s="262">
        <f>M106-M105</f>
        <v>11</v>
      </c>
      <c r="Q105" s="262"/>
      <c r="R105" s="407"/>
      <c r="S105" s="407" t="s">
        <v>482</v>
      </c>
      <c r="T105" s="407" t="str">
        <f>O106</f>
        <v>CAT - III</v>
      </c>
      <c r="U105" s="407" t="s">
        <v>461</v>
      </c>
      <c r="V105" s="415"/>
    </row>
    <row r="106" spans="1:22" x14ac:dyDescent="0.3">
      <c r="A106" s="464"/>
      <c r="B106" s="458"/>
      <c r="C106" s="465"/>
      <c r="D106" s="478"/>
      <c r="E106" s="458"/>
      <c r="F106" s="458"/>
      <c r="G106" s="462"/>
      <c r="H106" s="462"/>
      <c r="I106" s="462"/>
      <c r="J106" s="463"/>
      <c r="K106" s="463"/>
      <c r="L106" s="262" t="s">
        <v>458</v>
      </c>
      <c r="M106" s="265">
        <v>45880</v>
      </c>
      <c r="N106" s="265">
        <v>45889</v>
      </c>
      <c r="O106" s="266" t="s">
        <v>459</v>
      </c>
      <c r="P106" s="262">
        <f>N106-M106</f>
        <v>9</v>
      </c>
      <c r="Q106" s="262"/>
      <c r="R106" s="458"/>
      <c r="S106" s="458"/>
      <c r="T106" s="458"/>
      <c r="U106" s="458"/>
      <c r="V106" s="459"/>
    </row>
    <row r="107" spans="1:22" x14ac:dyDescent="0.3">
      <c r="A107" s="406"/>
      <c r="B107" s="408"/>
      <c r="C107" s="410"/>
      <c r="D107" s="479"/>
      <c r="E107" s="408"/>
      <c r="F107" s="408"/>
      <c r="G107" s="414"/>
      <c r="H107" s="414"/>
      <c r="I107" s="414"/>
      <c r="J107" s="418"/>
      <c r="K107" s="418"/>
      <c r="L107" s="262" t="s">
        <v>460</v>
      </c>
      <c r="M107" s="265">
        <v>45902</v>
      </c>
      <c r="N107" s="265"/>
      <c r="O107" s="266"/>
      <c r="P107" s="262"/>
      <c r="Q107" s="262"/>
      <c r="R107" s="408"/>
      <c r="S107" s="408"/>
      <c r="T107" s="408"/>
      <c r="U107" s="408"/>
      <c r="V107" s="416"/>
    </row>
    <row r="108" spans="1:22" ht="20" x14ac:dyDescent="0.3">
      <c r="A108" s="296">
        <v>8</v>
      </c>
      <c r="B108" s="257" t="s">
        <v>6</v>
      </c>
      <c r="C108" s="267" t="s">
        <v>533</v>
      </c>
      <c r="D108" s="268" t="s">
        <v>541</v>
      </c>
      <c r="E108" s="257" t="s">
        <v>542</v>
      </c>
      <c r="F108" s="257" t="s">
        <v>457</v>
      </c>
      <c r="G108" s="269">
        <v>45836</v>
      </c>
      <c r="H108" s="269">
        <f>G108+15</f>
        <v>45851</v>
      </c>
      <c r="I108" s="275"/>
      <c r="J108" s="337">
        <f ca="1">I1-G108</f>
        <v>77</v>
      </c>
      <c r="K108" s="340">
        <f ca="1">$I$1-H108</f>
        <v>62</v>
      </c>
      <c r="L108" s="291"/>
      <c r="M108" s="275"/>
      <c r="N108" s="275"/>
      <c r="O108" s="276"/>
      <c r="P108" s="259"/>
      <c r="Q108" s="259"/>
      <c r="R108" s="259"/>
      <c r="S108" s="259"/>
      <c r="T108" s="259"/>
      <c r="U108" s="259"/>
      <c r="V108" s="300"/>
    </row>
    <row r="109" spans="1:22" ht="20" x14ac:dyDescent="0.3">
      <c r="A109" s="296">
        <v>9</v>
      </c>
      <c r="B109" s="257" t="s">
        <v>6</v>
      </c>
      <c r="C109" s="267" t="s">
        <v>533</v>
      </c>
      <c r="D109" s="268" t="s">
        <v>543</v>
      </c>
      <c r="E109" s="257" t="s">
        <v>544</v>
      </c>
      <c r="F109" s="257" t="s">
        <v>457</v>
      </c>
      <c r="G109" s="269">
        <v>45840</v>
      </c>
      <c r="H109" s="269">
        <f>G109+12</f>
        <v>45852</v>
      </c>
      <c r="I109" s="269"/>
      <c r="J109" s="337">
        <f ca="1">$I$1-G109</f>
        <v>73</v>
      </c>
      <c r="K109" s="340">
        <f ca="1">$I$1-H109</f>
        <v>61</v>
      </c>
      <c r="L109" s="291"/>
      <c r="M109" s="275"/>
      <c r="N109" s="275"/>
      <c r="O109" s="276"/>
      <c r="P109" s="259"/>
      <c r="Q109" s="259"/>
      <c r="R109" s="259"/>
      <c r="S109" s="259"/>
      <c r="T109" s="259"/>
      <c r="U109" s="259"/>
      <c r="V109" s="300"/>
    </row>
    <row r="110" spans="1:22" ht="20" x14ac:dyDescent="0.3">
      <c r="A110" s="294"/>
      <c r="B110" s="262" t="s">
        <v>6</v>
      </c>
      <c r="C110" s="263" t="s">
        <v>533</v>
      </c>
      <c r="D110" s="264" t="s">
        <v>861</v>
      </c>
      <c r="E110" s="262" t="s">
        <v>862</v>
      </c>
      <c r="F110" s="262"/>
      <c r="G110" s="265"/>
      <c r="H110" s="265"/>
      <c r="I110" s="265"/>
      <c r="J110" s="336"/>
      <c r="K110" s="336"/>
      <c r="L110" s="301" t="s">
        <v>458</v>
      </c>
      <c r="M110" s="265">
        <v>45897</v>
      </c>
      <c r="N110" s="265"/>
      <c r="O110" s="266"/>
      <c r="P110" s="262"/>
      <c r="Q110" s="262"/>
      <c r="R110" s="262"/>
      <c r="S110" s="262" t="s">
        <v>482</v>
      </c>
      <c r="T110" s="262" t="s">
        <v>458</v>
      </c>
      <c r="U110" s="262" t="s">
        <v>461</v>
      </c>
      <c r="V110" s="295"/>
    </row>
    <row r="111" spans="1:22" ht="20" x14ac:dyDescent="0.3">
      <c r="A111" s="294">
        <v>10</v>
      </c>
      <c r="B111" s="262" t="s">
        <v>6</v>
      </c>
      <c r="C111" s="263" t="s">
        <v>533</v>
      </c>
      <c r="D111" s="264" t="s">
        <v>545</v>
      </c>
      <c r="E111" s="262" t="s">
        <v>546</v>
      </c>
      <c r="F111" s="262" t="s">
        <v>457</v>
      </c>
      <c r="G111" s="265">
        <v>45843</v>
      </c>
      <c r="H111" s="265">
        <f>G111+12</f>
        <v>45855</v>
      </c>
      <c r="I111" s="265">
        <f t="shared" ref="I111:I116" si="3">M111</f>
        <v>45887</v>
      </c>
      <c r="J111" s="336">
        <f>I111-G111</f>
        <v>44</v>
      </c>
      <c r="K111" s="336">
        <f ca="1">$I$1-H111</f>
        <v>58</v>
      </c>
      <c r="L111" s="301" t="s">
        <v>458</v>
      </c>
      <c r="M111" s="265">
        <v>45887</v>
      </c>
      <c r="N111" s="265"/>
      <c r="O111" s="266"/>
      <c r="P111" s="262"/>
      <c r="Q111" s="262"/>
      <c r="R111" s="262"/>
      <c r="S111" s="262" t="s">
        <v>482</v>
      </c>
      <c r="T111" s="262" t="s">
        <v>458</v>
      </c>
      <c r="U111" s="262" t="s">
        <v>461</v>
      </c>
      <c r="V111" s="295"/>
    </row>
    <row r="112" spans="1:22" ht="20" x14ac:dyDescent="0.3">
      <c r="A112" s="309">
        <v>11</v>
      </c>
      <c r="B112" s="310" t="s">
        <v>6</v>
      </c>
      <c r="C112" s="311" t="s">
        <v>533</v>
      </c>
      <c r="D112" s="312" t="s">
        <v>830</v>
      </c>
      <c r="E112" s="310" t="s">
        <v>831</v>
      </c>
      <c r="F112" s="310" t="s">
        <v>457</v>
      </c>
      <c r="G112" s="313">
        <v>45818</v>
      </c>
      <c r="H112" s="313">
        <f>G112+15</f>
        <v>45833</v>
      </c>
      <c r="I112" s="313">
        <f t="shared" si="3"/>
        <v>45880</v>
      </c>
      <c r="J112" s="339">
        <f>I112-G112</f>
        <v>62</v>
      </c>
      <c r="K112" s="339">
        <f ca="1">I1-H112</f>
        <v>80</v>
      </c>
      <c r="L112" s="310" t="s">
        <v>458</v>
      </c>
      <c r="M112" s="313">
        <v>45880</v>
      </c>
      <c r="N112" s="313">
        <v>45891</v>
      </c>
      <c r="O112" s="314" t="s">
        <v>459</v>
      </c>
      <c r="P112" s="310">
        <f>N112-M112</f>
        <v>11</v>
      </c>
      <c r="Q112" s="310">
        <f ca="1">I1-N112</f>
        <v>22</v>
      </c>
      <c r="R112" s="310"/>
      <c r="S112" s="310" t="s">
        <v>489</v>
      </c>
      <c r="T112" s="310" t="str">
        <f>O112</f>
        <v>CAT - III</v>
      </c>
      <c r="U112" s="310" t="s">
        <v>464</v>
      </c>
      <c r="V112" s="315" t="s">
        <v>850</v>
      </c>
    </row>
    <row r="113" spans="1:22" ht="20" x14ac:dyDescent="0.3">
      <c r="A113" s="309">
        <v>12</v>
      </c>
      <c r="B113" s="310" t="s">
        <v>6</v>
      </c>
      <c r="C113" s="311" t="s">
        <v>533</v>
      </c>
      <c r="D113" s="312" t="s">
        <v>832</v>
      </c>
      <c r="E113" s="310" t="s">
        <v>833</v>
      </c>
      <c r="F113" s="310" t="s">
        <v>457</v>
      </c>
      <c r="G113" s="313">
        <v>45818</v>
      </c>
      <c r="H113" s="313">
        <f>G113+15</f>
        <v>45833</v>
      </c>
      <c r="I113" s="313">
        <f t="shared" si="3"/>
        <v>45880</v>
      </c>
      <c r="J113" s="339">
        <f>I113-G113</f>
        <v>62</v>
      </c>
      <c r="K113" s="339">
        <f ca="1">I1-H113</f>
        <v>80</v>
      </c>
      <c r="L113" s="310" t="s">
        <v>458</v>
      </c>
      <c r="M113" s="313">
        <v>45880</v>
      </c>
      <c r="N113" s="313">
        <v>45891</v>
      </c>
      <c r="O113" s="314" t="s">
        <v>459</v>
      </c>
      <c r="P113" s="310">
        <f>N113-M113</f>
        <v>11</v>
      </c>
      <c r="Q113" s="310">
        <f ca="1">I1-N113</f>
        <v>22</v>
      </c>
      <c r="R113" s="310"/>
      <c r="S113" s="310" t="s">
        <v>859</v>
      </c>
      <c r="T113" s="310" t="str">
        <f>O113</f>
        <v>CAT - III</v>
      </c>
      <c r="U113" s="310" t="s">
        <v>464</v>
      </c>
      <c r="V113" s="315" t="s">
        <v>850</v>
      </c>
    </row>
    <row r="114" spans="1:22" ht="20" x14ac:dyDescent="0.3">
      <c r="A114" s="298">
        <v>1</v>
      </c>
      <c r="B114" s="270" t="s">
        <v>6</v>
      </c>
      <c r="C114" s="271" t="s">
        <v>547</v>
      </c>
      <c r="D114" s="272" t="s">
        <v>548</v>
      </c>
      <c r="E114" s="270" t="s">
        <v>549</v>
      </c>
      <c r="F114" s="270" t="s">
        <v>467</v>
      </c>
      <c r="G114" s="273">
        <v>45828</v>
      </c>
      <c r="H114" s="273">
        <f>G114+14</f>
        <v>45842</v>
      </c>
      <c r="I114" s="273">
        <f t="shared" si="3"/>
        <v>45892</v>
      </c>
      <c r="J114" s="338">
        <f t="shared" ref="J114:K115" ca="1" si="4">$I$1-G114</f>
        <v>85</v>
      </c>
      <c r="K114" s="338">
        <f>N114-H114</f>
        <v>53</v>
      </c>
      <c r="L114" s="270" t="s">
        <v>458</v>
      </c>
      <c r="M114" s="273">
        <v>45892</v>
      </c>
      <c r="N114" s="273">
        <v>45895</v>
      </c>
      <c r="O114" s="274" t="s">
        <v>511</v>
      </c>
      <c r="P114" s="270">
        <f>N114-M114</f>
        <v>3</v>
      </c>
      <c r="Q114" s="270"/>
      <c r="R114" s="270"/>
      <c r="S114" s="270" t="s">
        <v>397</v>
      </c>
      <c r="T114" s="270" t="str">
        <f>O114</f>
        <v xml:space="preserve">CAT -IV </v>
      </c>
      <c r="U114" s="270" t="s">
        <v>397</v>
      </c>
      <c r="V114" s="299"/>
    </row>
    <row r="115" spans="1:22" ht="20" x14ac:dyDescent="0.3">
      <c r="A115" s="294">
        <v>2</v>
      </c>
      <c r="B115" s="262" t="s">
        <v>6</v>
      </c>
      <c r="C115" s="263" t="s">
        <v>547</v>
      </c>
      <c r="D115" s="264" t="s">
        <v>550</v>
      </c>
      <c r="E115" s="262" t="s">
        <v>551</v>
      </c>
      <c r="F115" s="262" t="s">
        <v>467</v>
      </c>
      <c r="G115" s="265">
        <v>45833</v>
      </c>
      <c r="H115" s="265">
        <f>G115+14</f>
        <v>45847</v>
      </c>
      <c r="I115" s="265">
        <f t="shared" si="3"/>
        <v>45895</v>
      </c>
      <c r="J115" s="336">
        <f t="shared" ca="1" si="4"/>
        <v>80</v>
      </c>
      <c r="K115" s="336">
        <f t="shared" ca="1" si="4"/>
        <v>66</v>
      </c>
      <c r="L115" s="262" t="s">
        <v>458</v>
      </c>
      <c r="M115" s="265">
        <v>45895</v>
      </c>
      <c r="N115" s="265"/>
      <c r="O115" s="266" t="s">
        <v>458</v>
      </c>
      <c r="P115" s="262"/>
      <c r="Q115" s="262"/>
      <c r="R115" s="262"/>
      <c r="S115" s="262" t="s">
        <v>482</v>
      </c>
      <c r="T115" s="262" t="str">
        <f>O115</f>
        <v>R0</v>
      </c>
      <c r="U115" s="262" t="s">
        <v>461</v>
      </c>
      <c r="V115" s="295"/>
    </row>
    <row r="116" spans="1:22" x14ac:dyDescent="0.3">
      <c r="A116" s="400">
        <v>3</v>
      </c>
      <c r="B116" s="391" t="s">
        <v>6</v>
      </c>
      <c r="C116" s="401" t="s">
        <v>547</v>
      </c>
      <c r="D116" s="402" t="s">
        <v>552</v>
      </c>
      <c r="E116" s="391" t="s">
        <v>553</v>
      </c>
      <c r="F116" s="391" t="s">
        <v>467</v>
      </c>
      <c r="G116" s="394">
        <v>45738</v>
      </c>
      <c r="H116" s="394">
        <f>G116+15</f>
        <v>45753</v>
      </c>
      <c r="I116" s="394">
        <f t="shared" si="3"/>
        <v>45799</v>
      </c>
      <c r="J116" s="395">
        <f>I116-G116</f>
        <v>61</v>
      </c>
      <c r="K116" s="395">
        <f ca="1">I1-H116</f>
        <v>160</v>
      </c>
      <c r="L116" s="310" t="s">
        <v>458</v>
      </c>
      <c r="M116" s="313">
        <v>45799</v>
      </c>
      <c r="N116" s="313">
        <v>45800</v>
      </c>
      <c r="O116" s="314" t="s">
        <v>468</v>
      </c>
      <c r="P116" s="310">
        <f t="shared" ref="P116:P123" si="5">N116-M116</f>
        <v>1</v>
      </c>
      <c r="Q116" s="310">
        <f>M117-N116</f>
        <v>15</v>
      </c>
      <c r="R116" s="391"/>
      <c r="S116" s="391" t="s">
        <v>489</v>
      </c>
      <c r="T116" s="391" t="str">
        <f>O117</f>
        <v>CAT -IV R</v>
      </c>
      <c r="U116" s="391" t="s">
        <v>464</v>
      </c>
      <c r="V116" s="392"/>
    </row>
    <row r="117" spans="1:22" x14ac:dyDescent="0.3">
      <c r="A117" s="385"/>
      <c r="B117" s="365"/>
      <c r="C117" s="387"/>
      <c r="D117" s="389"/>
      <c r="E117" s="424"/>
      <c r="F117" s="366"/>
      <c r="G117" s="380"/>
      <c r="H117" s="380"/>
      <c r="I117" s="380"/>
      <c r="J117" s="382"/>
      <c r="K117" s="382"/>
      <c r="L117" s="310" t="s">
        <v>460</v>
      </c>
      <c r="M117" s="313">
        <v>45815</v>
      </c>
      <c r="N117" s="313">
        <v>45826</v>
      </c>
      <c r="O117" s="314" t="s">
        <v>468</v>
      </c>
      <c r="P117" s="310">
        <f t="shared" si="5"/>
        <v>11</v>
      </c>
      <c r="Q117" s="310">
        <f ca="1">I1-N117</f>
        <v>87</v>
      </c>
      <c r="R117" s="424"/>
      <c r="S117" s="424"/>
      <c r="T117" s="424"/>
      <c r="U117" s="424"/>
      <c r="V117" s="431"/>
    </row>
    <row r="118" spans="1:22" x14ac:dyDescent="0.3">
      <c r="A118" s="405">
        <v>4</v>
      </c>
      <c r="B118" s="407" t="s">
        <v>6</v>
      </c>
      <c r="C118" s="409" t="s">
        <v>547</v>
      </c>
      <c r="D118" s="411" t="s">
        <v>554</v>
      </c>
      <c r="E118" s="407" t="s">
        <v>555</v>
      </c>
      <c r="F118" s="407" t="s">
        <v>457</v>
      </c>
      <c r="G118" s="413">
        <v>45719</v>
      </c>
      <c r="H118" s="413">
        <f>G118+15</f>
        <v>45734</v>
      </c>
      <c r="I118" s="413">
        <v>45719</v>
      </c>
      <c r="J118" s="417">
        <f>I118-G118</f>
        <v>0</v>
      </c>
      <c r="K118" s="417">
        <f>R118-H118</f>
        <v>66</v>
      </c>
      <c r="L118" s="262" t="s">
        <v>458</v>
      </c>
      <c r="M118" s="265">
        <v>45719</v>
      </c>
      <c r="N118" s="265">
        <v>45721</v>
      </c>
      <c r="O118" s="266" t="s">
        <v>459</v>
      </c>
      <c r="P118" s="262">
        <f t="shared" si="5"/>
        <v>2</v>
      </c>
      <c r="Q118" s="262">
        <f>M119-N118</f>
        <v>15</v>
      </c>
      <c r="R118" s="483">
        <f>N120</f>
        <v>45800</v>
      </c>
      <c r="S118" s="407" t="s">
        <v>482</v>
      </c>
      <c r="T118" s="407" t="str">
        <f>O119</f>
        <v>CAT - I</v>
      </c>
      <c r="U118" s="407" t="s">
        <v>397</v>
      </c>
      <c r="V118" s="415"/>
    </row>
    <row r="119" spans="1:22" x14ac:dyDescent="0.3">
      <c r="A119" s="464"/>
      <c r="B119" s="458"/>
      <c r="C119" s="465"/>
      <c r="D119" s="466"/>
      <c r="E119" s="458"/>
      <c r="F119" s="458"/>
      <c r="G119" s="462"/>
      <c r="H119" s="462"/>
      <c r="I119" s="462"/>
      <c r="J119" s="463"/>
      <c r="K119" s="463"/>
      <c r="L119" s="262" t="s">
        <v>460</v>
      </c>
      <c r="M119" s="265">
        <v>45736</v>
      </c>
      <c r="N119" s="265">
        <v>45738</v>
      </c>
      <c r="O119" s="266" t="s">
        <v>472</v>
      </c>
      <c r="P119" s="262">
        <f t="shared" si="5"/>
        <v>2</v>
      </c>
      <c r="Q119" s="262">
        <f>M120-N119</f>
        <v>61</v>
      </c>
      <c r="R119" s="484"/>
      <c r="S119" s="458"/>
      <c r="T119" s="458"/>
      <c r="U119" s="458"/>
      <c r="V119" s="459"/>
    </row>
    <row r="120" spans="1:22" x14ac:dyDescent="0.3">
      <c r="A120" s="464"/>
      <c r="B120" s="458"/>
      <c r="C120" s="465"/>
      <c r="D120" s="466"/>
      <c r="E120" s="458"/>
      <c r="F120" s="458"/>
      <c r="G120" s="462"/>
      <c r="H120" s="462"/>
      <c r="I120" s="462"/>
      <c r="J120" s="463"/>
      <c r="K120" s="463"/>
      <c r="L120" s="262" t="s">
        <v>462</v>
      </c>
      <c r="M120" s="265">
        <v>45799</v>
      </c>
      <c r="N120" s="265">
        <v>45800</v>
      </c>
      <c r="O120" s="266" t="s">
        <v>472</v>
      </c>
      <c r="P120" s="262">
        <f t="shared" si="5"/>
        <v>1</v>
      </c>
      <c r="Q120" s="262"/>
      <c r="R120" s="484"/>
      <c r="S120" s="458"/>
      <c r="T120" s="458"/>
      <c r="U120" s="458"/>
      <c r="V120" s="459"/>
    </row>
    <row r="121" spans="1:22" x14ac:dyDescent="0.3">
      <c r="A121" s="464"/>
      <c r="B121" s="458"/>
      <c r="C121" s="465"/>
      <c r="D121" s="466"/>
      <c r="E121" s="458"/>
      <c r="F121" s="458"/>
      <c r="G121" s="462"/>
      <c r="H121" s="462"/>
      <c r="I121" s="462"/>
      <c r="J121" s="463"/>
      <c r="K121" s="463"/>
      <c r="L121" s="262" t="s">
        <v>463</v>
      </c>
      <c r="M121" s="265">
        <v>45898</v>
      </c>
      <c r="N121" s="265"/>
      <c r="O121" s="266"/>
      <c r="P121" s="262"/>
      <c r="Q121" s="262"/>
      <c r="R121" s="484"/>
      <c r="S121" s="458"/>
      <c r="T121" s="458"/>
      <c r="U121" s="458"/>
      <c r="V121" s="459"/>
    </row>
    <row r="122" spans="1:22" x14ac:dyDescent="0.3">
      <c r="A122" s="406"/>
      <c r="B122" s="408"/>
      <c r="C122" s="410"/>
      <c r="D122" s="412"/>
      <c r="E122" s="408"/>
      <c r="F122" s="408"/>
      <c r="G122" s="414"/>
      <c r="H122" s="414"/>
      <c r="I122" s="414"/>
      <c r="J122" s="418"/>
      <c r="K122" s="418"/>
      <c r="L122" s="262" t="s">
        <v>463</v>
      </c>
      <c r="M122" s="265">
        <v>45904</v>
      </c>
      <c r="N122" s="265"/>
      <c r="O122" s="266"/>
      <c r="P122" s="262"/>
      <c r="Q122" s="262"/>
      <c r="R122" s="485"/>
      <c r="S122" s="408"/>
      <c r="T122" s="408"/>
      <c r="U122" s="408"/>
      <c r="V122" s="416"/>
    </row>
    <row r="123" spans="1:22" x14ac:dyDescent="0.3">
      <c r="A123" s="369">
        <v>5</v>
      </c>
      <c r="B123" s="371" t="s">
        <v>6</v>
      </c>
      <c r="C123" s="373" t="s">
        <v>547</v>
      </c>
      <c r="D123" s="421" t="s">
        <v>556</v>
      </c>
      <c r="E123" s="371" t="s">
        <v>557</v>
      </c>
      <c r="F123" s="371" t="s">
        <v>457</v>
      </c>
      <c r="G123" s="377">
        <v>45853</v>
      </c>
      <c r="H123" s="377">
        <f>G123+15</f>
        <v>45868</v>
      </c>
      <c r="I123" s="377">
        <f>M123</f>
        <v>45835</v>
      </c>
      <c r="J123" s="403">
        <f>I123-G123</f>
        <v>-18</v>
      </c>
      <c r="K123" s="403">
        <f>R123-H123</f>
        <v>10</v>
      </c>
      <c r="L123" s="371" t="s">
        <v>458</v>
      </c>
      <c r="M123" s="273">
        <v>45835</v>
      </c>
      <c r="N123" s="273">
        <v>45863</v>
      </c>
      <c r="O123" s="274" t="s">
        <v>481</v>
      </c>
      <c r="P123" s="270">
        <f t="shared" si="5"/>
        <v>28</v>
      </c>
      <c r="Q123" s="270">
        <f>M124-N123</f>
        <v>11</v>
      </c>
      <c r="R123" s="377">
        <f>N124</f>
        <v>45878</v>
      </c>
      <c r="S123" s="371" t="s">
        <v>397</v>
      </c>
      <c r="T123" s="371" t="str">
        <f>O124</f>
        <v>CAT - I</v>
      </c>
      <c r="U123" s="371" t="s">
        <v>397</v>
      </c>
      <c r="V123" s="399"/>
    </row>
    <row r="124" spans="1:22" x14ac:dyDescent="0.3">
      <c r="A124" s="370"/>
      <c r="B124" s="372"/>
      <c r="C124" s="374"/>
      <c r="D124" s="482"/>
      <c r="E124" s="372"/>
      <c r="F124" s="372"/>
      <c r="G124" s="378"/>
      <c r="H124" s="378"/>
      <c r="I124" s="378"/>
      <c r="J124" s="396"/>
      <c r="K124" s="396"/>
      <c r="L124" s="371"/>
      <c r="M124" s="273">
        <v>45874</v>
      </c>
      <c r="N124" s="273">
        <v>45878</v>
      </c>
      <c r="O124" s="274" t="s">
        <v>472</v>
      </c>
      <c r="P124" s="270">
        <f>N124-M124</f>
        <v>4</v>
      </c>
      <c r="Q124" s="270"/>
      <c r="R124" s="372"/>
      <c r="S124" s="372"/>
      <c r="T124" s="372"/>
      <c r="U124" s="372"/>
      <c r="V124" s="393"/>
    </row>
    <row r="125" spans="1:22" ht="20" x14ac:dyDescent="0.3">
      <c r="A125" s="309">
        <v>6</v>
      </c>
      <c r="B125" s="310" t="s">
        <v>6</v>
      </c>
      <c r="C125" s="311" t="s">
        <v>547</v>
      </c>
      <c r="D125" s="312" t="s">
        <v>387</v>
      </c>
      <c r="E125" s="310" t="s">
        <v>558</v>
      </c>
      <c r="F125" s="310" t="s">
        <v>457</v>
      </c>
      <c r="G125" s="313">
        <v>45795</v>
      </c>
      <c r="H125" s="313">
        <f t="shared" ref="H125:H137" si="6">G125+15</f>
        <v>45810</v>
      </c>
      <c r="I125" s="313">
        <f>M125</f>
        <v>45849</v>
      </c>
      <c r="J125" s="339">
        <f>I125-G125</f>
        <v>54</v>
      </c>
      <c r="K125" s="339">
        <f ca="1">I1-H125</f>
        <v>103</v>
      </c>
      <c r="L125" s="310" t="s">
        <v>458</v>
      </c>
      <c r="M125" s="313">
        <v>45849</v>
      </c>
      <c r="N125" s="313">
        <v>45868</v>
      </c>
      <c r="O125" s="314" t="s">
        <v>459</v>
      </c>
      <c r="P125" s="310">
        <f>N125-M125</f>
        <v>19</v>
      </c>
      <c r="Q125" s="310">
        <f ca="1">I1-N125</f>
        <v>45</v>
      </c>
      <c r="R125" s="310"/>
      <c r="S125" s="310" t="s">
        <v>482</v>
      </c>
      <c r="T125" s="310" t="s">
        <v>459</v>
      </c>
      <c r="U125" s="310" t="s">
        <v>464</v>
      </c>
      <c r="V125" s="315"/>
    </row>
    <row r="126" spans="1:22" ht="20" x14ac:dyDescent="0.3">
      <c r="A126" s="296">
        <v>7</v>
      </c>
      <c r="B126" s="257" t="s">
        <v>6</v>
      </c>
      <c r="C126" s="267" t="s">
        <v>547</v>
      </c>
      <c r="D126" s="268" t="s">
        <v>559</v>
      </c>
      <c r="E126" s="259" t="s">
        <v>560</v>
      </c>
      <c r="F126" s="259" t="s">
        <v>457</v>
      </c>
      <c r="G126" s="275">
        <v>45800</v>
      </c>
      <c r="H126" s="275">
        <f t="shared" si="6"/>
        <v>45815</v>
      </c>
      <c r="I126" s="275"/>
      <c r="J126" s="337">
        <f t="shared" ref="J126:K143" ca="1" si="7">$I$1-G126</f>
        <v>113</v>
      </c>
      <c r="K126" s="340">
        <f t="shared" ca="1" si="7"/>
        <v>98</v>
      </c>
      <c r="L126" s="291"/>
      <c r="M126" s="275"/>
      <c r="N126" s="275"/>
      <c r="O126" s="276"/>
      <c r="P126" s="259"/>
      <c r="Q126" s="259"/>
      <c r="R126" s="259"/>
      <c r="S126" s="259"/>
      <c r="T126" s="259"/>
      <c r="U126" s="259"/>
      <c r="V126" s="300"/>
    </row>
    <row r="127" spans="1:22" ht="20" x14ac:dyDescent="0.3">
      <c r="A127" s="296">
        <v>8</v>
      </c>
      <c r="B127" s="257" t="s">
        <v>6</v>
      </c>
      <c r="C127" s="267" t="s">
        <v>547</v>
      </c>
      <c r="D127" s="268" t="s">
        <v>561</v>
      </c>
      <c r="E127" s="259" t="s">
        <v>562</v>
      </c>
      <c r="F127" s="259" t="s">
        <v>457</v>
      </c>
      <c r="G127" s="275">
        <v>45800</v>
      </c>
      <c r="H127" s="275">
        <f t="shared" si="6"/>
        <v>45815</v>
      </c>
      <c r="I127" s="275"/>
      <c r="J127" s="337">
        <f t="shared" ca="1" si="7"/>
        <v>113</v>
      </c>
      <c r="K127" s="340">
        <f t="shared" ca="1" si="7"/>
        <v>98</v>
      </c>
      <c r="L127" s="291"/>
      <c r="M127" s="275"/>
      <c r="N127" s="275"/>
      <c r="O127" s="276"/>
      <c r="P127" s="259"/>
      <c r="Q127" s="259"/>
      <c r="R127" s="259"/>
      <c r="S127" s="259"/>
      <c r="T127" s="259"/>
      <c r="U127" s="259"/>
      <c r="V127" s="300"/>
    </row>
    <row r="128" spans="1:22" ht="20" x14ac:dyDescent="0.3">
      <c r="A128" s="296">
        <v>9</v>
      </c>
      <c r="B128" s="257" t="s">
        <v>6</v>
      </c>
      <c r="C128" s="267" t="s">
        <v>547</v>
      </c>
      <c r="D128" s="268" t="s">
        <v>563</v>
      </c>
      <c r="E128" s="259" t="s">
        <v>564</v>
      </c>
      <c r="F128" s="259" t="s">
        <v>457</v>
      </c>
      <c r="G128" s="275">
        <v>45874</v>
      </c>
      <c r="H128" s="275">
        <f t="shared" si="6"/>
        <v>45889</v>
      </c>
      <c r="I128" s="275"/>
      <c r="J128" s="337">
        <f t="shared" ca="1" si="7"/>
        <v>39</v>
      </c>
      <c r="K128" s="340">
        <f t="shared" ca="1" si="7"/>
        <v>24</v>
      </c>
      <c r="L128" s="291"/>
      <c r="M128" s="275"/>
      <c r="N128" s="275"/>
      <c r="O128" s="276"/>
      <c r="P128" s="259"/>
      <c r="Q128" s="259"/>
      <c r="R128" s="259"/>
      <c r="S128" s="259"/>
      <c r="T128" s="259"/>
      <c r="U128" s="259"/>
      <c r="V128" s="300"/>
    </row>
    <row r="129" spans="1:22" ht="20" x14ac:dyDescent="0.3">
      <c r="A129" s="296">
        <v>10</v>
      </c>
      <c r="B129" s="257" t="s">
        <v>6</v>
      </c>
      <c r="C129" s="267" t="s">
        <v>547</v>
      </c>
      <c r="D129" s="268" t="s">
        <v>565</v>
      </c>
      <c r="E129" s="259" t="s">
        <v>566</v>
      </c>
      <c r="F129" s="259" t="s">
        <v>457</v>
      </c>
      <c r="G129" s="275">
        <v>45877</v>
      </c>
      <c r="H129" s="275">
        <f t="shared" si="6"/>
        <v>45892</v>
      </c>
      <c r="I129" s="275"/>
      <c r="J129" s="337">
        <f t="shared" ca="1" si="7"/>
        <v>36</v>
      </c>
      <c r="K129" s="340">
        <f t="shared" ca="1" si="7"/>
        <v>21</v>
      </c>
      <c r="L129" s="291"/>
      <c r="M129" s="275"/>
      <c r="N129" s="275"/>
      <c r="O129" s="276"/>
      <c r="P129" s="259"/>
      <c r="Q129" s="259"/>
      <c r="R129" s="259"/>
      <c r="S129" s="259"/>
      <c r="T129" s="259"/>
      <c r="U129" s="259"/>
      <c r="V129" s="300"/>
    </row>
    <row r="130" spans="1:22" ht="20" x14ac:dyDescent="0.3">
      <c r="A130" s="296">
        <v>11</v>
      </c>
      <c r="B130" s="257" t="s">
        <v>6</v>
      </c>
      <c r="C130" s="267" t="s">
        <v>547</v>
      </c>
      <c r="D130" s="268" t="s">
        <v>567</v>
      </c>
      <c r="E130" s="259" t="s">
        <v>568</v>
      </c>
      <c r="F130" s="259" t="s">
        <v>457</v>
      </c>
      <c r="G130" s="275">
        <v>45881</v>
      </c>
      <c r="H130" s="275">
        <f t="shared" si="6"/>
        <v>45896</v>
      </c>
      <c r="I130" s="275"/>
      <c r="J130" s="337">
        <f t="shared" ca="1" si="7"/>
        <v>32</v>
      </c>
      <c r="K130" s="340">
        <f t="shared" ca="1" si="7"/>
        <v>17</v>
      </c>
      <c r="L130" s="291"/>
      <c r="M130" s="275"/>
      <c r="N130" s="275"/>
      <c r="O130" s="276"/>
      <c r="P130" s="259"/>
      <c r="Q130" s="259"/>
      <c r="R130" s="259"/>
      <c r="S130" s="259"/>
      <c r="T130" s="259"/>
      <c r="U130" s="259"/>
      <c r="V130" s="300"/>
    </row>
    <row r="131" spans="1:22" ht="20" x14ac:dyDescent="0.3">
      <c r="A131" s="296">
        <v>12</v>
      </c>
      <c r="B131" s="257" t="s">
        <v>6</v>
      </c>
      <c r="C131" s="267" t="s">
        <v>547</v>
      </c>
      <c r="D131" s="268" t="s">
        <v>569</v>
      </c>
      <c r="E131" s="259" t="s">
        <v>570</v>
      </c>
      <c r="F131" s="259" t="s">
        <v>457</v>
      </c>
      <c r="G131" s="275">
        <v>45843</v>
      </c>
      <c r="H131" s="275">
        <f t="shared" si="6"/>
        <v>45858</v>
      </c>
      <c r="I131" s="275"/>
      <c r="J131" s="337">
        <f t="shared" ca="1" si="7"/>
        <v>70</v>
      </c>
      <c r="K131" s="340">
        <f t="shared" ca="1" si="7"/>
        <v>55</v>
      </c>
      <c r="L131" s="291"/>
      <c r="M131" s="275"/>
      <c r="N131" s="275"/>
      <c r="O131" s="276"/>
      <c r="P131" s="259"/>
      <c r="Q131" s="259"/>
      <c r="R131" s="259"/>
      <c r="S131" s="259"/>
      <c r="T131" s="259"/>
      <c r="U131" s="259"/>
      <c r="V131" s="300"/>
    </row>
    <row r="132" spans="1:22" ht="20" x14ac:dyDescent="0.3">
      <c r="A132" s="296">
        <v>13</v>
      </c>
      <c r="B132" s="257" t="s">
        <v>6</v>
      </c>
      <c r="C132" s="267" t="s">
        <v>547</v>
      </c>
      <c r="D132" s="268" t="s">
        <v>571</v>
      </c>
      <c r="E132" s="259" t="s">
        <v>572</v>
      </c>
      <c r="F132" s="259" t="s">
        <v>457</v>
      </c>
      <c r="G132" s="275">
        <v>45848</v>
      </c>
      <c r="H132" s="275">
        <f t="shared" si="6"/>
        <v>45863</v>
      </c>
      <c r="I132" s="275"/>
      <c r="J132" s="337">
        <f t="shared" ca="1" si="7"/>
        <v>65</v>
      </c>
      <c r="K132" s="340">
        <f t="shared" ca="1" si="7"/>
        <v>50</v>
      </c>
      <c r="L132" s="291"/>
      <c r="M132" s="275"/>
      <c r="N132" s="275"/>
      <c r="O132" s="276"/>
      <c r="P132" s="259"/>
      <c r="Q132" s="259"/>
      <c r="R132" s="259"/>
      <c r="S132" s="259"/>
      <c r="T132" s="259"/>
      <c r="U132" s="259"/>
      <c r="V132" s="300"/>
    </row>
    <row r="133" spans="1:22" ht="20" x14ac:dyDescent="0.3">
      <c r="A133" s="296">
        <v>14</v>
      </c>
      <c r="B133" s="257" t="s">
        <v>6</v>
      </c>
      <c r="C133" s="267" t="s">
        <v>547</v>
      </c>
      <c r="D133" s="268" t="s">
        <v>573</v>
      </c>
      <c r="E133" s="259" t="s">
        <v>574</v>
      </c>
      <c r="F133" s="259" t="s">
        <v>457</v>
      </c>
      <c r="G133" s="275">
        <v>45833</v>
      </c>
      <c r="H133" s="275">
        <f t="shared" si="6"/>
        <v>45848</v>
      </c>
      <c r="I133" s="275"/>
      <c r="J133" s="337">
        <f t="shared" ca="1" si="7"/>
        <v>80</v>
      </c>
      <c r="K133" s="340">
        <f t="shared" ca="1" si="7"/>
        <v>65</v>
      </c>
      <c r="L133" s="291"/>
      <c r="M133" s="275"/>
      <c r="N133" s="275"/>
      <c r="O133" s="276"/>
      <c r="P133" s="259"/>
      <c r="Q133" s="259"/>
      <c r="R133" s="259"/>
      <c r="S133" s="259"/>
      <c r="T133" s="259"/>
      <c r="U133" s="259"/>
      <c r="V133" s="300"/>
    </row>
    <row r="134" spans="1:22" ht="20" x14ac:dyDescent="0.3">
      <c r="A134" s="309">
        <v>15</v>
      </c>
      <c r="B134" s="310" t="s">
        <v>6</v>
      </c>
      <c r="C134" s="311" t="s">
        <v>547</v>
      </c>
      <c r="D134" s="312" t="s">
        <v>575</v>
      </c>
      <c r="E134" s="310" t="s">
        <v>576</v>
      </c>
      <c r="F134" s="310" t="s">
        <v>457</v>
      </c>
      <c r="G134" s="313">
        <v>45838</v>
      </c>
      <c r="H134" s="313">
        <f t="shared" si="6"/>
        <v>45853</v>
      </c>
      <c r="I134" s="313">
        <v>45838</v>
      </c>
      <c r="J134" s="339">
        <f>I134-G134</f>
        <v>0</v>
      </c>
      <c r="K134" s="339">
        <f ca="1">I1-H134</f>
        <v>60</v>
      </c>
      <c r="L134" s="310" t="s">
        <v>458</v>
      </c>
      <c r="M134" s="313">
        <v>45838</v>
      </c>
      <c r="N134" s="313">
        <v>45882</v>
      </c>
      <c r="O134" s="314" t="s">
        <v>459</v>
      </c>
      <c r="P134" s="310">
        <f>N134-M134</f>
        <v>44</v>
      </c>
      <c r="Q134" s="310"/>
      <c r="R134" s="310"/>
      <c r="S134" s="310" t="s">
        <v>489</v>
      </c>
      <c r="T134" s="310" t="s">
        <v>459</v>
      </c>
      <c r="U134" s="310" t="s">
        <v>464</v>
      </c>
      <c r="V134" s="315"/>
    </row>
    <row r="135" spans="1:22" ht="20" x14ac:dyDescent="0.3">
      <c r="A135" s="296">
        <v>16</v>
      </c>
      <c r="B135" s="257" t="s">
        <v>6</v>
      </c>
      <c r="C135" s="267" t="s">
        <v>547</v>
      </c>
      <c r="D135" s="268" t="s">
        <v>577</v>
      </c>
      <c r="E135" s="259" t="s">
        <v>578</v>
      </c>
      <c r="F135" s="259" t="s">
        <v>457</v>
      </c>
      <c r="G135" s="275">
        <v>45843</v>
      </c>
      <c r="H135" s="275">
        <f t="shared" si="6"/>
        <v>45858</v>
      </c>
      <c r="I135" s="275"/>
      <c r="J135" s="337">
        <f t="shared" ca="1" si="7"/>
        <v>70</v>
      </c>
      <c r="K135" s="340">
        <f ca="1">$I$1-H135</f>
        <v>55</v>
      </c>
      <c r="L135" s="291"/>
      <c r="M135" s="275"/>
      <c r="N135" s="275"/>
      <c r="O135" s="276"/>
      <c r="P135" s="259"/>
      <c r="Q135" s="259"/>
      <c r="R135" s="259"/>
      <c r="S135" s="259"/>
      <c r="T135" s="259"/>
      <c r="U135" s="259"/>
      <c r="V135" s="300"/>
    </row>
    <row r="136" spans="1:22" ht="20" x14ac:dyDescent="0.3">
      <c r="A136" s="296">
        <v>17</v>
      </c>
      <c r="B136" s="257" t="s">
        <v>6</v>
      </c>
      <c r="C136" s="267" t="s">
        <v>547</v>
      </c>
      <c r="D136" s="268" t="s">
        <v>579</v>
      </c>
      <c r="E136" s="259" t="s">
        <v>580</v>
      </c>
      <c r="F136" s="259" t="s">
        <v>457</v>
      </c>
      <c r="G136" s="275">
        <v>45846</v>
      </c>
      <c r="H136" s="275">
        <f t="shared" si="6"/>
        <v>45861</v>
      </c>
      <c r="I136" s="269"/>
      <c r="J136" s="337">
        <f t="shared" ca="1" si="7"/>
        <v>67</v>
      </c>
      <c r="K136" s="340">
        <f ca="1">$I$1-H136</f>
        <v>52</v>
      </c>
      <c r="L136" s="291"/>
      <c r="M136" s="275"/>
      <c r="N136" s="275"/>
      <c r="O136" s="276"/>
      <c r="P136" s="259"/>
      <c r="Q136" s="259"/>
      <c r="R136" s="259"/>
      <c r="S136" s="259"/>
      <c r="T136" s="259"/>
      <c r="U136" s="259"/>
      <c r="V136" s="300"/>
    </row>
    <row r="137" spans="1:22" ht="20" x14ac:dyDescent="0.3">
      <c r="A137" s="296">
        <v>18</v>
      </c>
      <c r="B137" s="257" t="s">
        <v>6</v>
      </c>
      <c r="C137" s="267" t="s">
        <v>547</v>
      </c>
      <c r="D137" s="268" t="s">
        <v>581</v>
      </c>
      <c r="E137" s="259" t="s">
        <v>582</v>
      </c>
      <c r="F137" s="257" t="s">
        <v>467</v>
      </c>
      <c r="G137" s="269">
        <v>45848</v>
      </c>
      <c r="H137" s="275">
        <f t="shared" si="6"/>
        <v>45863</v>
      </c>
      <c r="I137" s="269"/>
      <c r="J137" s="337">
        <f t="shared" ca="1" si="7"/>
        <v>65</v>
      </c>
      <c r="K137" s="340">
        <f ca="1">$I$1-H137</f>
        <v>50</v>
      </c>
      <c r="L137" s="291"/>
      <c r="M137" s="275"/>
      <c r="N137" s="275"/>
      <c r="O137" s="276"/>
      <c r="P137" s="259"/>
      <c r="Q137" s="259"/>
      <c r="R137" s="259"/>
      <c r="S137" s="259"/>
      <c r="T137" s="259"/>
      <c r="U137" s="259"/>
      <c r="V137" s="300"/>
    </row>
    <row r="138" spans="1:22" ht="20" x14ac:dyDescent="0.3">
      <c r="A138" s="298">
        <v>19</v>
      </c>
      <c r="B138" s="270" t="s">
        <v>6</v>
      </c>
      <c r="C138" s="271" t="s">
        <v>547</v>
      </c>
      <c r="D138" s="272" t="s">
        <v>583</v>
      </c>
      <c r="E138" s="270" t="s">
        <v>584</v>
      </c>
      <c r="F138" s="270" t="s">
        <v>467</v>
      </c>
      <c r="G138" s="273">
        <v>45853</v>
      </c>
      <c r="H138" s="273">
        <f>G138+7</f>
        <v>45860</v>
      </c>
      <c r="I138" s="273">
        <f>M138</f>
        <v>45855</v>
      </c>
      <c r="J138" s="338">
        <f>I138-G138</f>
        <v>2</v>
      </c>
      <c r="K138" s="338">
        <f>R138-H138</f>
        <v>-1</v>
      </c>
      <c r="L138" s="270" t="s">
        <v>458</v>
      </c>
      <c r="M138" s="273">
        <v>45855</v>
      </c>
      <c r="N138" s="273">
        <v>45859</v>
      </c>
      <c r="O138" s="274" t="s">
        <v>511</v>
      </c>
      <c r="P138" s="270">
        <f>N138-M138</f>
        <v>4</v>
      </c>
      <c r="Q138" s="270"/>
      <c r="R138" s="273">
        <f>N138</f>
        <v>45859</v>
      </c>
      <c r="S138" s="270" t="s">
        <v>397</v>
      </c>
      <c r="T138" s="270" t="str">
        <f>O138</f>
        <v xml:space="preserve">CAT -IV </v>
      </c>
      <c r="U138" s="270" t="s">
        <v>397</v>
      </c>
      <c r="V138" s="299"/>
    </row>
    <row r="139" spans="1:22" ht="20" x14ac:dyDescent="0.3">
      <c r="A139" s="296">
        <v>20</v>
      </c>
      <c r="B139" s="257" t="s">
        <v>6</v>
      </c>
      <c r="C139" s="267" t="s">
        <v>547</v>
      </c>
      <c r="D139" s="268" t="s">
        <v>585</v>
      </c>
      <c r="E139" s="259" t="s">
        <v>586</v>
      </c>
      <c r="F139" s="257" t="s">
        <v>457</v>
      </c>
      <c r="G139" s="269">
        <v>45853</v>
      </c>
      <c r="H139" s="275">
        <f t="shared" ref="H139:H144" si="8">G139+15</f>
        <v>45868</v>
      </c>
      <c r="I139" s="269"/>
      <c r="J139" s="337">
        <f t="shared" ca="1" si="7"/>
        <v>60</v>
      </c>
      <c r="K139" s="340">
        <f ca="1">$I$1-H139</f>
        <v>45</v>
      </c>
      <c r="L139" s="291"/>
      <c r="M139" s="275"/>
      <c r="N139" s="275"/>
      <c r="O139" s="276"/>
      <c r="P139" s="259"/>
      <c r="Q139" s="259"/>
      <c r="R139" s="259"/>
      <c r="S139" s="259"/>
      <c r="T139" s="259"/>
      <c r="U139" s="259"/>
      <c r="V139" s="300"/>
    </row>
    <row r="140" spans="1:22" ht="20" x14ac:dyDescent="0.3">
      <c r="A140" s="296">
        <v>21</v>
      </c>
      <c r="B140" s="257" t="s">
        <v>6</v>
      </c>
      <c r="C140" s="267" t="s">
        <v>547</v>
      </c>
      <c r="D140" s="268" t="s">
        <v>587</v>
      </c>
      <c r="E140" s="259" t="s">
        <v>588</v>
      </c>
      <c r="F140" s="257" t="s">
        <v>467</v>
      </c>
      <c r="G140" s="269">
        <v>45858</v>
      </c>
      <c r="H140" s="275">
        <f t="shared" si="8"/>
        <v>45873</v>
      </c>
      <c r="I140" s="269"/>
      <c r="J140" s="337">
        <f t="shared" ca="1" si="7"/>
        <v>55</v>
      </c>
      <c r="K140" s="340">
        <f ca="1">$I$1-H140</f>
        <v>40</v>
      </c>
      <c r="L140" s="291"/>
      <c r="M140" s="275"/>
      <c r="N140" s="275"/>
      <c r="O140" s="276"/>
      <c r="P140" s="259"/>
      <c r="Q140" s="259"/>
      <c r="R140" s="259"/>
      <c r="S140" s="259"/>
      <c r="T140" s="259"/>
      <c r="U140" s="259"/>
      <c r="V140" s="300"/>
    </row>
    <row r="141" spans="1:22" ht="20" x14ac:dyDescent="0.3">
      <c r="A141" s="296">
        <v>22</v>
      </c>
      <c r="B141" s="257" t="s">
        <v>6</v>
      </c>
      <c r="C141" s="267" t="s">
        <v>547</v>
      </c>
      <c r="D141" s="268" t="s">
        <v>589</v>
      </c>
      <c r="E141" s="259" t="s">
        <v>590</v>
      </c>
      <c r="F141" s="257" t="s">
        <v>457</v>
      </c>
      <c r="G141" s="269">
        <v>45826</v>
      </c>
      <c r="H141" s="275">
        <f t="shared" si="8"/>
        <v>45841</v>
      </c>
      <c r="I141" s="269"/>
      <c r="J141" s="337">
        <f t="shared" ca="1" si="7"/>
        <v>87</v>
      </c>
      <c r="K141" s="340">
        <f ca="1">$I$1-H141</f>
        <v>72</v>
      </c>
      <c r="L141" s="291"/>
      <c r="M141" s="275"/>
      <c r="N141" s="275"/>
      <c r="O141" s="276"/>
      <c r="P141" s="259"/>
      <c r="Q141" s="259"/>
      <c r="R141" s="259"/>
      <c r="S141" s="259"/>
      <c r="T141" s="259"/>
      <c r="U141" s="259"/>
      <c r="V141" s="300"/>
    </row>
    <row r="142" spans="1:22" ht="20" x14ac:dyDescent="0.3">
      <c r="A142" s="296">
        <v>23</v>
      </c>
      <c r="B142" s="257" t="s">
        <v>6</v>
      </c>
      <c r="C142" s="267" t="s">
        <v>547</v>
      </c>
      <c r="D142" s="268" t="s">
        <v>591</v>
      </c>
      <c r="E142" s="259" t="s">
        <v>592</v>
      </c>
      <c r="F142" s="257" t="s">
        <v>467</v>
      </c>
      <c r="G142" s="269">
        <v>45833</v>
      </c>
      <c r="H142" s="275">
        <f t="shared" si="8"/>
        <v>45848</v>
      </c>
      <c r="I142" s="269"/>
      <c r="J142" s="337">
        <f t="shared" ca="1" si="7"/>
        <v>80</v>
      </c>
      <c r="K142" s="340">
        <f ca="1">$I$1-H142</f>
        <v>65</v>
      </c>
      <c r="L142" s="291"/>
      <c r="M142" s="275"/>
      <c r="N142" s="275"/>
      <c r="O142" s="276"/>
      <c r="P142" s="259"/>
      <c r="Q142" s="259"/>
      <c r="R142" s="259"/>
      <c r="S142" s="259"/>
      <c r="T142" s="259"/>
      <c r="U142" s="259"/>
      <c r="V142" s="300"/>
    </row>
    <row r="143" spans="1:22" ht="20" x14ac:dyDescent="0.3">
      <c r="A143" s="296">
        <v>24</v>
      </c>
      <c r="B143" s="257" t="s">
        <v>6</v>
      </c>
      <c r="C143" s="267" t="s">
        <v>547</v>
      </c>
      <c r="D143" s="268" t="s">
        <v>593</v>
      </c>
      <c r="E143" s="259" t="s">
        <v>594</v>
      </c>
      <c r="F143" s="257" t="s">
        <v>457</v>
      </c>
      <c r="G143" s="269">
        <v>45863</v>
      </c>
      <c r="H143" s="275">
        <f t="shared" si="8"/>
        <v>45878</v>
      </c>
      <c r="I143" s="269"/>
      <c r="J143" s="337">
        <f t="shared" ca="1" si="7"/>
        <v>50</v>
      </c>
      <c r="K143" s="340">
        <f ca="1">$I$1-H143</f>
        <v>35</v>
      </c>
      <c r="L143" s="291"/>
      <c r="M143" s="275"/>
      <c r="N143" s="275"/>
      <c r="O143" s="276"/>
      <c r="P143" s="259"/>
      <c r="Q143" s="259"/>
      <c r="R143" s="259"/>
      <c r="S143" s="259"/>
      <c r="T143" s="259"/>
      <c r="U143" s="259"/>
      <c r="V143" s="300"/>
    </row>
    <row r="144" spans="1:22" x14ac:dyDescent="0.3">
      <c r="A144" s="405">
        <v>25</v>
      </c>
      <c r="B144" s="407" t="s">
        <v>6</v>
      </c>
      <c r="C144" s="446" t="s">
        <v>547</v>
      </c>
      <c r="D144" s="477" t="s">
        <v>595</v>
      </c>
      <c r="E144" s="407" t="s">
        <v>596</v>
      </c>
      <c r="F144" s="407" t="s">
        <v>457</v>
      </c>
      <c r="G144" s="413">
        <v>45828</v>
      </c>
      <c r="H144" s="413">
        <f t="shared" si="8"/>
        <v>45843</v>
      </c>
      <c r="I144" s="413">
        <f>M144</f>
        <v>45849</v>
      </c>
      <c r="J144" s="417">
        <f>I144-G144</f>
        <v>21</v>
      </c>
      <c r="K144" s="417">
        <f>R144-H144</f>
        <v>40</v>
      </c>
      <c r="L144" s="262" t="s">
        <v>458</v>
      </c>
      <c r="M144" s="265">
        <v>45849</v>
      </c>
      <c r="N144" s="265">
        <v>45862</v>
      </c>
      <c r="O144" s="266" t="s">
        <v>459</v>
      </c>
      <c r="P144" s="262">
        <f>N144-M144</f>
        <v>13</v>
      </c>
      <c r="Q144" s="262">
        <f>M145-N144</f>
        <v>2</v>
      </c>
      <c r="R144" s="413">
        <f>N147</f>
        <v>45883</v>
      </c>
      <c r="S144" s="407" t="s">
        <v>482</v>
      </c>
      <c r="T144" s="407" t="str">
        <f>O147</f>
        <v>CAT - I</v>
      </c>
      <c r="U144" s="407" t="s">
        <v>461</v>
      </c>
      <c r="V144" s="415"/>
    </row>
    <row r="145" spans="1:22" x14ac:dyDescent="0.3">
      <c r="A145" s="464"/>
      <c r="B145" s="458"/>
      <c r="C145" s="481"/>
      <c r="D145" s="478"/>
      <c r="E145" s="458"/>
      <c r="F145" s="458"/>
      <c r="G145" s="462"/>
      <c r="H145" s="462"/>
      <c r="I145" s="462"/>
      <c r="J145" s="463"/>
      <c r="K145" s="463"/>
      <c r="L145" s="262" t="s">
        <v>460</v>
      </c>
      <c r="M145" s="265">
        <v>45864</v>
      </c>
      <c r="N145" s="265"/>
      <c r="O145" s="266"/>
      <c r="P145" s="262"/>
      <c r="Q145" s="262"/>
      <c r="R145" s="462"/>
      <c r="S145" s="458"/>
      <c r="T145" s="458"/>
      <c r="U145" s="458"/>
      <c r="V145" s="459"/>
    </row>
    <row r="146" spans="1:22" x14ac:dyDescent="0.3">
      <c r="A146" s="464"/>
      <c r="B146" s="458"/>
      <c r="C146" s="481"/>
      <c r="D146" s="478"/>
      <c r="E146" s="458"/>
      <c r="F146" s="458"/>
      <c r="G146" s="462"/>
      <c r="H146" s="462"/>
      <c r="I146" s="462"/>
      <c r="J146" s="463"/>
      <c r="K146" s="463"/>
      <c r="L146" s="262" t="s">
        <v>460</v>
      </c>
      <c r="M146" s="265">
        <v>45882</v>
      </c>
      <c r="N146" s="265"/>
      <c r="O146" s="266"/>
      <c r="P146" s="262"/>
      <c r="Q146" s="262"/>
      <c r="R146" s="462"/>
      <c r="S146" s="458"/>
      <c r="T146" s="458"/>
      <c r="U146" s="458"/>
      <c r="V146" s="459"/>
    </row>
    <row r="147" spans="1:22" x14ac:dyDescent="0.3">
      <c r="A147" s="464"/>
      <c r="B147" s="458"/>
      <c r="C147" s="481"/>
      <c r="D147" s="478"/>
      <c r="E147" s="458"/>
      <c r="F147" s="458"/>
      <c r="G147" s="462"/>
      <c r="H147" s="462"/>
      <c r="I147" s="462"/>
      <c r="J147" s="463"/>
      <c r="K147" s="463"/>
      <c r="L147" s="262" t="s">
        <v>460</v>
      </c>
      <c r="M147" s="265">
        <v>45883</v>
      </c>
      <c r="N147" s="265">
        <v>45883</v>
      </c>
      <c r="O147" s="266" t="s">
        <v>472</v>
      </c>
      <c r="P147" s="262"/>
      <c r="Q147" s="262"/>
      <c r="R147" s="462"/>
      <c r="S147" s="458"/>
      <c r="T147" s="458"/>
      <c r="U147" s="458"/>
      <c r="V147" s="459"/>
    </row>
    <row r="148" spans="1:22" x14ac:dyDescent="0.3">
      <c r="A148" s="406"/>
      <c r="B148" s="408"/>
      <c r="C148" s="447"/>
      <c r="D148" s="479"/>
      <c r="E148" s="408"/>
      <c r="F148" s="408"/>
      <c r="G148" s="414"/>
      <c r="H148" s="414"/>
      <c r="I148" s="414"/>
      <c r="J148" s="418"/>
      <c r="K148" s="418"/>
      <c r="L148" s="262" t="s">
        <v>462</v>
      </c>
      <c r="M148" s="265">
        <v>45905</v>
      </c>
      <c r="N148" s="265"/>
      <c r="O148" s="266"/>
      <c r="P148" s="262"/>
      <c r="Q148" s="262"/>
      <c r="R148" s="414"/>
      <c r="S148" s="408"/>
      <c r="T148" s="408"/>
      <c r="U148" s="408"/>
      <c r="V148" s="416"/>
    </row>
    <row r="149" spans="1:22" x14ac:dyDescent="0.3">
      <c r="A149" s="369">
        <v>26</v>
      </c>
      <c r="B149" s="371" t="s">
        <v>6</v>
      </c>
      <c r="C149" s="373" t="s">
        <v>547</v>
      </c>
      <c r="D149" s="375" t="s">
        <v>597</v>
      </c>
      <c r="E149" s="371" t="s">
        <v>598</v>
      </c>
      <c r="F149" s="371" t="s">
        <v>467</v>
      </c>
      <c r="G149" s="377">
        <v>45833</v>
      </c>
      <c r="H149" s="377">
        <f>G149+15</f>
        <v>45848</v>
      </c>
      <c r="I149" s="377">
        <f>M149</f>
        <v>45849</v>
      </c>
      <c r="J149" s="403">
        <f>I149-G149</f>
        <v>16</v>
      </c>
      <c r="K149" s="403">
        <f>R149-H149</f>
        <v>35</v>
      </c>
      <c r="L149" s="270" t="s">
        <v>458</v>
      </c>
      <c r="M149" s="273">
        <v>45849</v>
      </c>
      <c r="N149" s="273">
        <v>45862</v>
      </c>
      <c r="O149" s="274" t="s">
        <v>459</v>
      </c>
      <c r="P149" s="270"/>
      <c r="Q149" s="270"/>
      <c r="R149" s="377">
        <f>N150</f>
        <v>45883</v>
      </c>
      <c r="S149" s="371" t="s">
        <v>397</v>
      </c>
      <c r="T149" s="371" t="str">
        <f>O150</f>
        <v>CAT - I</v>
      </c>
      <c r="U149" s="371" t="s">
        <v>397</v>
      </c>
      <c r="V149" s="399"/>
    </row>
    <row r="150" spans="1:22" x14ac:dyDescent="0.3">
      <c r="A150" s="370"/>
      <c r="B150" s="372"/>
      <c r="C150" s="420"/>
      <c r="D150" s="376"/>
      <c r="E150" s="372"/>
      <c r="F150" s="372"/>
      <c r="G150" s="378"/>
      <c r="H150" s="378"/>
      <c r="I150" s="378"/>
      <c r="J150" s="396"/>
      <c r="K150" s="396"/>
      <c r="L150" s="270" t="s">
        <v>460</v>
      </c>
      <c r="M150" s="273">
        <v>45864</v>
      </c>
      <c r="N150" s="273">
        <v>45883</v>
      </c>
      <c r="O150" s="274" t="s">
        <v>472</v>
      </c>
      <c r="P150" s="270"/>
      <c r="Q150" s="270"/>
      <c r="R150" s="371"/>
      <c r="S150" s="372"/>
      <c r="T150" s="372"/>
      <c r="U150" s="372"/>
      <c r="V150" s="393"/>
    </row>
    <row r="151" spans="1:22" ht="20" x14ac:dyDescent="0.3">
      <c r="A151" s="296">
        <v>27</v>
      </c>
      <c r="B151" s="257" t="s">
        <v>6</v>
      </c>
      <c r="C151" s="267" t="s">
        <v>547</v>
      </c>
      <c r="D151" s="268" t="s">
        <v>599</v>
      </c>
      <c r="E151" s="259" t="s">
        <v>600</v>
      </c>
      <c r="F151" s="257" t="s">
        <v>457</v>
      </c>
      <c r="G151" s="275">
        <v>45836</v>
      </c>
      <c r="H151" s="275">
        <f>G151+15</f>
        <v>45851</v>
      </c>
      <c r="I151" s="269"/>
      <c r="J151" s="337">
        <f t="shared" ref="J151:J153" ca="1" si="9">$I$1-G151</f>
        <v>77</v>
      </c>
      <c r="K151" s="340">
        <f ca="1">$I$1-H151</f>
        <v>62</v>
      </c>
      <c r="L151" s="291"/>
      <c r="M151" s="275"/>
      <c r="N151" s="275"/>
      <c r="O151" s="276"/>
      <c r="P151" s="259"/>
      <c r="Q151" s="259"/>
      <c r="R151" s="259"/>
      <c r="S151" s="259"/>
      <c r="T151" s="259"/>
      <c r="U151" s="259"/>
      <c r="V151" s="300"/>
    </row>
    <row r="152" spans="1:22" ht="20" x14ac:dyDescent="0.3">
      <c r="A152" s="296">
        <v>28</v>
      </c>
      <c r="B152" s="257" t="s">
        <v>6</v>
      </c>
      <c r="C152" s="267" t="s">
        <v>547</v>
      </c>
      <c r="D152" s="268" t="s">
        <v>601</v>
      </c>
      <c r="E152" s="259" t="s">
        <v>602</v>
      </c>
      <c r="F152" s="259" t="s">
        <v>457</v>
      </c>
      <c r="G152" s="275">
        <v>45858</v>
      </c>
      <c r="H152" s="275">
        <f>G152+15</f>
        <v>45873</v>
      </c>
      <c r="I152" s="269"/>
      <c r="J152" s="337">
        <f t="shared" ca="1" si="9"/>
        <v>55</v>
      </c>
      <c r="K152" s="340">
        <f ca="1">$I$1-H152</f>
        <v>40</v>
      </c>
      <c r="L152" s="291"/>
      <c r="M152" s="275"/>
      <c r="N152" s="275"/>
      <c r="O152" s="276"/>
      <c r="P152" s="259"/>
      <c r="Q152" s="259"/>
      <c r="R152" s="259"/>
      <c r="S152" s="259"/>
      <c r="T152" s="259"/>
      <c r="U152" s="259"/>
      <c r="V152" s="300"/>
    </row>
    <row r="153" spans="1:22" ht="20" x14ac:dyDescent="0.3">
      <c r="A153" s="296">
        <v>29</v>
      </c>
      <c r="B153" s="257" t="s">
        <v>6</v>
      </c>
      <c r="C153" s="267" t="s">
        <v>547</v>
      </c>
      <c r="D153" s="268" t="s">
        <v>603</v>
      </c>
      <c r="E153" s="259" t="s">
        <v>604</v>
      </c>
      <c r="F153" s="259" t="s">
        <v>457</v>
      </c>
      <c r="G153" s="275">
        <v>45863</v>
      </c>
      <c r="H153" s="275">
        <f>G153+15</f>
        <v>45878</v>
      </c>
      <c r="I153" s="269"/>
      <c r="J153" s="337">
        <f t="shared" ca="1" si="9"/>
        <v>50</v>
      </c>
      <c r="K153" s="340">
        <f ca="1">$I$1-H153</f>
        <v>35</v>
      </c>
      <c r="L153" s="291"/>
      <c r="M153" s="275"/>
      <c r="N153" s="275"/>
      <c r="O153" s="276"/>
      <c r="P153" s="259"/>
      <c r="Q153" s="259"/>
      <c r="R153" s="259"/>
      <c r="S153" s="259"/>
      <c r="T153" s="259"/>
      <c r="U153" s="259"/>
      <c r="V153" s="300"/>
    </row>
    <row r="154" spans="1:22" x14ac:dyDescent="0.3">
      <c r="A154" s="369">
        <v>1</v>
      </c>
      <c r="B154" s="371" t="s">
        <v>605</v>
      </c>
      <c r="C154" s="373" t="s">
        <v>606</v>
      </c>
      <c r="D154" s="375" t="s">
        <v>607</v>
      </c>
      <c r="E154" s="371" t="s">
        <v>608</v>
      </c>
      <c r="F154" s="371" t="s">
        <v>457</v>
      </c>
      <c r="G154" s="377">
        <v>45719</v>
      </c>
      <c r="H154" s="377">
        <f>G154+15</f>
        <v>45734</v>
      </c>
      <c r="I154" s="377">
        <f>M154</f>
        <v>45714</v>
      </c>
      <c r="J154" s="403">
        <f>I154-G154</f>
        <v>-5</v>
      </c>
      <c r="K154" s="403">
        <f>R154-H154</f>
        <v>86</v>
      </c>
      <c r="L154" s="270" t="s">
        <v>458</v>
      </c>
      <c r="M154" s="273">
        <v>45714</v>
      </c>
      <c r="N154" s="273">
        <v>45721</v>
      </c>
      <c r="O154" s="274" t="s">
        <v>459</v>
      </c>
      <c r="P154" s="270">
        <f t="shared" ref="P154:P164" si="10">N154-M154</f>
        <v>7</v>
      </c>
      <c r="Q154" s="270">
        <f>M155-N154</f>
        <v>33</v>
      </c>
      <c r="R154" s="377">
        <f>N157</f>
        <v>45820</v>
      </c>
      <c r="S154" s="371" t="s">
        <v>397</v>
      </c>
      <c r="T154" s="371" t="str">
        <f>O157</f>
        <v>CAT - I</v>
      </c>
      <c r="U154" s="371" t="s">
        <v>397</v>
      </c>
      <c r="V154" s="399"/>
    </row>
    <row r="155" spans="1:22" x14ac:dyDescent="0.3">
      <c r="A155" s="370"/>
      <c r="B155" s="372"/>
      <c r="C155" s="374"/>
      <c r="D155" s="376"/>
      <c r="E155" s="372"/>
      <c r="F155" s="372"/>
      <c r="G155" s="378"/>
      <c r="H155" s="378"/>
      <c r="I155" s="378"/>
      <c r="J155" s="396"/>
      <c r="K155" s="396"/>
      <c r="L155" s="270" t="s">
        <v>460</v>
      </c>
      <c r="M155" s="273">
        <v>45754</v>
      </c>
      <c r="N155" s="273">
        <v>45763</v>
      </c>
      <c r="O155" s="274" t="s">
        <v>459</v>
      </c>
      <c r="P155" s="270">
        <f t="shared" si="10"/>
        <v>9</v>
      </c>
      <c r="Q155" s="270">
        <f>M156-N155</f>
        <v>4</v>
      </c>
      <c r="R155" s="372"/>
      <c r="S155" s="372"/>
      <c r="T155" s="372"/>
      <c r="U155" s="372"/>
      <c r="V155" s="393"/>
    </row>
    <row r="156" spans="1:22" x14ac:dyDescent="0.3">
      <c r="A156" s="370"/>
      <c r="B156" s="372"/>
      <c r="C156" s="374"/>
      <c r="D156" s="376"/>
      <c r="E156" s="372"/>
      <c r="F156" s="372"/>
      <c r="G156" s="378"/>
      <c r="H156" s="378"/>
      <c r="I156" s="378"/>
      <c r="J156" s="396"/>
      <c r="K156" s="396"/>
      <c r="L156" s="270" t="s">
        <v>462</v>
      </c>
      <c r="M156" s="273">
        <v>45767</v>
      </c>
      <c r="N156" s="273">
        <v>45770</v>
      </c>
      <c r="O156" s="274" t="s">
        <v>481</v>
      </c>
      <c r="P156" s="270">
        <f t="shared" si="10"/>
        <v>3</v>
      </c>
      <c r="Q156" s="270">
        <f>M157-N156</f>
        <v>1</v>
      </c>
      <c r="R156" s="372"/>
      <c r="S156" s="372"/>
      <c r="T156" s="372"/>
      <c r="U156" s="372"/>
      <c r="V156" s="393"/>
    </row>
    <row r="157" spans="1:22" x14ac:dyDescent="0.3">
      <c r="A157" s="370"/>
      <c r="B157" s="372"/>
      <c r="C157" s="374"/>
      <c r="D157" s="376"/>
      <c r="E157" s="372"/>
      <c r="F157" s="372"/>
      <c r="G157" s="378"/>
      <c r="H157" s="378"/>
      <c r="I157" s="378"/>
      <c r="J157" s="396"/>
      <c r="K157" s="396"/>
      <c r="L157" s="270" t="s">
        <v>463</v>
      </c>
      <c r="M157" s="273">
        <v>45771</v>
      </c>
      <c r="N157" s="273">
        <v>45820</v>
      </c>
      <c r="O157" s="274" t="s">
        <v>472</v>
      </c>
      <c r="P157" s="270">
        <f t="shared" si="10"/>
        <v>49</v>
      </c>
      <c r="Q157" s="270"/>
      <c r="R157" s="372"/>
      <c r="S157" s="372"/>
      <c r="T157" s="372"/>
      <c r="U157" s="372"/>
      <c r="V157" s="393"/>
    </row>
    <row r="158" spans="1:22" x14ac:dyDescent="0.3">
      <c r="A158" s="400">
        <v>2</v>
      </c>
      <c r="B158" s="391" t="s">
        <v>605</v>
      </c>
      <c r="C158" s="401" t="s">
        <v>606</v>
      </c>
      <c r="D158" s="402" t="s">
        <v>815</v>
      </c>
      <c r="E158" s="391" t="s">
        <v>609</v>
      </c>
      <c r="F158" s="391" t="s">
        <v>457</v>
      </c>
      <c r="G158" s="394">
        <v>45755</v>
      </c>
      <c r="H158" s="394">
        <f>G158+15</f>
        <v>45770</v>
      </c>
      <c r="I158" s="394">
        <v>45772</v>
      </c>
      <c r="J158" s="395">
        <f>I158-G158</f>
        <v>17</v>
      </c>
      <c r="K158" s="395">
        <f ca="1">I1-H158</f>
        <v>143</v>
      </c>
      <c r="L158" s="310" t="s">
        <v>458</v>
      </c>
      <c r="M158" s="313">
        <v>45772</v>
      </c>
      <c r="N158" s="313">
        <v>45790</v>
      </c>
      <c r="O158" s="314" t="s">
        <v>459</v>
      </c>
      <c r="P158" s="310">
        <f t="shared" si="10"/>
        <v>18</v>
      </c>
      <c r="Q158" s="310">
        <f>M159-N158</f>
        <v>3</v>
      </c>
      <c r="R158" s="391"/>
      <c r="S158" s="391" t="s">
        <v>482</v>
      </c>
      <c r="T158" s="391" t="str">
        <f>O158</f>
        <v>CAT - III</v>
      </c>
      <c r="U158" s="391" t="s">
        <v>464</v>
      </c>
      <c r="V158" s="392"/>
    </row>
    <row r="159" spans="1:22" x14ac:dyDescent="0.3">
      <c r="A159" s="486"/>
      <c r="B159" s="487"/>
      <c r="C159" s="488"/>
      <c r="D159" s="489"/>
      <c r="E159" s="424"/>
      <c r="F159" s="424"/>
      <c r="G159" s="425"/>
      <c r="H159" s="425"/>
      <c r="I159" s="425"/>
      <c r="J159" s="440"/>
      <c r="K159" s="440"/>
      <c r="L159" s="310" t="s">
        <v>460</v>
      </c>
      <c r="M159" s="313">
        <v>45793</v>
      </c>
      <c r="N159" s="313">
        <v>45827</v>
      </c>
      <c r="O159" s="314"/>
      <c r="P159" s="310">
        <f t="shared" si="10"/>
        <v>34</v>
      </c>
      <c r="Q159" s="310">
        <f ca="1">I1-N159</f>
        <v>86</v>
      </c>
      <c r="R159" s="424"/>
      <c r="S159" s="424"/>
      <c r="T159" s="424"/>
      <c r="U159" s="424"/>
      <c r="V159" s="431"/>
    </row>
    <row r="160" spans="1:22" x14ac:dyDescent="0.3">
      <c r="A160" s="369">
        <v>3</v>
      </c>
      <c r="B160" s="371" t="s">
        <v>605</v>
      </c>
      <c r="C160" s="373" t="s">
        <v>606</v>
      </c>
      <c r="D160" s="375" t="s">
        <v>610</v>
      </c>
      <c r="E160" s="371" t="s">
        <v>611</v>
      </c>
      <c r="F160" s="371" t="s">
        <v>457</v>
      </c>
      <c r="G160" s="377">
        <v>45762</v>
      </c>
      <c r="H160" s="377">
        <f>G160+15</f>
        <v>45777</v>
      </c>
      <c r="I160" s="377">
        <v>45790</v>
      </c>
      <c r="J160" s="403">
        <f>I160-G160</f>
        <v>28</v>
      </c>
      <c r="K160" s="403">
        <f>R160-H160</f>
        <v>63</v>
      </c>
      <c r="L160" s="270" t="s">
        <v>458</v>
      </c>
      <c r="M160" s="273">
        <v>45790</v>
      </c>
      <c r="N160" s="273">
        <v>45821</v>
      </c>
      <c r="O160" s="274" t="s">
        <v>459</v>
      </c>
      <c r="P160" s="270">
        <f t="shared" si="10"/>
        <v>31</v>
      </c>
      <c r="Q160" s="270">
        <f>M161-N160</f>
        <v>11</v>
      </c>
      <c r="R160" s="377">
        <f>N161</f>
        <v>45840</v>
      </c>
      <c r="S160" s="371" t="s">
        <v>397</v>
      </c>
      <c r="T160" s="371" t="str">
        <f>O161</f>
        <v>CAT - I</v>
      </c>
      <c r="U160" s="371" t="s">
        <v>397</v>
      </c>
      <c r="V160" s="299"/>
    </row>
    <row r="161" spans="1:22" x14ac:dyDescent="0.3">
      <c r="A161" s="370"/>
      <c r="B161" s="372"/>
      <c r="C161" s="374"/>
      <c r="D161" s="376"/>
      <c r="E161" s="372"/>
      <c r="F161" s="372"/>
      <c r="G161" s="378"/>
      <c r="H161" s="378"/>
      <c r="I161" s="378"/>
      <c r="J161" s="396"/>
      <c r="K161" s="396"/>
      <c r="L161" s="270" t="s">
        <v>460</v>
      </c>
      <c r="M161" s="273">
        <v>45832</v>
      </c>
      <c r="N161" s="273">
        <v>45840</v>
      </c>
      <c r="O161" s="274" t="s">
        <v>472</v>
      </c>
      <c r="P161" s="270">
        <f t="shared" si="10"/>
        <v>8</v>
      </c>
      <c r="Q161" s="270"/>
      <c r="R161" s="372"/>
      <c r="S161" s="372"/>
      <c r="T161" s="372"/>
      <c r="U161" s="372"/>
      <c r="V161" s="299"/>
    </row>
    <row r="162" spans="1:22" x14ac:dyDescent="0.3">
      <c r="A162" s="385">
        <v>4</v>
      </c>
      <c r="B162" s="365" t="s">
        <v>605</v>
      </c>
      <c r="C162" s="387" t="s">
        <v>606</v>
      </c>
      <c r="D162" s="389" t="s">
        <v>612</v>
      </c>
      <c r="E162" s="365" t="s">
        <v>613</v>
      </c>
      <c r="F162" s="365" t="s">
        <v>457</v>
      </c>
      <c r="G162" s="379">
        <v>45780</v>
      </c>
      <c r="H162" s="379">
        <f>G162+15</f>
        <v>45795</v>
      </c>
      <c r="I162" s="379">
        <v>45758</v>
      </c>
      <c r="J162" s="381">
        <f>I162-G162</f>
        <v>-22</v>
      </c>
      <c r="K162" s="381">
        <f ca="1">I1-H162</f>
        <v>118</v>
      </c>
      <c r="L162" s="262" t="s">
        <v>458</v>
      </c>
      <c r="M162" s="265">
        <v>45758</v>
      </c>
      <c r="N162" s="265">
        <v>45766</v>
      </c>
      <c r="O162" s="266" t="s">
        <v>459</v>
      </c>
      <c r="P162" s="262">
        <f t="shared" si="10"/>
        <v>8</v>
      </c>
      <c r="Q162" s="262">
        <f>M163-N162</f>
        <v>27</v>
      </c>
      <c r="R162" s="365"/>
      <c r="S162" s="365" t="s">
        <v>482</v>
      </c>
      <c r="T162" s="365" t="str">
        <f>O164</f>
        <v>CAT - II</v>
      </c>
      <c r="U162" s="365" t="s">
        <v>461</v>
      </c>
      <c r="V162" s="367"/>
    </row>
    <row r="163" spans="1:22" x14ac:dyDescent="0.3">
      <c r="A163" s="486"/>
      <c r="B163" s="487"/>
      <c r="C163" s="494"/>
      <c r="D163" s="489"/>
      <c r="E163" s="424"/>
      <c r="F163" s="424"/>
      <c r="G163" s="425"/>
      <c r="H163" s="425"/>
      <c r="I163" s="425"/>
      <c r="J163" s="440"/>
      <c r="K163" s="440"/>
      <c r="L163" s="262" t="s">
        <v>460</v>
      </c>
      <c r="M163" s="265">
        <v>45793</v>
      </c>
      <c r="N163" s="265">
        <v>45808</v>
      </c>
      <c r="O163" s="266" t="s">
        <v>459</v>
      </c>
      <c r="P163" s="262">
        <f t="shared" si="10"/>
        <v>15</v>
      </c>
      <c r="Q163" s="262">
        <f>M164-N163</f>
        <v>15</v>
      </c>
      <c r="R163" s="365"/>
      <c r="S163" s="365"/>
      <c r="T163" s="365"/>
      <c r="U163" s="365"/>
      <c r="V163" s="367"/>
    </row>
    <row r="164" spans="1:22" x14ac:dyDescent="0.3">
      <c r="A164" s="486"/>
      <c r="B164" s="487"/>
      <c r="C164" s="494"/>
      <c r="D164" s="489"/>
      <c r="E164" s="424"/>
      <c r="F164" s="424"/>
      <c r="G164" s="425"/>
      <c r="H164" s="425"/>
      <c r="I164" s="425"/>
      <c r="J164" s="440"/>
      <c r="K164" s="440"/>
      <c r="L164" s="262" t="s">
        <v>462</v>
      </c>
      <c r="M164" s="265">
        <v>45823</v>
      </c>
      <c r="N164" s="265">
        <v>45827</v>
      </c>
      <c r="O164" s="266" t="s">
        <v>481</v>
      </c>
      <c r="P164" s="262">
        <f t="shared" si="10"/>
        <v>4</v>
      </c>
      <c r="Q164" s="262">
        <f>M165-N164</f>
        <v>24</v>
      </c>
      <c r="R164" s="365"/>
      <c r="S164" s="365"/>
      <c r="T164" s="365"/>
      <c r="U164" s="365"/>
      <c r="V164" s="367"/>
    </row>
    <row r="165" spans="1:22" x14ac:dyDescent="0.3">
      <c r="A165" s="486"/>
      <c r="B165" s="487"/>
      <c r="C165" s="494"/>
      <c r="D165" s="489"/>
      <c r="E165" s="424"/>
      <c r="F165" s="424"/>
      <c r="G165" s="425"/>
      <c r="H165" s="425"/>
      <c r="I165" s="425"/>
      <c r="J165" s="440"/>
      <c r="K165" s="440"/>
      <c r="L165" s="262" t="s">
        <v>463</v>
      </c>
      <c r="M165" s="265">
        <v>45851</v>
      </c>
      <c r="N165" s="265"/>
      <c r="O165" s="266"/>
      <c r="P165" s="262">
        <f ca="1">I1-M165</f>
        <v>62</v>
      </c>
      <c r="Q165" s="262"/>
      <c r="R165" s="365"/>
      <c r="S165" s="365"/>
      <c r="T165" s="365"/>
      <c r="U165" s="365"/>
      <c r="V165" s="367"/>
    </row>
    <row r="166" spans="1:22" x14ac:dyDescent="0.3">
      <c r="A166" s="400">
        <v>5</v>
      </c>
      <c r="B166" s="391" t="s">
        <v>605</v>
      </c>
      <c r="C166" s="402" t="s">
        <v>606</v>
      </c>
      <c r="D166" s="402" t="s">
        <v>614</v>
      </c>
      <c r="E166" s="391" t="s">
        <v>615</v>
      </c>
      <c r="F166" s="391" t="s">
        <v>457</v>
      </c>
      <c r="G166" s="394">
        <v>45835</v>
      </c>
      <c r="H166" s="394">
        <f>G166+15</f>
        <v>45850</v>
      </c>
      <c r="I166" s="394">
        <f>M166</f>
        <v>45845</v>
      </c>
      <c r="J166" s="395">
        <f>I166-G166</f>
        <v>10</v>
      </c>
      <c r="K166" s="395">
        <f ca="1">I1-H166</f>
        <v>63</v>
      </c>
      <c r="L166" s="310" t="s">
        <v>458</v>
      </c>
      <c r="M166" s="313">
        <v>45845</v>
      </c>
      <c r="N166" s="313"/>
      <c r="O166" s="314"/>
      <c r="P166" s="310">
        <f>M167-M166</f>
        <v>25</v>
      </c>
      <c r="Q166" s="310"/>
      <c r="R166" s="391"/>
      <c r="S166" s="391" t="s">
        <v>489</v>
      </c>
      <c r="T166" s="391" t="str">
        <f>O169</f>
        <v>CAT - II</v>
      </c>
      <c r="U166" s="391" t="s">
        <v>464</v>
      </c>
      <c r="V166" s="444"/>
    </row>
    <row r="167" spans="1:22" x14ac:dyDescent="0.3">
      <c r="A167" s="490"/>
      <c r="B167" s="491"/>
      <c r="C167" s="492"/>
      <c r="D167" s="492"/>
      <c r="E167" s="491"/>
      <c r="F167" s="491"/>
      <c r="G167" s="493"/>
      <c r="H167" s="493"/>
      <c r="I167" s="493"/>
      <c r="J167" s="497"/>
      <c r="K167" s="497"/>
      <c r="L167" s="310" t="s">
        <v>460</v>
      </c>
      <c r="M167" s="313">
        <v>45870</v>
      </c>
      <c r="N167" s="313"/>
      <c r="O167" s="314"/>
      <c r="P167" s="310">
        <f>M168-M167</f>
        <v>8</v>
      </c>
      <c r="Q167" s="310"/>
      <c r="R167" s="491"/>
      <c r="S167" s="491"/>
      <c r="T167" s="491"/>
      <c r="U167" s="491"/>
      <c r="V167" s="498"/>
    </row>
    <row r="168" spans="1:22" x14ac:dyDescent="0.3">
      <c r="A168" s="490"/>
      <c r="B168" s="491"/>
      <c r="C168" s="492"/>
      <c r="D168" s="492"/>
      <c r="E168" s="491"/>
      <c r="F168" s="491"/>
      <c r="G168" s="493"/>
      <c r="H168" s="493"/>
      <c r="I168" s="493"/>
      <c r="J168" s="497"/>
      <c r="K168" s="497"/>
      <c r="L168" s="310" t="s">
        <v>462</v>
      </c>
      <c r="M168" s="313">
        <v>45878</v>
      </c>
      <c r="N168" s="313"/>
      <c r="O168" s="314"/>
      <c r="P168" s="310">
        <f ca="1">I1-M168</f>
        <v>35</v>
      </c>
      <c r="Q168" s="310"/>
      <c r="R168" s="491"/>
      <c r="S168" s="491"/>
      <c r="T168" s="491"/>
      <c r="U168" s="491"/>
      <c r="V168" s="498"/>
    </row>
    <row r="169" spans="1:22" x14ac:dyDescent="0.3">
      <c r="A169" s="490"/>
      <c r="B169" s="491"/>
      <c r="C169" s="492"/>
      <c r="D169" s="492"/>
      <c r="E169" s="491"/>
      <c r="F169" s="491"/>
      <c r="G169" s="493"/>
      <c r="H169" s="493"/>
      <c r="I169" s="493"/>
      <c r="J169" s="497"/>
      <c r="K169" s="497"/>
      <c r="L169" s="310" t="s">
        <v>463</v>
      </c>
      <c r="M169" s="313">
        <v>45882</v>
      </c>
      <c r="N169" s="313">
        <v>45884</v>
      </c>
      <c r="O169" s="314" t="s">
        <v>481</v>
      </c>
      <c r="P169" s="310">
        <f>N169-M169</f>
        <v>2</v>
      </c>
      <c r="Q169" s="310"/>
      <c r="R169" s="308"/>
      <c r="S169" s="491"/>
      <c r="T169" s="491"/>
      <c r="U169" s="491"/>
      <c r="V169" s="445"/>
    </row>
    <row r="170" spans="1:22" x14ac:dyDescent="0.3">
      <c r="A170" s="400">
        <v>6</v>
      </c>
      <c r="B170" s="391" t="s">
        <v>605</v>
      </c>
      <c r="C170" s="499" t="s">
        <v>606</v>
      </c>
      <c r="D170" s="402" t="s">
        <v>616</v>
      </c>
      <c r="E170" s="391" t="s">
        <v>617</v>
      </c>
      <c r="F170" s="391" t="s">
        <v>457</v>
      </c>
      <c r="G170" s="394">
        <v>45835</v>
      </c>
      <c r="H170" s="394">
        <f>G170+15</f>
        <v>45850</v>
      </c>
      <c r="I170" s="394">
        <f>M170</f>
        <v>45848</v>
      </c>
      <c r="J170" s="395">
        <f>I170-G170</f>
        <v>13</v>
      </c>
      <c r="K170" s="395">
        <f ca="1">I1-H170</f>
        <v>63</v>
      </c>
      <c r="L170" s="310" t="s">
        <v>458</v>
      </c>
      <c r="M170" s="313">
        <v>45848</v>
      </c>
      <c r="N170" s="313">
        <v>45864</v>
      </c>
      <c r="O170" s="314" t="s">
        <v>459</v>
      </c>
      <c r="P170" s="310">
        <f>N170-M170</f>
        <v>16</v>
      </c>
      <c r="Q170" s="310">
        <f>M171-N170</f>
        <v>14</v>
      </c>
      <c r="R170" s="310"/>
      <c r="S170" s="391" t="s">
        <v>489</v>
      </c>
      <c r="T170" s="391" t="str">
        <f>O171</f>
        <v>CAT - II</v>
      </c>
      <c r="U170" s="391" t="s">
        <v>464</v>
      </c>
      <c r="V170" s="392"/>
    </row>
    <row r="171" spans="1:22" x14ac:dyDescent="0.3">
      <c r="A171" s="490"/>
      <c r="B171" s="491"/>
      <c r="C171" s="491"/>
      <c r="D171" s="492"/>
      <c r="E171" s="491"/>
      <c r="F171" s="491"/>
      <c r="G171" s="493"/>
      <c r="H171" s="493"/>
      <c r="I171" s="493"/>
      <c r="J171" s="497"/>
      <c r="K171" s="497"/>
      <c r="L171" s="310" t="s">
        <v>460</v>
      </c>
      <c r="M171" s="313">
        <v>45878</v>
      </c>
      <c r="N171" s="313">
        <v>45883</v>
      </c>
      <c r="O171" s="314" t="s">
        <v>481</v>
      </c>
      <c r="P171" s="310">
        <f>N171-M171</f>
        <v>5</v>
      </c>
      <c r="Q171" s="310"/>
      <c r="R171" s="308"/>
      <c r="S171" s="491"/>
      <c r="T171" s="491"/>
      <c r="U171" s="491"/>
      <c r="V171" s="495"/>
    </row>
    <row r="172" spans="1:22" ht="20" x14ac:dyDescent="0.3">
      <c r="A172" s="294">
        <v>7</v>
      </c>
      <c r="B172" s="262" t="s">
        <v>605</v>
      </c>
      <c r="C172" s="263" t="s">
        <v>606</v>
      </c>
      <c r="D172" s="264" t="s">
        <v>618</v>
      </c>
      <c r="E172" s="262" t="s">
        <v>619</v>
      </c>
      <c r="F172" s="262" t="s">
        <v>457</v>
      </c>
      <c r="G172" s="265">
        <v>45835</v>
      </c>
      <c r="H172" s="265">
        <f>G172+15</f>
        <v>45850</v>
      </c>
      <c r="I172" s="265">
        <f>M172</f>
        <v>45895</v>
      </c>
      <c r="J172" s="336">
        <f t="shared" ref="J172" ca="1" si="11">$I$1-G172</f>
        <v>78</v>
      </c>
      <c r="K172" s="336">
        <f ca="1">$I$1-H172</f>
        <v>63</v>
      </c>
      <c r="L172" s="301" t="s">
        <v>458</v>
      </c>
      <c r="M172" s="265">
        <v>45895</v>
      </c>
      <c r="N172" s="265"/>
      <c r="O172" s="266"/>
      <c r="P172" s="262">
        <f ca="1">I1-M172</f>
        <v>18</v>
      </c>
      <c r="Q172" s="262"/>
      <c r="R172" s="262"/>
      <c r="S172" s="262" t="s">
        <v>482</v>
      </c>
      <c r="T172" s="262" t="s">
        <v>458</v>
      </c>
      <c r="U172" s="262" t="s">
        <v>461</v>
      </c>
      <c r="V172" s="295"/>
    </row>
    <row r="173" spans="1:22" ht="20" x14ac:dyDescent="0.3">
      <c r="A173" s="309">
        <v>8</v>
      </c>
      <c r="B173" s="310" t="s">
        <v>605</v>
      </c>
      <c r="C173" s="311" t="s">
        <v>606</v>
      </c>
      <c r="D173" s="312" t="s">
        <v>620</v>
      </c>
      <c r="E173" s="310" t="s">
        <v>621</v>
      </c>
      <c r="F173" s="310" t="s">
        <v>457</v>
      </c>
      <c r="G173" s="313">
        <v>45835</v>
      </c>
      <c r="H173" s="313">
        <f>G173+15</f>
        <v>45850</v>
      </c>
      <c r="I173" s="313">
        <f>M173</f>
        <v>45845</v>
      </c>
      <c r="J173" s="339"/>
      <c r="K173" s="339">
        <f ca="1">I1-H173</f>
        <v>63</v>
      </c>
      <c r="L173" s="310" t="s">
        <v>458</v>
      </c>
      <c r="M173" s="313">
        <v>45845</v>
      </c>
      <c r="N173" s="313">
        <v>45877</v>
      </c>
      <c r="O173" s="314" t="s">
        <v>459</v>
      </c>
      <c r="P173" s="310">
        <f>N173-M173</f>
        <v>32</v>
      </c>
      <c r="Q173" s="310">
        <f ca="1">I1-N173</f>
        <v>36</v>
      </c>
      <c r="R173" s="310"/>
      <c r="S173" s="310" t="s">
        <v>489</v>
      </c>
      <c r="T173" s="310" t="str">
        <f>O173</f>
        <v>CAT - III</v>
      </c>
      <c r="U173" s="310" t="s">
        <v>464</v>
      </c>
      <c r="V173" s="315"/>
    </row>
    <row r="174" spans="1:22" x14ac:dyDescent="0.3">
      <c r="A174" s="385">
        <v>9</v>
      </c>
      <c r="B174" s="365" t="s">
        <v>605</v>
      </c>
      <c r="C174" s="496" t="s">
        <v>606</v>
      </c>
      <c r="D174" s="389" t="s">
        <v>622</v>
      </c>
      <c r="E174" s="365" t="s">
        <v>623</v>
      </c>
      <c r="F174" s="365" t="s">
        <v>457</v>
      </c>
      <c r="G174" s="379">
        <v>45768</v>
      </c>
      <c r="H174" s="379">
        <f>G174+21</f>
        <v>45789</v>
      </c>
      <c r="I174" s="379">
        <f>M174</f>
        <v>45804</v>
      </c>
      <c r="J174" s="381">
        <f>I174-G174</f>
        <v>36</v>
      </c>
      <c r="K174" s="381">
        <f ca="1">I1-H174</f>
        <v>124</v>
      </c>
      <c r="L174" s="262" t="s">
        <v>458</v>
      </c>
      <c r="M174" s="265">
        <v>45804</v>
      </c>
      <c r="N174" s="265">
        <v>45812</v>
      </c>
      <c r="O174" s="266" t="s">
        <v>459</v>
      </c>
      <c r="P174" s="262">
        <f>N174-M174</f>
        <v>8</v>
      </c>
      <c r="Q174" s="262">
        <f>M175-N174</f>
        <v>9</v>
      </c>
      <c r="R174" s="262"/>
      <c r="S174" s="365" t="s">
        <v>482</v>
      </c>
      <c r="T174" s="365" t="str">
        <f>O176</f>
        <v>CAT - II</v>
      </c>
      <c r="U174" s="365" t="s">
        <v>461</v>
      </c>
      <c r="V174" s="367"/>
    </row>
    <row r="175" spans="1:22" x14ac:dyDescent="0.3">
      <c r="A175" s="385"/>
      <c r="B175" s="365"/>
      <c r="C175" s="496"/>
      <c r="D175" s="389"/>
      <c r="E175" s="365"/>
      <c r="F175" s="365"/>
      <c r="G175" s="379"/>
      <c r="H175" s="379"/>
      <c r="I175" s="379"/>
      <c r="J175" s="381"/>
      <c r="K175" s="381"/>
      <c r="L175" s="262" t="s">
        <v>460</v>
      </c>
      <c r="M175" s="265">
        <v>45821</v>
      </c>
      <c r="N175" s="265">
        <v>45825</v>
      </c>
      <c r="O175" s="266" t="s">
        <v>459</v>
      </c>
      <c r="P175" s="262">
        <f>N175-M175</f>
        <v>4</v>
      </c>
      <c r="Q175" s="262">
        <f>M176-N175</f>
        <v>1</v>
      </c>
      <c r="R175" s="262"/>
      <c r="S175" s="365"/>
      <c r="T175" s="365"/>
      <c r="U175" s="365"/>
      <c r="V175" s="367"/>
    </row>
    <row r="176" spans="1:22" x14ac:dyDescent="0.3">
      <c r="A176" s="385"/>
      <c r="B176" s="365"/>
      <c r="C176" s="496"/>
      <c r="D176" s="389"/>
      <c r="E176" s="365"/>
      <c r="F176" s="365"/>
      <c r="G176" s="379"/>
      <c r="H176" s="379"/>
      <c r="I176" s="379"/>
      <c r="J176" s="381"/>
      <c r="K176" s="381"/>
      <c r="L176" s="262" t="s">
        <v>462</v>
      </c>
      <c r="M176" s="265">
        <v>45826</v>
      </c>
      <c r="N176" s="265">
        <v>45828</v>
      </c>
      <c r="O176" s="266" t="s">
        <v>481</v>
      </c>
      <c r="P176" s="262">
        <f>N176-M176</f>
        <v>2</v>
      </c>
      <c r="Q176" s="262"/>
      <c r="R176" s="262"/>
      <c r="S176" s="365"/>
      <c r="T176" s="365"/>
      <c r="U176" s="365"/>
      <c r="V176" s="367"/>
    </row>
    <row r="177" spans="1:22" x14ac:dyDescent="0.3">
      <c r="A177" s="385"/>
      <c r="B177" s="365"/>
      <c r="C177" s="496"/>
      <c r="D177" s="389"/>
      <c r="E177" s="365"/>
      <c r="F177" s="365"/>
      <c r="G177" s="379"/>
      <c r="H177" s="379"/>
      <c r="I177" s="379"/>
      <c r="J177" s="381"/>
      <c r="K177" s="381"/>
      <c r="L177" s="262" t="s">
        <v>463</v>
      </c>
      <c r="M177" s="265">
        <v>45889</v>
      </c>
      <c r="N177" s="265"/>
      <c r="O177" s="266"/>
      <c r="P177" s="262"/>
      <c r="Q177" s="262"/>
      <c r="R177" s="262"/>
      <c r="S177" s="365"/>
      <c r="T177" s="365"/>
      <c r="U177" s="365"/>
      <c r="V177" s="367"/>
    </row>
    <row r="178" spans="1:22" x14ac:dyDescent="0.3">
      <c r="A178" s="385">
        <v>10</v>
      </c>
      <c r="B178" s="365" t="s">
        <v>605</v>
      </c>
      <c r="C178" s="496" t="s">
        <v>606</v>
      </c>
      <c r="D178" s="389" t="s">
        <v>624</v>
      </c>
      <c r="E178" s="365" t="s">
        <v>625</v>
      </c>
      <c r="F178" s="365" t="s">
        <v>457</v>
      </c>
      <c r="G178" s="379">
        <v>45800</v>
      </c>
      <c r="H178" s="379">
        <f t="shared" ref="H178:H197" si="12">G178+15</f>
        <v>45815</v>
      </c>
      <c r="I178" s="379">
        <v>45840</v>
      </c>
      <c r="J178" s="381">
        <f>I178-G178</f>
        <v>40</v>
      </c>
      <c r="K178" s="381">
        <f ca="1">I1-H178</f>
        <v>98</v>
      </c>
      <c r="L178" s="262" t="s">
        <v>458</v>
      </c>
      <c r="M178" s="265">
        <v>45840</v>
      </c>
      <c r="N178" s="265">
        <v>45863</v>
      </c>
      <c r="O178" s="266" t="s">
        <v>459</v>
      </c>
      <c r="P178" s="262">
        <f>N178-M178</f>
        <v>23</v>
      </c>
      <c r="Q178" s="262">
        <f>M179-N178</f>
        <v>26</v>
      </c>
      <c r="R178" s="262"/>
      <c r="S178" s="365" t="s">
        <v>482</v>
      </c>
      <c r="T178" s="365" t="str">
        <f>O178</f>
        <v>CAT - III</v>
      </c>
      <c r="U178" s="365" t="s">
        <v>461</v>
      </c>
      <c r="V178" s="367"/>
    </row>
    <row r="179" spans="1:22" x14ac:dyDescent="0.3">
      <c r="A179" s="385"/>
      <c r="B179" s="365"/>
      <c r="C179" s="496"/>
      <c r="D179" s="389"/>
      <c r="E179" s="365"/>
      <c r="F179" s="365"/>
      <c r="G179" s="379"/>
      <c r="H179" s="379"/>
      <c r="I179" s="379"/>
      <c r="J179" s="381"/>
      <c r="K179" s="381"/>
      <c r="L179" s="262" t="s">
        <v>460</v>
      </c>
      <c r="M179" s="265">
        <v>45889</v>
      </c>
      <c r="N179" s="265"/>
      <c r="O179" s="266"/>
      <c r="P179" s="262"/>
      <c r="Q179" s="262"/>
      <c r="R179" s="262"/>
      <c r="S179" s="365"/>
      <c r="T179" s="365"/>
      <c r="U179" s="365"/>
      <c r="V179" s="367"/>
    </row>
    <row r="180" spans="1:22" ht="20" x14ac:dyDescent="0.3">
      <c r="A180" s="296">
        <v>11</v>
      </c>
      <c r="B180" s="257" t="s">
        <v>605</v>
      </c>
      <c r="C180" s="267" t="s">
        <v>606</v>
      </c>
      <c r="D180" s="268" t="s">
        <v>626</v>
      </c>
      <c r="E180" s="259" t="s">
        <v>627</v>
      </c>
      <c r="F180" s="259" t="s">
        <v>457</v>
      </c>
      <c r="G180" s="275">
        <v>45826</v>
      </c>
      <c r="H180" s="275">
        <f t="shared" si="12"/>
        <v>45841</v>
      </c>
      <c r="I180" s="269"/>
      <c r="J180" s="337">
        <f t="shared" ref="J180:J182" ca="1" si="13">$I$1-G180</f>
        <v>87</v>
      </c>
      <c r="K180" s="340">
        <f ca="1">$I$1-H180</f>
        <v>72</v>
      </c>
      <c r="L180" s="291"/>
      <c r="M180" s="275"/>
      <c r="N180" s="275"/>
      <c r="O180" s="276"/>
      <c r="P180" s="259"/>
      <c r="Q180" s="259"/>
      <c r="R180" s="259"/>
      <c r="S180" s="259"/>
      <c r="T180" s="259"/>
      <c r="U180" s="259"/>
      <c r="V180" s="300"/>
    </row>
    <row r="181" spans="1:22" ht="20" x14ac:dyDescent="0.3">
      <c r="A181" s="296">
        <v>12</v>
      </c>
      <c r="B181" s="257" t="s">
        <v>605</v>
      </c>
      <c r="C181" s="267" t="s">
        <v>606</v>
      </c>
      <c r="D181" s="268" t="s">
        <v>628</v>
      </c>
      <c r="E181" s="259" t="s">
        <v>629</v>
      </c>
      <c r="F181" s="259" t="s">
        <v>457</v>
      </c>
      <c r="G181" s="275">
        <v>45826</v>
      </c>
      <c r="H181" s="275">
        <f t="shared" si="12"/>
        <v>45841</v>
      </c>
      <c r="I181" s="269"/>
      <c r="J181" s="337">
        <f t="shared" ca="1" si="13"/>
        <v>87</v>
      </c>
      <c r="K181" s="340">
        <f ca="1">$I$1-H181</f>
        <v>72</v>
      </c>
      <c r="L181" s="291"/>
      <c r="M181" s="275"/>
      <c r="N181" s="275"/>
      <c r="O181" s="276"/>
      <c r="P181" s="259"/>
      <c r="Q181" s="259"/>
      <c r="R181" s="259"/>
      <c r="S181" s="259"/>
      <c r="T181" s="259"/>
      <c r="U181" s="259"/>
      <c r="V181" s="300"/>
    </row>
    <row r="182" spans="1:22" ht="20" x14ac:dyDescent="0.3">
      <c r="A182" s="296">
        <v>13</v>
      </c>
      <c r="B182" s="257" t="s">
        <v>605</v>
      </c>
      <c r="C182" s="267" t="s">
        <v>606</v>
      </c>
      <c r="D182" s="268" t="s">
        <v>630</v>
      </c>
      <c r="E182" s="259" t="s">
        <v>631</v>
      </c>
      <c r="F182" s="259" t="s">
        <v>457</v>
      </c>
      <c r="G182" s="275">
        <v>45826</v>
      </c>
      <c r="H182" s="275">
        <f t="shared" si="12"/>
        <v>45841</v>
      </c>
      <c r="I182" s="269"/>
      <c r="J182" s="337">
        <f t="shared" ca="1" si="13"/>
        <v>87</v>
      </c>
      <c r="K182" s="340">
        <f ca="1">$I$1-H182</f>
        <v>72</v>
      </c>
      <c r="L182" s="291"/>
      <c r="M182" s="280"/>
      <c r="N182" s="275"/>
      <c r="O182" s="276"/>
      <c r="P182" s="259"/>
      <c r="Q182" s="259"/>
      <c r="R182" s="259"/>
      <c r="S182" s="259"/>
      <c r="T182" s="259"/>
      <c r="U182" s="259"/>
      <c r="V182" s="300"/>
    </row>
    <row r="183" spans="1:22" ht="20" x14ac:dyDescent="0.3">
      <c r="A183" s="309">
        <v>14</v>
      </c>
      <c r="B183" s="310" t="s">
        <v>605</v>
      </c>
      <c r="C183" s="311" t="s">
        <v>606</v>
      </c>
      <c r="D183" s="312" t="s">
        <v>632</v>
      </c>
      <c r="E183" s="310" t="s">
        <v>633</v>
      </c>
      <c r="F183" s="310" t="s">
        <v>457</v>
      </c>
      <c r="G183" s="313">
        <v>45794</v>
      </c>
      <c r="H183" s="313">
        <f t="shared" si="12"/>
        <v>45809</v>
      </c>
      <c r="I183" s="313">
        <v>45840</v>
      </c>
      <c r="J183" s="339">
        <f>I183-G183</f>
        <v>46</v>
      </c>
      <c r="K183" s="339">
        <f ca="1">I1-H183</f>
        <v>104</v>
      </c>
      <c r="L183" s="310" t="s">
        <v>458</v>
      </c>
      <c r="M183" s="313">
        <v>45840</v>
      </c>
      <c r="N183" s="313">
        <v>45863</v>
      </c>
      <c r="O183" s="314" t="s">
        <v>459</v>
      </c>
      <c r="P183" s="310">
        <f>N183-M183</f>
        <v>23</v>
      </c>
      <c r="Q183" s="310"/>
      <c r="R183" s="310"/>
      <c r="S183" s="310" t="s">
        <v>489</v>
      </c>
      <c r="T183" s="310" t="str">
        <f>O183</f>
        <v>CAT - III</v>
      </c>
      <c r="U183" s="310" t="s">
        <v>464</v>
      </c>
      <c r="V183" s="315"/>
    </row>
    <row r="184" spans="1:22" ht="20" x14ac:dyDescent="0.3">
      <c r="A184" s="296">
        <v>15</v>
      </c>
      <c r="B184" s="257" t="s">
        <v>605</v>
      </c>
      <c r="C184" s="267" t="s">
        <v>606</v>
      </c>
      <c r="D184" s="268" t="s">
        <v>634</v>
      </c>
      <c r="E184" s="259" t="s">
        <v>635</v>
      </c>
      <c r="F184" s="259" t="s">
        <v>457</v>
      </c>
      <c r="G184" s="275">
        <v>45821</v>
      </c>
      <c r="H184" s="275">
        <f t="shared" si="12"/>
        <v>45836</v>
      </c>
      <c r="I184" s="269"/>
      <c r="J184" s="337">
        <f t="shared" ref="J184:J187" ca="1" si="14">$I$1-G184</f>
        <v>92</v>
      </c>
      <c r="K184" s="340">
        <f ca="1">$I$1-H184</f>
        <v>77</v>
      </c>
      <c r="L184" s="291"/>
      <c r="M184" s="275"/>
      <c r="N184" s="275"/>
      <c r="O184" s="276"/>
      <c r="P184" s="259"/>
      <c r="Q184" s="259"/>
      <c r="R184" s="259"/>
      <c r="S184" s="259"/>
      <c r="T184" s="259"/>
      <c r="U184" s="259"/>
      <c r="V184" s="300"/>
    </row>
    <row r="185" spans="1:22" ht="20" x14ac:dyDescent="0.3">
      <c r="A185" s="296">
        <v>16</v>
      </c>
      <c r="B185" s="257" t="s">
        <v>605</v>
      </c>
      <c r="C185" s="267" t="s">
        <v>606</v>
      </c>
      <c r="D185" s="268" t="s">
        <v>636</v>
      </c>
      <c r="E185" s="259" t="s">
        <v>637</v>
      </c>
      <c r="F185" s="259" t="s">
        <v>457</v>
      </c>
      <c r="G185" s="275">
        <v>45835</v>
      </c>
      <c r="H185" s="275">
        <f t="shared" si="12"/>
        <v>45850</v>
      </c>
      <c r="I185" s="269"/>
      <c r="J185" s="337">
        <f t="shared" ca="1" si="14"/>
        <v>78</v>
      </c>
      <c r="K185" s="340">
        <f ca="1">$I$1-H185</f>
        <v>63</v>
      </c>
      <c r="L185" s="291"/>
      <c r="M185" s="275"/>
      <c r="N185" s="275"/>
      <c r="O185" s="276"/>
      <c r="P185" s="259"/>
      <c r="Q185" s="259"/>
      <c r="R185" s="259"/>
      <c r="S185" s="259"/>
      <c r="T185" s="259"/>
      <c r="U185" s="259"/>
      <c r="V185" s="300"/>
    </row>
    <row r="186" spans="1:22" ht="20" x14ac:dyDescent="0.3">
      <c r="A186" s="296">
        <v>17</v>
      </c>
      <c r="B186" s="257" t="s">
        <v>605</v>
      </c>
      <c r="C186" s="267" t="s">
        <v>606</v>
      </c>
      <c r="D186" s="268" t="s">
        <v>638</v>
      </c>
      <c r="E186" s="259" t="s">
        <v>639</v>
      </c>
      <c r="F186" s="259" t="s">
        <v>467</v>
      </c>
      <c r="G186" s="275">
        <v>45842</v>
      </c>
      <c r="H186" s="275">
        <f t="shared" si="12"/>
        <v>45857</v>
      </c>
      <c r="I186" s="269"/>
      <c r="J186" s="337">
        <f t="shared" ca="1" si="14"/>
        <v>71</v>
      </c>
      <c r="K186" s="340">
        <f ca="1">$I$1-H186</f>
        <v>56</v>
      </c>
      <c r="L186" s="291"/>
      <c r="M186" s="275"/>
      <c r="N186" s="275"/>
      <c r="O186" s="276"/>
      <c r="P186" s="259"/>
      <c r="Q186" s="259"/>
      <c r="R186" s="259"/>
      <c r="S186" s="259"/>
      <c r="T186" s="259"/>
      <c r="U186" s="259"/>
      <c r="V186" s="300"/>
    </row>
    <row r="187" spans="1:22" ht="20" x14ac:dyDescent="0.3">
      <c r="A187" s="296">
        <v>18</v>
      </c>
      <c r="B187" s="257" t="s">
        <v>605</v>
      </c>
      <c r="C187" s="267" t="s">
        <v>606</v>
      </c>
      <c r="D187" s="268" t="s">
        <v>640</v>
      </c>
      <c r="E187" s="259" t="s">
        <v>641</v>
      </c>
      <c r="F187" s="259" t="s">
        <v>457</v>
      </c>
      <c r="G187" s="275">
        <v>45853</v>
      </c>
      <c r="H187" s="275">
        <f t="shared" si="12"/>
        <v>45868</v>
      </c>
      <c r="I187" s="269"/>
      <c r="J187" s="337">
        <f t="shared" ca="1" si="14"/>
        <v>60</v>
      </c>
      <c r="K187" s="340">
        <f ca="1">$I$1-H187</f>
        <v>45</v>
      </c>
      <c r="L187" s="291"/>
      <c r="M187" s="275"/>
      <c r="N187" s="275"/>
      <c r="O187" s="276"/>
      <c r="P187" s="259"/>
      <c r="Q187" s="259"/>
      <c r="R187" s="259"/>
      <c r="S187" s="259"/>
      <c r="T187" s="259"/>
      <c r="U187" s="259"/>
      <c r="V187" s="300"/>
    </row>
    <row r="188" spans="1:22" ht="20" x14ac:dyDescent="0.3">
      <c r="A188" s="294">
        <v>19</v>
      </c>
      <c r="B188" s="262" t="s">
        <v>605</v>
      </c>
      <c r="C188" s="263" t="s">
        <v>606</v>
      </c>
      <c r="D188" s="264" t="s">
        <v>642</v>
      </c>
      <c r="E188" s="262" t="s">
        <v>643</v>
      </c>
      <c r="F188" s="262" t="s">
        <v>457</v>
      </c>
      <c r="G188" s="265">
        <v>45838</v>
      </c>
      <c r="H188" s="265">
        <f t="shared" si="12"/>
        <v>45853</v>
      </c>
      <c r="I188" s="265">
        <f>M188</f>
        <v>45869</v>
      </c>
      <c r="J188" s="336">
        <f>I188-G188</f>
        <v>31</v>
      </c>
      <c r="K188" s="336">
        <f ca="1">I1-H188</f>
        <v>60</v>
      </c>
      <c r="L188" s="262" t="s">
        <v>458</v>
      </c>
      <c r="M188" s="265">
        <v>45869</v>
      </c>
      <c r="N188" s="265"/>
      <c r="O188" s="266"/>
      <c r="P188" s="262">
        <f ca="1">I1-M188</f>
        <v>44</v>
      </c>
      <c r="Q188" s="262"/>
      <c r="R188" s="262"/>
      <c r="S188" s="262"/>
      <c r="T188" s="262" t="s">
        <v>458</v>
      </c>
      <c r="U188" s="262" t="s">
        <v>461</v>
      </c>
      <c r="V188" s="295"/>
    </row>
    <row r="189" spans="1:22" ht="20" x14ac:dyDescent="0.3">
      <c r="A189" s="296">
        <v>20</v>
      </c>
      <c r="B189" s="257" t="s">
        <v>605</v>
      </c>
      <c r="C189" s="267" t="s">
        <v>606</v>
      </c>
      <c r="D189" s="268" t="s">
        <v>644</v>
      </c>
      <c r="E189" s="259" t="s">
        <v>645</v>
      </c>
      <c r="F189" s="259" t="s">
        <v>457</v>
      </c>
      <c r="G189" s="275">
        <v>45850</v>
      </c>
      <c r="H189" s="275">
        <f t="shared" si="12"/>
        <v>45865</v>
      </c>
      <c r="I189" s="269"/>
      <c r="J189" s="337">
        <f t="shared" ref="J189:K194" ca="1" si="15">$I$1-G189</f>
        <v>63</v>
      </c>
      <c r="K189" s="340">
        <f t="shared" ca="1" si="15"/>
        <v>48</v>
      </c>
      <c r="L189" s="291"/>
      <c r="M189" s="275"/>
      <c r="N189" s="275"/>
      <c r="O189" s="276"/>
      <c r="P189" s="259"/>
      <c r="Q189" s="259"/>
      <c r="R189" s="259"/>
      <c r="S189" s="259"/>
      <c r="T189" s="259"/>
      <c r="U189" s="259"/>
      <c r="V189" s="300"/>
    </row>
    <row r="190" spans="1:22" ht="20" x14ac:dyDescent="0.3">
      <c r="A190" s="296">
        <v>21</v>
      </c>
      <c r="B190" s="257" t="s">
        <v>605</v>
      </c>
      <c r="C190" s="267" t="s">
        <v>606</v>
      </c>
      <c r="D190" s="268" t="s">
        <v>646</v>
      </c>
      <c r="E190" s="259" t="s">
        <v>647</v>
      </c>
      <c r="F190" s="259" t="s">
        <v>457</v>
      </c>
      <c r="G190" s="275">
        <v>45852</v>
      </c>
      <c r="H190" s="275">
        <f t="shared" si="12"/>
        <v>45867</v>
      </c>
      <c r="I190" s="269"/>
      <c r="J190" s="337">
        <f t="shared" ca="1" si="15"/>
        <v>61</v>
      </c>
      <c r="K190" s="340">
        <f t="shared" ca="1" si="15"/>
        <v>46</v>
      </c>
      <c r="L190" s="291"/>
      <c r="M190" s="275"/>
      <c r="N190" s="275"/>
      <c r="O190" s="276"/>
      <c r="P190" s="259"/>
      <c r="Q190" s="259"/>
      <c r="R190" s="259"/>
      <c r="S190" s="259"/>
      <c r="T190" s="259"/>
      <c r="U190" s="259"/>
      <c r="V190" s="300"/>
    </row>
    <row r="191" spans="1:22" ht="20" x14ac:dyDescent="0.3">
      <c r="A191" s="296">
        <v>22</v>
      </c>
      <c r="B191" s="257" t="s">
        <v>605</v>
      </c>
      <c r="C191" s="267" t="s">
        <v>606</v>
      </c>
      <c r="D191" s="268" t="s">
        <v>648</v>
      </c>
      <c r="E191" s="259" t="s">
        <v>649</v>
      </c>
      <c r="F191" s="259" t="s">
        <v>457</v>
      </c>
      <c r="G191" s="275">
        <v>45863</v>
      </c>
      <c r="H191" s="275">
        <f t="shared" si="12"/>
        <v>45878</v>
      </c>
      <c r="I191" s="269"/>
      <c r="J191" s="337">
        <f t="shared" ca="1" si="15"/>
        <v>50</v>
      </c>
      <c r="K191" s="340">
        <f t="shared" ca="1" si="15"/>
        <v>35</v>
      </c>
      <c r="L191" s="291"/>
      <c r="M191" s="275"/>
      <c r="N191" s="275"/>
      <c r="O191" s="276"/>
      <c r="P191" s="259"/>
      <c r="Q191" s="259"/>
      <c r="R191" s="259"/>
      <c r="S191" s="259"/>
      <c r="T191" s="259"/>
      <c r="U191" s="259"/>
      <c r="V191" s="300"/>
    </row>
    <row r="192" spans="1:22" ht="20" x14ac:dyDescent="0.3">
      <c r="A192" s="296">
        <v>23</v>
      </c>
      <c r="B192" s="257" t="s">
        <v>605</v>
      </c>
      <c r="C192" s="267" t="s">
        <v>606</v>
      </c>
      <c r="D192" s="268" t="s">
        <v>650</v>
      </c>
      <c r="E192" s="259" t="s">
        <v>651</v>
      </c>
      <c r="F192" s="259" t="s">
        <v>457</v>
      </c>
      <c r="G192" s="275">
        <v>45854</v>
      </c>
      <c r="H192" s="275">
        <f t="shared" si="12"/>
        <v>45869</v>
      </c>
      <c r="I192" s="269"/>
      <c r="J192" s="337">
        <f t="shared" ca="1" si="15"/>
        <v>59</v>
      </c>
      <c r="K192" s="340">
        <f t="shared" ca="1" si="15"/>
        <v>44</v>
      </c>
      <c r="L192" s="291"/>
      <c r="M192" s="275"/>
      <c r="N192" s="275"/>
      <c r="O192" s="276"/>
      <c r="P192" s="259"/>
      <c r="Q192" s="259"/>
      <c r="R192" s="259"/>
      <c r="S192" s="259"/>
      <c r="T192" s="259"/>
      <c r="U192" s="259"/>
      <c r="V192" s="300"/>
    </row>
    <row r="193" spans="1:22" ht="20" x14ac:dyDescent="0.3">
      <c r="A193" s="296">
        <v>24</v>
      </c>
      <c r="B193" s="257" t="s">
        <v>605</v>
      </c>
      <c r="C193" s="267" t="s">
        <v>606</v>
      </c>
      <c r="D193" s="268" t="s">
        <v>652</v>
      </c>
      <c r="E193" s="259" t="s">
        <v>653</v>
      </c>
      <c r="F193" s="259" t="s">
        <v>457</v>
      </c>
      <c r="G193" s="275">
        <v>45860</v>
      </c>
      <c r="H193" s="275">
        <f t="shared" si="12"/>
        <v>45875</v>
      </c>
      <c r="I193" s="269"/>
      <c r="J193" s="337">
        <f t="shared" ca="1" si="15"/>
        <v>53</v>
      </c>
      <c r="K193" s="340">
        <f t="shared" ca="1" si="15"/>
        <v>38</v>
      </c>
      <c r="L193" s="291"/>
      <c r="M193" s="275"/>
      <c r="N193" s="275"/>
      <c r="O193" s="276"/>
      <c r="P193" s="259"/>
      <c r="Q193" s="259"/>
      <c r="R193" s="259"/>
      <c r="S193" s="259"/>
      <c r="T193" s="259"/>
      <c r="U193" s="259"/>
      <c r="V193" s="300"/>
    </row>
    <row r="194" spans="1:22" ht="20" x14ac:dyDescent="0.3">
      <c r="A194" s="296">
        <v>25</v>
      </c>
      <c r="B194" s="257" t="s">
        <v>605</v>
      </c>
      <c r="C194" s="267" t="s">
        <v>606</v>
      </c>
      <c r="D194" s="268" t="s">
        <v>654</v>
      </c>
      <c r="E194" s="259" t="s">
        <v>655</v>
      </c>
      <c r="F194" s="259" t="s">
        <v>457</v>
      </c>
      <c r="G194" s="275">
        <v>45866</v>
      </c>
      <c r="H194" s="275">
        <f t="shared" si="12"/>
        <v>45881</v>
      </c>
      <c r="I194" s="269"/>
      <c r="J194" s="337">
        <f t="shared" ca="1" si="15"/>
        <v>47</v>
      </c>
      <c r="K194" s="340">
        <f t="shared" ca="1" si="15"/>
        <v>32</v>
      </c>
      <c r="L194" s="291"/>
      <c r="M194" s="275"/>
      <c r="N194" s="275"/>
      <c r="O194" s="276"/>
      <c r="P194" s="259"/>
      <c r="Q194" s="259"/>
      <c r="R194" s="259"/>
      <c r="S194" s="259"/>
      <c r="T194" s="259"/>
      <c r="U194" s="259"/>
      <c r="V194" s="300"/>
    </row>
    <row r="195" spans="1:22" ht="20" x14ac:dyDescent="0.3">
      <c r="A195" s="294">
        <v>26</v>
      </c>
      <c r="B195" s="262" t="s">
        <v>605</v>
      </c>
      <c r="C195" s="263" t="s">
        <v>606</v>
      </c>
      <c r="D195" s="264" t="s">
        <v>863</v>
      </c>
      <c r="E195" s="262" t="s">
        <v>864</v>
      </c>
      <c r="F195" s="262"/>
      <c r="G195" s="265"/>
      <c r="H195" s="265"/>
      <c r="I195" s="265"/>
      <c r="J195" s="336"/>
      <c r="K195" s="336"/>
      <c r="L195" s="262" t="s">
        <v>458</v>
      </c>
      <c r="M195" s="265">
        <v>45895</v>
      </c>
      <c r="N195" s="265"/>
      <c r="O195" s="266"/>
      <c r="P195" s="262">
        <f ca="1">I1-M195</f>
        <v>18</v>
      </c>
      <c r="Q195" s="262"/>
      <c r="R195" s="262"/>
      <c r="S195" s="262" t="s">
        <v>482</v>
      </c>
      <c r="T195" s="262" t="str">
        <f>L195</f>
        <v>R0</v>
      </c>
      <c r="U195" s="262" t="s">
        <v>461</v>
      </c>
      <c r="V195" s="295" t="s">
        <v>850</v>
      </c>
    </row>
    <row r="196" spans="1:22" ht="20" x14ac:dyDescent="0.3">
      <c r="A196" s="294">
        <v>1</v>
      </c>
      <c r="B196" s="262" t="s">
        <v>605</v>
      </c>
      <c r="C196" s="263" t="s">
        <v>656</v>
      </c>
      <c r="D196" s="264" t="s">
        <v>657</v>
      </c>
      <c r="E196" s="262" t="s">
        <v>658</v>
      </c>
      <c r="F196" s="262" t="s">
        <v>457</v>
      </c>
      <c r="G196" s="265">
        <v>45714</v>
      </c>
      <c r="H196" s="265">
        <f t="shared" si="12"/>
        <v>45729</v>
      </c>
      <c r="I196" s="265">
        <v>45714</v>
      </c>
      <c r="J196" s="336">
        <f>I196-G196</f>
        <v>0</v>
      </c>
      <c r="K196" s="336">
        <f ca="1">I1-H196</f>
        <v>184</v>
      </c>
      <c r="L196" s="262" t="s">
        <v>458</v>
      </c>
      <c r="M196" s="265">
        <v>45714</v>
      </c>
      <c r="N196" s="265"/>
      <c r="O196" s="266"/>
      <c r="P196" s="262">
        <f ca="1">I1-M196</f>
        <v>199</v>
      </c>
      <c r="Q196" s="262"/>
      <c r="R196" s="262"/>
      <c r="S196" s="262" t="s">
        <v>482</v>
      </c>
      <c r="T196" s="262" t="s">
        <v>458</v>
      </c>
      <c r="U196" s="262" t="s">
        <v>461</v>
      </c>
      <c r="V196" s="295"/>
    </row>
    <row r="197" spans="1:22" ht="20" x14ac:dyDescent="0.3">
      <c r="A197" s="296">
        <v>2</v>
      </c>
      <c r="B197" s="257" t="s">
        <v>605</v>
      </c>
      <c r="C197" s="267" t="s">
        <v>656</v>
      </c>
      <c r="D197" s="268" t="s">
        <v>659</v>
      </c>
      <c r="E197" s="259" t="s">
        <v>660</v>
      </c>
      <c r="F197" s="259" t="s">
        <v>457</v>
      </c>
      <c r="G197" s="275">
        <v>45877</v>
      </c>
      <c r="H197" s="275">
        <f t="shared" si="12"/>
        <v>45892</v>
      </c>
      <c r="I197" s="269"/>
      <c r="J197" s="337">
        <f t="shared" ref="J197" ca="1" si="16">$I$1-G197</f>
        <v>36</v>
      </c>
      <c r="K197" s="340">
        <f ca="1">$I$1-H197</f>
        <v>21</v>
      </c>
      <c r="L197" s="291"/>
      <c r="M197" s="275"/>
      <c r="N197" s="275"/>
      <c r="O197" s="276"/>
      <c r="P197" s="259"/>
      <c r="Q197" s="259"/>
      <c r="R197" s="259"/>
      <c r="S197" s="259"/>
      <c r="T197" s="259"/>
      <c r="U197" s="259"/>
      <c r="V197" s="300"/>
    </row>
    <row r="198" spans="1:22" ht="20" x14ac:dyDescent="0.3">
      <c r="A198" s="309">
        <v>3</v>
      </c>
      <c r="B198" s="310" t="s">
        <v>605</v>
      </c>
      <c r="C198" s="311" t="s">
        <v>656</v>
      </c>
      <c r="D198" s="312" t="s">
        <v>661</v>
      </c>
      <c r="E198" s="310" t="s">
        <v>662</v>
      </c>
      <c r="F198" s="310" t="s">
        <v>457</v>
      </c>
      <c r="G198" s="313">
        <v>45935</v>
      </c>
      <c r="H198" s="313">
        <f>G198+12</f>
        <v>45947</v>
      </c>
      <c r="I198" s="313">
        <f>M198</f>
        <v>45863</v>
      </c>
      <c r="J198" s="339">
        <f>I198-G198</f>
        <v>-72</v>
      </c>
      <c r="K198" s="339">
        <f ca="1">I1-H198</f>
        <v>-34</v>
      </c>
      <c r="L198" s="310" t="s">
        <v>458</v>
      </c>
      <c r="M198" s="313">
        <v>45863</v>
      </c>
      <c r="N198" s="313">
        <v>45876</v>
      </c>
      <c r="O198" s="314" t="s">
        <v>468</v>
      </c>
      <c r="P198" s="310">
        <f>N198-M198</f>
        <v>13</v>
      </c>
      <c r="Q198" s="310">
        <f ca="1">I1-N198</f>
        <v>37</v>
      </c>
      <c r="R198" s="310"/>
      <c r="S198" s="310" t="s">
        <v>489</v>
      </c>
      <c r="T198" s="310" t="str">
        <f>O198</f>
        <v>CAT -IV R</v>
      </c>
      <c r="U198" s="310" t="s">
        <v>464</v>
      </c>
      <c r="V198" s="315"/>
    </row>
    <row r="199" spans="1:22" x14ac:dyDescent="0.3">
      <c r="A199" s="369">
        <v>4</v>
      </c>
      <c r="B199" s="371" t="s">
        <v>605</v>
      </c>
      <c r="C199" s="373" t="s">
        <v>656</v>
      </c>
      <c r="D199" s="375" t="s">
        <v>663</v>
      </c>
      <c r="E199" s="371" t="s">
        <v>664</v>
      </c>
      <c r="F199" s="371" t="s">
        <v>457</v>
      </c>
      <c r="G199" s="377">
        <v>45754</v>
      </c>
      <c r="H199" s="377">
        <v>45815</v>
      </c>
      <c r="I199" s="377">
        <v>45773</v>
      </c>
      <c r="J199" s="403">
        <f>I199-G199</f>
        <v>19</v>
      </c>
      <c r="K199" s="403">
        <f>R199-H199</f>
        <v>-3</v>
      </c>
      <c r="L199" s="270" t="s">
        <v>458</v>
      </c>
      <c r="M199" s="273">
        <v>45773</v>
      </c>
      <c r="N199" s="273">
        <v>45777</v>
      </c>
      <c r="O199" s="274" t="s">
        <v>459</v>
      </c>
      <c r="P199" s="270">
        <f t="shared" ref="P199:P204" si="17">N199-M199</f>
        <v>4</v>
      </c>
      <c r="Q199" s="270">
        <f>M200-N199</f>
        <v>14</v>
      </c>
      <c r="R199" s="377">
        <f>N200</f>
        <v>45812</v>
      </c>
      <c r="S199" s="371" t="s">
        <v>482</v>
      </c>
      <c r="T199" s="371" t="s">
        <v>472</v>
      </c>
      <c r="U199" s="371" t="s">
        <v>397</v>
      </c>
      <c r="V199" s="399"/>
    </row>
    <row r="200" spans="1:22" x14ac:dyDescent="0.3">
      <c r="A200" s="386"/>
      <c r="B200" s="366"/>
      <c r="C200" s="388"/>
      <c r="D200" s="390"/>
      <c r="E200" s="366"/>
      <c r="F200" s="366"/>
      <c r="G200" s="380"/>
      <c r="H200" s="380"/>
      <c r="I200" s="380"/>
      <c r="J200" s="382"/>
      <c r="K200" s="382"/>
      <c r="L200" s="270" t="s">
        <v>460</v>
      </c>
      <c r="M200" s="273">
        <v>45791</v>
      </c>
      <c r="N200" s="273">
        <v>45812</v>
      </c>
      <c r="O200" s="274" t="s">
        <v>472</v>
      </c>
      <c r="P200" s="270">
        <f t="shared" si="17"/>
        <v>21</v>
      </c>
      <c r="Q200" s="270"/>
      <c r="R200" s="371"/>
      <c r="S200" s="366"/>
      <c r="T200" s="366"/>
      <c r="U200" s="366"/>
      <c r="V200" s="368"/>
    </row>
    <row r="201" spans="1:22" x14ac:dyDescent="0.3">
      <c r="A201" s="369">
        <v>5</v>
      </c>
      <c r="B201" s="371" t="s">
        <v>605</v>
      </c>
      <c r="C201" s="373" t="s">
        <v>656</v>
      </c>
      <c r="D201" s="375" t="s">
        <v>665</v>
      </c>
      <c r="E201" s="371" t="s">
        <v>666</v>
      </c>
      <c r="F201" s="371" t="s">
        <v>457</v>
      </c>
      <c r="G201" s="377">
        <v>45754</v>
      </c>
      <c r="H201" s="377">
        <f>G201+15</f>
        <v>45769</v>
      </c>
      <c r="I201" s="377">
        <v>45791</v>
      </c>
      <c r="J201" s="403">
        <f>I201-G201</f>
        <v>37</v>
      </c>
      <c r="K201" s="403">
        <f>R201-H201</f>
        <v>106</v>
      </c>
      <c r="L201" s="270" t="s">
        <v>458</v>
      </c>
      <c r="M201" s="273">
        <v>45791</v>
      </c>
      <c r="N201" s="273">
        <v>45809</v>
      </c>
      <c r="O201" s="274" t="s">
        <v>459</v>
      </c>
      <c r="P201" s="270">
        <f t="shared" si="17"/>
        <v>18</v>
      </c>
      <c r="Q201" s="270">
        <f>M202-N201</f>
        <v>3</v>
      </c>
      <c r="R201" s="377">
        <f>N205</f>
        <v>45875</v>
      </c>
      <c r="S201" s="371" t="s">
        <v>482</v>
      </c>
      <c r="T201" s="371" t="str">
        <f>O205</f>
        <v>CAT - I</v>
      </c>
      <c r="U201" s="371" t="s">
        <v>397</v>
      </c>
      <c r="V201" s="399"/>
    </row>
    <row r="202" spans="1:22" x14ac:dyDescent="0.3">
      <c r="A202" s="386"/>
      <c r="B202" s="366"/>
      <c r="C202" s="388"/>
      <c r="D202" s="390"/>
      <c r="E202" s="366"/>
      <c r="F202" s="366"/>
      <c r="G202" s="380"/>
      <c r="H202" s="380"/>
      <c r="I202" s="380"/>
      <c r="J202" s="382"/>
      <c r="K202" s="382"/>
      <c r="L202" s="270" t="s">
        <v>460</v>
      </c>
      <c r="M202" s="273">
        <v>45812</v>
      </c>
      <c r="N202" s="273">
        <v>45820</v>
      </c>
      <c r="O202" s="274" t="s">
        <v>459</v>
      </c>
      <c r="P202" s="270">
        <f t="shared" si="17"/>
        <v>8</v>
      </c>
      <c r="Q202" s="270">
        <f>M203-N202</f>
        <v>1</v>
      </c>
      <c r="R202" s="371"/>
      <c r="S202" s="366"/>
      <c r="T202" s="366"/>
      <c r="U202" s="366"/>
      <c r="V202" s="368"/>
    </row>
    <row r="203" spans="1:22" x14ac:dyDescent="0.3">
      <c r="A203" s="386"/>
      <c r="B203" s="366"/>
      <c r="C203" s="388"/>
      <c r="D203" s="390"/>
      <c r="E203" s="366"/>
      <c r="F203" s="366"/>
      <c r="G203" s="380"/>
      <c r="H203" s="380"/>
      <c r="I203" s="380"/>
      <c r="J203" s="382"/>
      <c r="K203" s="382"/>
      <c r="L203" s="270" t="s">
        <v>462</v>
      </c>
      <c r="M203" s="273">
        <v>45821</v>
      </c>
      <c r="N203" s="273">
        <v>45830</v>
      </c>
      <c r="O203" s="274" t="s">
        <v>472</v>
      </c>
      <c r="P203" s="270">
        <f t="shared" si="17"/>
        <v>9</v>
      </c>
      <c r="Q203" s="270"/>
      <c r="R203" s="371"/>
      <c r="S203" s="366"/>
      <c r="T203" s="366"/>
      <c r="U203" s="366"/>
      <c r="V203" s="368"/>
    </row>
    <row r="204" spans="1:22" x14ac:dyDescent="0.3">
      <c r="A204" s="386"/>
      <c r="B204" s="366"/>
      <c r="C204" s="388"/>
      <c r="D204" s="390"/>
      <c r="E204" s="366"/>
      <c r="F204" s="366"/>
      <c r="G204" s="380"/>
      <c r="H204" s="380"/>
      <c r="I204" s="380"/>
      <c r="J204" s="382"/>
      <c r="K204" s="382"/>
      <c r="L204" s="270" t="s">
        <v>463</v>
      </c>
      <c r="M204" s="273">
        <v>45858</v>
      </c>
      <c r="N204" s="273">
        <v>45863</v>
      </c>
      <c r="O204" s="274" t="s">
        <v>481</v>
      </c>
      <c r="P204" s="270">
        <f t="shared" si="17"/>
        <v>5</v>
      </c>
      <c r="Q204" s="270">
        <f>N204-M204</f>
        <v>5</v>
      </c>
      <c r="R204" s="371"/>
      <c r="S204" s="366"/>
      <c r="T204" s="366"/>
      <c r="U204" s="366"/>
      <c r="V204" s="368"/>
    </row>
    <row r="205" spans="1:22" x14ac:dyDescent="0.3">
      <c r="A205" s="386"/>
      <c r="B205" s="366"/>
      <c r="C205" s="388"/>
      <c r="D205" s="390"/>
      <c r="E205" s="366"/>
      <c r="F205" s="366"/>
      <c r="G205" s="380"/>
      <c r="H205" s="380"/>
      <c r="I205" s="380"/>
      <c r="J205" s="382"/>
      <c r="K205" s="382"/>
      <c r="L205" s="270" t="s">
        <v>813</v>
      </c>
      <c r="M205" s="273">
        <v>45867</v>
      </c>
      <c r="N205" s="273">
        <v>45875</v>
      </c>
      <c r="O205" s="274" t="s">
        <v>472</v>
      </c>
      <c r="P205" s="270">
        <f>M205-N204</f>
        <v>4</v>
      </c>
      <c r="Q205" s="270">
        <f>N205-M205</f>
        <v>8</v>
      </c>
      <c r="R205" s="371"/>
      <c r="S205" s="366"/>
      <c r="T205" s="366"/>
      <c r="U205" s="366"/>
      <c r="V205" s="368"/>
    </row>
    <row r="206" spans="1:22" ht="20" x14ac:dyDescent="0.3">
      <c r="A206" s="296">
        <v>6</v>
      </c>
      <c r="B206" s="257" t="s">
        <v>605</v>
      </c>
      <c r="C206" s="267" t="s">
        <v>656</v>
      </c>
      <c r="D206" s="268" t="s">
        <v>667</v>
      </c>
      <c r="E206" s="259" t="s">
        <v>668</v>
      </c>
      <c r="F206" s="259" t="s">
        <v>457</v>
      </c>
      <c r="G206" s="275">
        <v>45811</v>
      </c>
      <c r="H206" s="275">
        <f>G206+15</f>
        <v>45826</v>
      </c>
      <c r="I206" s="275"/>
      <c r="J206" s="337">
        <f t="shared" ref="J206" ca="1" si="18">$I$1-G206</f>
        <v>102</v>
      </c>
      <c r="K206" s="340">
        <f ca="1">$I$1-H206</f>
        <v>87</v>
      </c>
      <c r="L206" s="291"/>
      <c r="M206" s="275"/>
      <c r="N206" s="275"/>
      <c r="O206" s="276"/>
      <c r="P206" s="259"/>
      <c r="Q206" s="259"/>
      <c r="R206" s="259"/>
      <c r="S206" s="259"/>
      <c r="T206" s="259"/>
      <c r="U206" s="259"/>
      <c r="V206" s="300"/>
    </row>
    <row r="207" spans="1:22" x14ac:dyDescent="0.3">
      <c r="A207" s="385">
        <v>7</v>
      </c>
      <c r="B207" s="365" t="s">
        <v>605</v>
      </c>
      <c r="C207" s="387" t="s">
        <v>656</v>
      </c>
      <c r="D207" s="389" t="s">
        <v>669</v>
      </c>
      <c r="E207" s="365" t="s">
        <v>670</v>
      </c>
      <c r="F207" s="365" t="s">
        <v>457</v>
      </c>
      <c r="G207" s="379">
        <v>45808</v>
      </c>
      <c r="H207" s="379">
        <f>G207+15</f>
        <v>45823</v>
      </c>
      <c r="I207" s="379">
        <f>M207</f>
        <v>45856</v>
      </c>
      <c r="J207" s="381">
        <f>I207-G207</f>
        <v>48</v>
      </c>
      <c r="K207" s="381">
        <f ca="1">I1-H207</f>
        <v>90</v>
      </c>
      <c r="L207" s="262" t="s">
        <v>458</v>
      </c>
      <c r="M207" s="265">
        <v>45856</v>
      </c>
      <c r="N207" s="265">
        <v>45863</v>
      </c>
      <c r="O207" s="266" t="s">
        <v>459</v>
      </c>
      <c r="P207" s="262">
        <f>N207-M207</f>
        <v>7</v>
      </c>
      <c r="Q207" s="262"/>
      <c r="R207" s="262"/>
      <c r="S207" s="365" t="s">
        <v>482</v>
      </c>
      <c r="T207" s="365" t="str">
        <f>O207</f>
        <v>CAT - III</v>
      </c>
      <c r="U207" s="365" t="s">
        <v>461</v>
      </c>
      <c r="V207" s="367"/>
    </row>
    <row r="208" spans="1:22" x14ac:dyDescent="0.3">
      <c r="A208" s="486"/>
      <c r="B208" s="487"/>
      <c r="C208" s="488"/>
      <c r="D208" s="489"/>
      <c r="E208" s="424"/>
      <c r="F208" s="424"/>
      <c r="G208" s="425"/>
      <c r="H208" s="425"/>
      <c r="I208" s="425"/>
      <c r="J208" s="440"/>
      <c r="K208" s="440"/>
      <c r="L208" s="262" t="s">
        <v>460</v>
      </c>
      <c r="M208" s="265">
        <v>45883</v>
      </c>
      <c r="N208" s="265"/>
      <c r="O208" s="266"/>
      <c r="P208" s="262"/>
      <c r="Q208" s="262"/>
      <c r="R208" s="262"/>
      <c r="S208" s="424"/>
      <c r="T208" s="424"/>
      <c r="U208" s="424"/>
      <c r="V208" s="431"/>
    </row>
    <row r="209" spans="1:22" ht="20" x14ac:dyDescent="0.3">
      <c r="A209" s="296">
        <v>8</v>
      </c>
      <c r="B209" s="257" t="s">
        <v>605</v>
      </c>
      <c r="C209" s="267" t="s">
        <v>656</v>
      </c>
      <c r="D209" s="268" t="s">
        <v>671</v>
      </c>
      <c r="E209" s="259" t="s">
        <v>672</v>
      </c>
      <c r="F209" s="259" t="s">
        <v>457</v>
      </c>
      <c r="G209" s="275">
        <v>45831</v>
      </c>
      <c r="H209" s="275">
        <f>G209+15</f>
        <v>45846</v>
      </c>
      <c r="I209" s="275"/>
      <c r="J209" s="337">
        <f t="shared" ref="J209:J210" ca="1" si="19">$I$1-G209</f>
        <v>82</v>
      </c>
      <c r="K209" s="340">
        <f ca="1">$I$1-H209</f>
        <v>67</v>
      </c>
      <c r="L209" s="291"/>
      <c r="M209" s="275"/>
      <c r="N209" s="275"/>
      <c r="O209" s="276"/>
      <c r="P209" s="259"/>
      <c r="Q209" s="259"/>
      <c r="R209" s="259"/>
      <c r="S209" s="259"/>
      <c r="T209" s="259"/>
      <c r="U209" s="259"/>
      <c r="V209" s="300"/>
    </row>
    <row r="210" spans="1:22" ht="20" x14ac:dyDescent="0.3">
      <c r="A210" s="296">
        <v>9</v>
      </c>
      <c r="B210" s="257" t="s">
        <v>605</v>
      </c>
      <c r="C210" s="267" t="s">
        <v>656</v>
      </c>
      <c r="D210" s="268" t="s">
        <v>673</v>
      </c>
      <c r="E210" s="259" t="s">
        <v>674</v>
      </c>
      <c r="F210" s="259" t="s">
        <v>467</v>
      </c>
      <c r="G210" s="275">
        <v>45808</v>
      </c>
      <c r="H210" s="275">
        <f>G210+15</f>
        <v>45823</v>
      </c>
      <c r="I210" s="275"/>
      <c r="J210" s="337">
        <f t="shared" ca="1" si="19"/>
        <v>105</v>
      </c>
      <c r="K210" s="340">
        <f ca="1">$I$1-H210</f>
        <v>90</v>
      </c>
      <c r="L210" s="291"/>
      <c r="M210" s="275"/>
      <c r="N210" s="275"/>
      <c r="O210" s="276"/>
      <c r="P210" s="259"/>
      <c r="Q210" s="259"/>
      <c r="R210" s="259"/>
      <c r="S210" s="259"/>
      <c r="T210" s="259"/>
      <c r="U210" s="259"/>
      <c r="V210" s="300"/>
    </row>
    <row r="211" spans="1:22" x14ac:dyDescent="0.3">
      <c r="A211" s="369">
        <v>10</v>
      </c>
      <c r="B211" s="371" t="s">
        <v>605</v>
      </c>
      <c r="C211" s="373" t="s">
        <v>656</v>
      </c>
      <c r="D211" s="375" t="s">
        <v>675</v>
      </c>
      <c r="E211" s="371" t="s">
        <v>676</v>
      </c>
      <c r="F211" s="371" t="s">
        <v>457</v>
      </c>
      <c r="G211" s="377">
        <v>45783</v>
      </c>
      <c r="H211" s="377">
        <f>G211+15</f>
        <v>45798</v>
      </c>
      <c r="I211" s="377">
        <v>45792</v>
      </c>
      <c r="J211" s="403">
        <f>I211-G211</f>
        <v>9</v>
      </c>
      <c r="K211" s="403">
        <f>R211-H211</f>
        <v>15</v>
      </c>
      <c r="L211" s="270" t="s">
        <v>458</v>
      </c>
      <c r="M211" s="273">
        <v>45792</v>
      </c>
      <c r="N211" s="273">
        <v>45813</v>
      </c>
      <c r="O211" s="274" t="s">
        <v>459</v>
      </c>
      <c r="P211" s="270">
        <f>N211-M211</f>
        <v>21</v>
      </c>
      <c r="Q211" s="270">
        <f>M212-N211</f>
        <v>0</v>
      </c>
      <c r="R211" s="404">
        <f>N211</f>
        <v>45813</v>
      </c>
      <c r="S211" s="371" t="s">
        <v>482</v>
      </c>
      <c r="T211" s="371" t="str">
        <f>O213</f>
        <v>CAT - I</v>
      </c>
      <c r="U211" s="371" t="s">
        <v>397</v>
      </c>
      <c r="V211" s="299"/>
    </row>
    <row r="212" spans="1:22" x14ac:dyDescent="0.3">
      <c r="A212" s="386"/>
      <c r="B212" s="366"/>
      <c r="C212" s="388"/>
      <c r="D212" s="390"/>
      <c r="E212" s="366"/>
      <c r="F212" s="366"/>
      <c r="G212" s="380"/>
      <c r="H212" s="380"/>
      <c r="I212" s="380"/>
      <c r="J212" s="382"/>
      <c r="K212" s="403"/>
      <c r="L212" s="270" t="s">
        <v>460</v>
      </c>
      <c r="M212" s="273">
        <v>45813</v>
      </c>
      <c r="N212" s="273">
        <v>45821</v>
      </c>
      <c r="O212" s="274" t="s">
        <v>481</v>
      </c>
      <c r="P212" s="270">
        <f>N212-M212</f>
        <v>8</v>
      </c>
      <c r="Q212" s="270">
        <f>M213-N212</f>
        <v>6</v>
      </c>
      <c r="R212" s="501"/>
      <c r="S212" s="366"/>
      <c r="T212" s="366"/>
      <c r="U212" s="366"/>
      <c r="V212" s="299"/>
    </row>
    <row r="213" spans="1:22" x14ac:dyDescent="0.3">
      <c r="A213" s="386"/>
      <c r="B213" s="366"/>
      <c r="C213" s="388"/>
      <c r="D213" s="390"/>
      <c r="E213" s="366"/>
      <c r="F213" s="366"/>
      <c r="G213" s="380"/>
      <c r="H213" s="380"/>
      <c r="I213" s="380"/>
      <c r="J213" s="382"/>
      <c r="K213" s="403"/>
      <c r="L213" s="270" t="s">
        <v>462</v>
      </c>
      <c r="M213" s="273">
        <v>45827</v>
      </c>
      <c r="N213" s="273">
        <v>45830</v>
      </c>
      <c r="O213" s="274" t="s">
        <v>472</v>
      </c>
      <c r="P213" s="270">
        <f>N213-M213</f>
        <v>3</v>
      </c>
      <c r="Q213" s="270"/>
      <c r="R213" s="501"/>
      <c r="S213" s="366"/>
      <c r="T213" s="366"/>
      <c r="U213" s="366"/>
      <c r="V213" s="299"/>
    </row>
    <row r="214" spans="1:22" x14ac:dyDescent="0.3">
      <c r="A214" s="369">
        <v>11</v>
      </c>
      <c r="B214" s="371" t="s">
        <v>605</v>
      </c>
      <c r="C214" s="371" t="s">
        <v>656</v>
      </c>
      <c r="D214" s="421" t="s">
        <v>677</v>
      </c>
      <c r="E214" s="371" t="s">
        <v>678</v>
      </c>
      <c r="F214" s="371" t="s">
        <v>457</v>
      </c>
      <c r="G214" s="377">
        <v>45783</v>
      </c>
      <c r="H214" s="377">
        <f>G214+15</f>
        <v>45798</v>
      </c>
      <c r="I214" s="377">
        <v>45791</v>
      </c>
      <c r="J214" s="403">
        <f>I214-G214</f>
        <v>8</v>
      </c>
      <c r="K214" s="403">
        <f>R214-H214</f>
        <v>78</v>
      </c>
      <c r="L214" s="270" t="s">
        <v>458</v>
      </c>
      <c r="M214" s="273">
        <v>45791</v>
      </c>
      <c r="N214" s="273">
        <v>45842</v>
      </c>
      <c r="O214" s="274" t="s">
        <v>459</v>
      </c>
      <c r="P214" s="270">
        <f>N214-M214</f>
        <v>51</v>
      </c>
      <c r="Q214" s="270">
        <f>M215-N214</f>
        <v>27</v>
      </c>
      <c r="R214" s="377">
        <f>N215</f>
        <v>45876</v>
      </c>
      <c r="S214" s="371" t="s">
        <v>397</v>
      </c>
      <c r="T214" s="371" t="str">
        <f>O215</f>
        <v>CAT - I</v>
      </c>
      <c r="U214" s="371" t="s">
        <v>397</v>
      </c>
      <c r="V214" s="399"/>
    </row>
    <row r="215" spans="1:22" x14ac:dyDescent="0.3">
      <c r="A215" s="386"/>
      <c r="B215" s="366"/>
      <c r="C215" s="366"/>
      <c r="D215" s="500"/>
      <c r="E215" s="366"/>
      <c r="F215" s="366"/>
      <c r="G215" s="380"/>
      <c r="H215" s="380"/>
      <c r="I215" s="380"/>
      <c r="J215" s="382"/>
      <c r="K215" s="403"/>
      <c r="L215" s="270" t="s">
        <v>460</v>
      </c>
      <c r="M215" s="273">
        <v>45869</v>
      </c>
      <c r="N215" s="273">
        <v>45876</v>
      </c>
      <c r="O215" s="274" t="s">
        <v>472</v>
      </c>
      <c r="P215" s="270">
        <f>N215-M215</f>
        <v>7</v>
      </c>
      <c r="Q215" s="270"/>
      <c r="R215" s="366"/>
      <c r="S215" s="366"/>
      <c r="T215" s="366"/>
      <c r="U215" s="366"/>
      <c r="V215" s="399"/>
    </row>
    <row r="216" spans="1:22" x14ac:dyDescent="0.3">
      <c r="A216" s="369">
        <v>12</v>
      </c>
      <c r="B216" s="371" t="s">
        <v>605</v>
      </c>
      <c r="C216" s="373" t="s">
        <v>656</v>
      </c>
      <c r="D216" s="375" t="s">
        <v>679</v>
      </c>
      <c r="E216" s="371" t="s">
        <v>680</v>
      </c>
      <c r="F216" s="371" t="s">
        <v>457</v>
      </c>
      <c r="G216" s="377">
        <v>45755</v>
      </c>
      <c r="H216" s="377">
        <f>G216+15</f>
        <v>45770</v>
      </c>
      <c r="I216" s="377">
        <v>45755</v>
      </c>
      <c r="J216" s="403">
        <f>I216-G216</f>
        <v>0</v>
      </c>
      <c r="K216" s="403">
        <f>R216-H216</f>
        <v>60</v>
      </c>
      <c r="L216" s="270" t="s">
        <v>458</v>
      </c>
      <c r="M216" s="273">
        <v>45755</v>
      </c>
      <c r="N216" s="273">
        <v>45770</v>
      </c>
      <c r="O216" s="274" t="s">
        <v>459</v>
      </c>
      <c r="P216" s="270">
        <f t="shared" ref="P216:P221" si="20">N216-M216</f>
        <v>15</v>
      </c>
      <c r="Q216" s="270">
        <f>M218-N216</f>
        <v>55</v>
      </c>
      <c r="R216" s="377">
        <f>N218</f>
        <v>45830</v>
      </c>
      <c r="S216" s="371" t="s">
        <v>482</v>
      </c>
      <c r="T216" s="371" t="str">
        <f>O218</f>
        <v>CAT - I</v>
      </c>
      <c r="U216" s="371" t="s">
        <v>397</v>
      </c>
      <c r="V216" s="399"/>
    </row>
    <row r="217" spans="1:22" x14ac:dyDescent="0.3">
      <c r="A217" s="386"/>
      <c r="B217" s="366"/>
      <c r="C217" s="388"/>
      <c r="D217" s="390"/>
      <c r="E217" s="366"/>
      <c r="F217" s="366"/>
      <c r="G217" s="380"/>
      <c r="H217" s="380"/>
      <c r="I217" s="380"/>
      <c r="J217" s="382"/>
      <c r="K217" s="403"/>
      <c r="L217" s="270" t="s">
        <v>460</v>
      </c>
      <c r="M217" s="273">
        <v>45788</v>
      </c>
      <c r="N217" s="273">
        <v>45809</v>
      </c>
      <c r="O217" s="274" t="s">
        <v>459</v>
      </c>
      <c r="P217" s="270">
        <f t="shared" si="20"/>
        <v>21</v>
      </c>
      <c r="Q217" s="270">
        <f>M218-N217</f>
        <v>16</v>
      </c>
      <c r="R217" s="366"/>
      <c r="S217" s="366"/>
      <c r="T217" s="366"/>
      <c r="U217" s="366"/>
      <c r="V217" s="368"/>
    </row>
    <row r="218" spans="1:22" x14ac:dyDescent="0.3">
      <c r="A218" s="386"/>
      <c r="B218" s="366"/>
      <c r="C218" s="388"/>
      <c r="D218" s="390"/>
      <c r="E218" s="366"/>
      <c r="F218" s="366"/>
      <c r="G218" s="380"/>
      <c r="H218" s="380"/>
      <c r="I218" s="380"/>
      <c r="J218" s="382"/>
      <c r="K218" s="403"/>
      <c r="L218" s="270" t="s">
        <v>460</v>
      </c>
      <c r="M218" s="273">
        <v>45825</v>
      </c>
      <c r="N218" s="273">
        <v>45830</v>
      </c>
      <c r="O218" s="274" t="s">
        <v>472</v>
      </c>
      <c r="P218" s="270">
        <f t="shared" si="20"/>
        <v>5</v>
      </c>
      <c r="Q218" s="270">
        <f ca="1">I1-N218</f>
        <v>83</v>
      </c>
      <c r="R218" s="366"/>
      <c r="S218" s="366"/>
      <c r="T218" s="366"/>
      <c r="U218" s="366"/>
      <c r="V218" s="368"/>
    </row>
    <row r="219" spans="1:22" x14ac:dyDescent="0.3">
      <c r="A219" s="369">
        <v>13</v>
      </c>
      <c r="B219" s="371" t="s">
        <v>605</v>
      </c>
      <c r="C219" s="373" t="s">
        <v>656</v>
      </c>
      <c r="D219" s="375" t="s">
        <v>394</v>
      </c>
      <c r="E219" s="371" t="s">
        <v>681</v>
      </c>
      <c r="F219" s="371" t="s">
        <v>457</v>
      </c>
      <c r="G219" s="377">
        <v>45755</v>
      </c>
      <c r="H219" s="377">
        <f>G219+15</f>
        <v>45770</v>
      </c>
      <c r="I219" s="377">
        <v>45755</v>
      </c>
      <c r="J219" s="403">
        <f>I219-G219</f>
        <v>0</v>
      </c>
      <c r="K219" s="403">
        <f>R219-H219</f>
        <v>60</v>
      </c>
      <c r="L219" s="270" t="s">
        <v>458</v>
      </c>
      <c r="M219" s="273">
        <v>45755</v>
      </c>
      <c r="N219" s="273">
        <v>45770</v>
      </c>
      <c r="O219" s="274" t="s">
        <v>459</v>
      </c>
      <c r="P219" s="270">
        <f t="shared" si="20"/>
        <v>15</v>
      </c>
      <c r="Q219" s="270">
        <f>M221-N219</f>
        <v>55</v>
      </c>
      <c r="R219" s="377">
        <f>N221</f>
        <v>45830</v>
      </c>
      <c r="S219" s="371" t="s">
        <v>482</v>
      </c>
      <c r="T219" s="371" t="str">
        <f>O221</f>
        <v>CAT - I</v>
      </c>
      <c r="U219" s="371" t="s">
        <v>397</v>
      </c>
      <c r="V219" s="399"/>
    </row>
    <row r="220" spans="1:22" x14ac:dyDescent="0.3">
      <c r="A220" s="386"/>
      <c r="B220" s="366"/>
      <c r="C220" s="388"/>
      <c r="D220" s="390"/>
      <c r="E220" s="366"/>
      <c r="F220" s="366"/>
      <c r="G220" s="380"/>
      <c r="H220" s="380"/>
      <c r="I220" s="380"/>
      <c r="J220" s="382"/>
      <c r="K220" s="382"/>
      <c r="L220" s="270" t="s">
        <v>460</v>
      </c>
      <c r="M220" s="273">
        <v>45787</v>
      </c>
      <c r="N220" s="273">
        <v>45809</v>
      </c>
      <c r="O220" s="274" t="s">
        <v>459</v>
      </c>
      <c r="P220" s="270">
        <f t="shared" si="20"/>
        <v>22</v>
      </c>
      <c r="Q220" s="270">
        <f>M221-N220</f>
        <v>16</v>
      </c>
      <c r="R220" s="366"/>
      <c r="S220" s="366"/>
      <c r="T220" s="366"/>
      <c r="U220" s="366"/>
      <c r="V220" s="368"/>
    </row>
    <row r="221" spans="1:22" x14ac:dyDescent="0.3">
      <c r="A221" s="386"/>
      <c r="B221" s="366"/>
      <c r="C221" s="388"/>
      <c r="D221" s="390"/>
      <c r="E221" s="366"/>
      <c r="F221" s="366"/>
      <c r="G221" s="380"/>
      <c r="H221" s="380"/>
      <c r="I221" s="380"/>
      <c r="J221" s="382"/>
      <c r="K221" s="382"/>
      <c r="L221" s="270" t="s">
        <v>462</v>
      </c>
      <c r="M221" s="273">
        <v>45825</v>
      </c>
      <c r="N221" s="273">
        <v>45830</v>
      </c>
      <c r="O221" s="274" t="s">
        <v>472</v>
      </c>
      <c r="P221" s="270">
        <f t="shared" si="20"/>
        <v>5</v>
      </c>
      <c r="Q221" s="270"/>
      <c r="R221" s="366"/>
      <c r="S221" s="366"/>
      <c r="T221" s="366"/>
      <c r="U221" s="366"/>
      <c r="V221" s="368"/>
    </row>
    <row r="222" spans="1:22" ht="20" x14ac:dyDescent="0.3">
      <c r="A222" s="294">
        <v>14</v>
      </c>
      <c r="B222" s="262" t="s">
        <v>605</v>
      </c>
      <c r="C222" s="263" t="s">
        <v>656</v>
      </c>
      <c r="D222" s="264" t="s">
        <v>682</v>
      </c>
      <c r="E222" s="262" t="s">
        <v>683</v>
      </c>
      <c r="F222" s="262" t="s">
        <v>467</v>
      </c>
      <c r="G222" s="265">
        <v>45807</v>
      </c>
      <c r="H222" s="265">
        <f>G222+15</f>
        <v>45822</v>
      </c>
      <c r="I222" s="265">
        <f>M222</f>
        <v>45869</v>
      </c>
      <c r="J222" s="336">
        <f>I222-G222</f>
        <v>62</v>
      </c>
      <c r="K222" s="336">
        <f ca="1">I1-H222</f>
        <v>91</v>
      </c>
      <c r="L222" s="262" t="s">
        <v>458</v>
      </c>
      <c r="M222" s="265">
        <v>45869</v>
      </c>
      <c r="N222" s="265"/>
      <c r="O222" s="266"/>
      <c r="P222" s="262">
        <f ca="1">I1-M222</f>
        <v>44</v>
      </c>
      <c r="Q222" s="262"/>
      <c r="R222" s="262"/>
      <c r="S222" s="262"/>
      <c r="T222" s="262" t="s">
        <v>458</v>
      </c>
      <c r="U222" s="262" t="s">
        <v>461</v>
      </c>
      <c r="V222" s="295"/>
    </row>
    <row r="223" spans="1:22" ht="20" x14ac:dyDescent="0.3">
      <c r="A223" s="296">
        <v>15</v>
      </c>
      <c r="B223" s="257" t="s">
        <v>605</v>
      </c>
      <c r="C223" s="267" t="s">
        <v>656</v>
      </c>
      <c r="D223" s="268" t="s">
        <v>684</v>
      </c>
      <c r="E223" s="259" t="s">
        <v>685</v>
      </c>
      <c r="F223" s="259" t="s">
        <v>467</v>
      </c>
      <c r="G223" s="275">
        <v>45845</v>
      </c>
      <c r="H223" s="275">
        <f>G223+15</f>
        <v>45860</v>
      </c>
      <c r="I223" s="269"/>
      <c r="J223" s="337">
        <f t="shared" ref="J223" ca="1" si="21">$I$1-G223</f>
        <v>68</v>
      </c>
      <c r="K223" s="340">
        <f ca="1">$I$1-H223</f>
        <v>53</v>
      </c>
      <c r="L223" s="291"/>
      <c r="M223" s="275"/>
      <c r="N223" s="275"/>
      <c r="O223" s="276"/>
      <c r="P223" s="259"/>
      <c r="Q223" s="259"/>
      <c r="R223" s="259"/>
      <c r="S223" s="259"/>
      <c r="T223" s="259"/>
      <c r="U223" s="259"/>
      <c r="V223" s="300"/>
    </row>
    <row r="224" spans="1:22" x14ac:dyDescent="0.3">
      <c r="A224" s="432">
        <v>1</v>
      </c>
      <c r="B224" s="371" t="s">
        <v>686</v>
      </c>
      <c r="C224" s="373" t="s">
        <v>687</v>
      </c>
      <c r="D224" s="373" t="s">
        <v>688</v>
      </c>
      <c r="E224" s="371" t="s">
        <v>689</v>
      </c>
      <c r="F224" s="371" t="s">
        <v>457</v>
      </c>
      <c r="G224" s="502">
        <v>45797</v>
      </c>
      <c r="H224" s="502">
        <f>G224+15</f>
        <v>45812</v>
      </c>
      <c r="I224" s="502">
        <v>45813</v>
      </c>
      <c r="J224" s="403">
        <f>I224-G224</f>
        <v>16</v>
      </c>
      <c r="K224" s="403">
        <f>R224-H224</f>
        <v>64</v>
      </c>
      <c r="L224" s="270" t="s">
        <v>458</v>
      </c>
      <c r="M224" s="273">
        <v>45813</v>
      </c>
      <c r="N224" s="273">
        <v>45832</v>
      </c>
      <c r="O224" s="274" t="s">
        <v>459</v>
      </c>
      <c r="P224" s="270">
        <f>N224-M224</f>
        <v>19</v>
      </c>
      <c r="Q224" s="270">
        <f>M225-N224</f>
        <v>35</v>
      </c>
      <c r="R224" s="377">
        <f>N226</f>
        <v>45876</v>
      </c>
      <c r="S224" s="371" t="s">
        <v>397</v>
      </c>
      <c r="T224" s="371" t="str">
        <f>O226</f>
        <v>CAT - I</v>
      </c>
      <c r="U224" s="371" t="s">
        <v>397</v>
      </c>
      <c r="V224" s="399"/>
    </row>
    <row r="225" spans="1:22" x14ac:dyDescent="0.3">
      <c r="A225" s="468"/>
      <c r="B225" s="372"/>
      <c r="C225" s="420"/>
      <c r="D225" s="374"/>
      <c r="E225" s="372"/>
      <c r="F225" s="372"/>
      <c r="G225" s="503"/>
      <c r="H225" s="503"/>
      <c r="I225" s="503"/>
      <c r="J225" s="396"/>
      <c r="K225" s="396"/>
      <c r="L225" s="270" t="s">
        <v>460</v>
      </c>
      <c r="M225" s="273">
        <v>45867</v>
      </c>
      <c r="N225" s="273"/>
      <c r="O225" s="274"/>
      <c r="P225" s="270">
        <v>7</v>
      </c>
      <c r="Q225" s="270"/>
      <c r="R225" s="371"/>
      <c r="S225" s="372"/>
      <c r="T225" s="372"/>
      <c r="U225" s="372"/>
      <c r="V225" s="393"/>
    </row>
    <row r="226" spans="1:22" x14ac:dyDescent="0.3">
      <c r="A226" s="433"/>
      <c r="B226" s="372"/>
      <c r="C226" s="420"/>
      <c r="D226" s="374"/>
      <c r="E226" s="372"/>
      <c r="F226" s="372"/>
      <c r="G226" s="503"/>
      <c r="H226" s="503"/>
      <c r="I226" s="503"/>
      <c r="J226" s="396"/>
      <c r="K226" s="396"/>
      <c r="L226" s="270" t="s">
        <v>460</v>
      </c>
      <c r="M226" s="273">
        <v>45874</v>
      </c>
      <c r="N226" s="273">
        <v>45876</v>
      </c>
      <c r="O226" s="274" t="s">
        <v>472</v>
      </c>
      <c r="P226" s="270">
        <f>N226-M226</f>
        <v>2</v>
      </c>
      <c r="Q226" s="270"/>
      <c r="R226" s="371"/>
      <c r="S226" s="372"/>
      <c r="T226" s="372"/>
      <c r="U226" s="372"/>
      <c r="V226" s="393"/>
    </row>
    <row r="227" spans="1:22" x14ac:dyDescent="0.3">
      <c r="A227" s="369">
        <v>2</v>
      </c>
      <c r="B227" s="371" t="s">
        <v>686</v>
      </c>
      <c r="C227" s="373" t="s">
        <v>687</v>
      </c>
      <c r="D227" s="375" t="s">
        <v>834</v>
      </c>
      <c r="E227" s="371" t="s">
        <v>690</v>
      </c>
      <c r="F227" s="371" t="s">
        <v>457</v>
      </c>
      <c r="G227" s="502">
        <v>45797</v>
      </c>
      <c r="H227" s="502">
        <f>G227+15</f>
        <v>45812</v>
      </c>
      <c r="I227" s="502">
        <v>45813</v>
      </c>
      <c r="J227" s="403">
        <f>I227-G227</f>
        <v>16</v>
      </c>
      <c r="K227" s="403">
        <f>R227-H227</f>
        <v>50</v>
      </c>
      <c r="L227" s="270" t="s">
        <v>458</v>
      </c>
      <c r="M227" s="273">
        <v>45813</v>
      </c>
      <c r="N227" s="273">
        <v>45832</v>
      </c>
      <c r="O227" s="274" t="s">
        <v>459</v>
      </c>
      <c r="P227" s="270">
        <f>N227-M227</f>
        <v>19</v>
      </c>
      <c r="Q227" s="270">
        <f ca="1">I1-N227</f>
        <v>81</v>
      </c>
      <c r="R227" s="377">
        <f>N228</f>
        <v>45862</v>
      </c>
      <c r="S227" s="371" t="s">
        <v>397</v>
      </c>
      <c r="T227" s="371" t="str">
        <f>O228</f>
        <v>CAT - I</v>
      </c>
      <c r="U227" s="371" t="s">
        <v>397</v>
      </c>
      <c r="V227" s="399"/>
    </row>
    <row r="228" spans="1:22" x14ac:dyDescent="0.3">
      <c r="A228" s="370"/>
      <c r="B228" s="372"/>
      <c r="C228" s="420"/>
      <c r="D228" s="376"/>
      <c r="E228" s="372"/>
      <c r="F228" s="372"/>
      <c r="G228" s="503"/>
      <c r="H228" s="503"/>
      <c r="I228" s="503"/>
      <c r="J228" s="396"/>
      <c r="K228" s="396"/>
      <c r="L228" s="270" t="s">
        <v>460</v>
      </c>
      <c r="M228" s="273">
        <v>45855</v>
      </c>
      <c r="N228" s="273">
        <v>45862</v>
      </c>
      <c r="O228" s="274" t="s">
        <v>472</v>
      </c>
      <c r="P228" s="270"/>
      <c r="Q228" s="270"/>
      <c r="R228" s="371"/>
      <c r="S228" s="372"/>
      <c r="T228" s="372"/>
      <c r="U228" s="372"/>
      <c r="V228" s="393"/>
    </row>
    <row r="229" spans="1:22" ht="30" x14ac:dyDescent="0.3">
      <c r="A229" s="296">
        <v>3</v>
      </c>
      <c r="B229" s="257" t="s">
        <v>686</v>
      </c>
      <c r="C229" s="267" t="s">
        <v>687</v>
      </c>
      <c r="D229" s="268" t="s">
        <v>691</v>
      </c>
      <c r="E229" s="259" t="s">
        <v>692</v>
      </c>
      <c r="F229" s="259" t="s">
        <v>457</v>
      </c>
      <c r="G229" s="282">
        <v>45809</v>
      </c>
      <c r="H229" s="282">
        <f>G229+15</f>
        <v>45824</v>
      </c>
      <c r="I229" s="282"/>
      <c r="J229" s="337">
        <f t="shared" ref="J229" ca="1" si="22">$I$1-G229</f>
        <v>104</v>
      </c>
      <c r="K229" s="340">
        <f ca="1">$I$1-H229</f>
        <v>89</v>
      </c>
      <c r="L229" s="291"/>
      <c r="M229" s="275"/>
      <c r="N229" s="275"/>
      <c r="O229" s="276"/>
      <c r="P229" s="259"/>
      <c r="Q229" s="259"/>
      <c r="R229" s="259"/>
      <c r="S229" s="259"/>
      <c r="T229" s="259"/>
      <c r="U229" s="259"/>
      <c r="V229" s="300"/>
    </row>
    <row r="230" spans="1:22" x14ac:dyDescent="0.3">
      <c r="A230" s="405">
        <v>4</v>
      </c>
      <c r="B230" s="407" t="s">
        <v>686</v>
      </c>
      <c r="C230" s="409" t="s">
        <v>687</v>
      </c>
      <c r="D230" s="411" t="s">
        <v>871</v>
      </c>
      <c r="E230" s="407" t="s">
        <v>872</v>
      </c>
      <c r="F230" s="407" t="s">
        <v>457</v>
      </c>
      <c r="G230" s="504">
        <v>45797</v>
      </c>
      <c r="H230" s="504">
        <f>G230+15</f>
        <v>45812</v>
      </c>
      <c r="I230" s="504">
        <v>45817</v>
      </c>
      <c r="J230" s="417">
        <f>I230-G230</f>
        <v>20</v>
      </c>
      <c r="K230" s="417">
        <f ca="1">I1-H230</f>
        <v>101</v>
      </c>
      <c r="L230" s="262" t="s">
        <v>458</v>
      </c>
      <c r="M230" s="265">
        <v>45817</v>
      </c>
      <c r="N230" s="265">
        <v>45834</v>
      </c>
      <c r="O230" s="266" t="s">
        <v>459</v>
      </c>
      <c r="P230" s="262">
        <f>N230-M230</f>
        <v>17</v>
      </c>
      <c r="Q230" s="262">
        <f ca="1">I1-N230</f>
        <v>79</v>
      </c>
      <c r="R230" s="262"/>
      <c r="S230" s="407" t="s">
        <v>482</v>
      </c>
      <c r="T230" s="407" t="str">
        <f>O230</f>
        <v>CAT - III</v>
      </c>
      <c r="U230" s="407" t="s">
        <v>873</v>
      </c>
      <c r="V230" s="415"/>
    </row>
    <row r="231" spans="1:22" x14ac:dyDescent="0.3">
      <c r="A231" s="464"/>
      <c r="B231" s="458"/>
      <c r="C231" s="465"/>
      <c r="D231" s="466"/>
      <c r="E231" s="458"/>
      <c r="F231" s="458"/>
      <c r="G231" s="505"/>
      <c r="H231" s="505"/>
      <c r="I231" s="505"/>
      <c r="J231" s="463"/>
      <c r="K231" s="463"/>
      <c r="L231" s="262" t="s">
        <v>460</v>
      </c>
      <c r="M231" s="265">
        <v>45856</v>
      </c>
      <c r="N231" s="265">
        <v>45876</v>
      </c>
      <c r="O231" s="266" t="s">
        <v>459</v>
      </c>
      <c r="P231" s="262">
        <f>N231-M231</f>
        <v>20</v>
      </c>
      <c r="Q231" s="262">
        <f>M232-N231</f>
        <v>14</v>
      </c>
      <c r="R231" s="262"/>
      <c r="S231" s="458"/>
      <c r="T231" s="458"/>
      <c r="U231" s="458"/>
      <c r="V231" s="459"/>
    </row>
    <row r="232" spans="1:22" x14ac:dyDescent="0.3">
      <c r="A232" s="464"/>
      <c r="B232" s="458"/>
      <c r="C232" s="465"/>
      <c r="D232" s="466"/>
      <c r="E232" s="458"/>
      <c r="F232" s="458"/>
      <c r="G232" s="505"/>
      <c r="H232" s="505"/>
      <c r="I232" s="505"/>
      <c r="J232" s="463"/>
      <c r="K232" s="463"/>
      <c r="L232" s="262" t="s">
        <v>462</v>
      </c>
      <c r="M232" s="265">
        <v>45890</v>
      </c>
      <c r="N232" s="265">
        <v>45898</v>
      </c>
      <c r="O232" s="266" t="s">
        <v>459</v>
      </c>
      <c r="P232" s="262">
        <f>N232-M232</f>
        <v>8</v>
      </c>
      <c r="Q232" s="262"/>
      <c r="R232" s="262"/>
      <c r="S232" s="458"/>
      <c r="T232" s="458"/>
      <c r="U232" s="458"/>
      <c r="V232" s="459"/>
    </row>
    <row r="233" spans="1:22" x14ac:dyDescent="0.3">
      <c r="A233" s="406"/>
      <c r="B233" s="408"/>
      <c r="C233" s="410"/>
      <c r="D233" s="412"/>
      <c r="E233" s="408"/>
      <c r="F233" s="408"/>
      <c r="G233" s="506"/>
      <c r="H233" s="506"/>
      <c r="I233" s="506"/>
      <c r="J233" s="418"/>
      <c r="K233" s="418"/>
      <c r="L233" s="262" t="s">
        <v>463</v>
      </c>
      <c r="M233" s="265">
        <v>45904</v>
      </c>
      <c r="N233" s="265"/>
      <c r="O233" s="266"/>
      <c r="P233" s="262"/>
      <c r="Q233" s="262"/>
      <c r="R233" s="262"/>
      <c r="S233" s="408"/>
      <c r="T233" s="408"/>
      <c r="U233" s="408"/>
      <c r="V233" s="416"/>
    </row>
    <row r="234" spans="1:22" x14ac:dyDescent="0.3">
      <c r="A234" s="405">
        <v>4</v>
      </c>
      <c r="B234" s="407" t="s">
        <v>686</v>
      </c>
      <c r="C234" s="409" t="s">
        <v>687</v>
      </c>
      <c r="D234" s="411" t="s">
        <v>874</v>
      </c>
      <c r="E234" s="407" t="s">
        <v>875</v>
      </c>
      <c r="F234" s="407" t="s">
        <v>457</v>
      </c>
      <c r="G234" s="504">
        <v>45797</v>
      </c>
      <c r="H234" s="504">
        <f>G234+15</f>
        <v>45812</v>
      </c>
      <c r="I234" s="504">
        <v>45817</v>
      </c>
      <c r="J234" s="417">
        <f>I234-G234</f>
        <v>20</v>
      </c>
      <c r="K234" s="417">
        <f ca="1">I1-H234</f>
        <v>101</v>
      </c>
      <c r="L234" s="262" t="s">
        <v>458</v>
      </c>
      <c r="M234" s="265">
        <v>45817</v>
      </c>
      <c r="N234" s="265">
        <v>45834</v>
      </c>
      <c r="O234" s="266" t="s">
        <v>459</v>
      </c>
      <c r="P234" s="262">
        <f>N234-M234</f>
        <v>17</v>
      </c>
      <c r="Q234" s="262">
        <f>M235-N234</f>
        <v>22</v>
      </c>
      <c r="R234" s="262"/>
      <c r="S234" s="407" t="s">
        <v>482</v>
      </c>
      <c r="T234" s="407" t="str">
        <f>O234</f>
        <v>CAT - III</v>
      </c>
      <c r="U234" s="407" t="s">
        <v>873</v>
      </c>
      <c r="V234" s="415"/>
    </row>
    <row r="235" spans="1:22" x14ac:dyDescent="0.3">
      <c r="A235" s="464"/>
      <c r="B235" s="458"/>
      <c r="C235" s="465"/>
      <c r="D235" s="466"/>
      <c r="E235" s="458"/>
      <c r="F235" s="458"/>
      <c r="G235" s="505"/>
      <c r="H235" s="505"/>
      <c r="I235" s="505"/>
      <c r="J235" s="463"/>
      <c r="K235" s="463"/>
      <c r="L235" s="262" t="s">
        <v>460</v>
      </c>
      <c r="M235" s="265">
        <v>45856</v>
      </c>
      <c r="N235" s="265">
        <v>45876</v>
      </c>
      <c r="O235" s="266" t="s">
        <v>459</v>
      </c>
      <c r="P235" s="262">
        <f>N235-M235</f>
        <v>20</v>
      </c>
      <c r="Q235" s="262">
        <f>M236-N235</f>
        <v>14</v>
      </c>
      <c r="R235" s="262"/>
      <c r="S235" s="458"/>
      <c r="T235" s="458"/>
      <c r="U235" s="458"/>
      <c r="V235" s="459"/>
    </row>
    <row r="236" spans="1:22" x14ac:dyDescent="0.3">
      <c r="A236" s="464"/>
      <c r="B236" s="458"/>
      <c r="C236" s="465"/>
      <c r="D236" s="466"/>
      <c r="E236" s="458"/>
      <c r="F236" s="458"/>
      <c r="G236" s="505"/>
      <c r="H236" s="505"/>
      <c r="I236" s="505"/>
      <c r="J236" s="463"/>
      <c r="K236" s="463"/>
      <c r="L236" s="262" t="s">
        <v>462</v>
      </c>
      <c r="M236" s="265">
        <v>45890</v>
      </c>
      <c r="N236" s="265">
        <v>45898</v>
      </c>
      <c r="O236" s="266"/>
      <c r="P236" s="262">
        <f>N236-M236</f>
        <v>8</v>
      </c>
      <c r="Q236" s="262"/>
      <c r="R236" s="262"/>
      <c r="S236" s="458"/>
      <c r="T236" s="458"/>
      <c r="U236" s="458"/>
      <c r="V236" s="459"/>
    </row>
    <row r="237" spans="1:22" x14ac:dyDescent="0.3">
      <c r="A237" s="406"/>
      <c r="B237" s="408"/>
      <c r="C237" s="410"/>
      <c r="D237" s="412"/>
      <c r="E237" s="408"/>
      <c r="F237" s="408"/>
      <c r="G237" s="506"/>
      <c r="H237" s="506"/>
      <c r="I237" s="506"/>
      <c r="J237" s="418"/>
      <c r="K237" s="418"/>
      <c r="L237" s="262" t="s">
        <v>463</v>
      </c>
      <c r="M237" s="265">
        <v>45904</v>
      </c>
      <c r="N237" s="265"/>
      <c r="O237" s="266"/>
      <c r="P237" s="262"/>
      <c r="Q237" s="262"/>
      <c r="R237" s="262"/>
      <c r="S237" s="408"/>
      <c r="T237" s="408"/>
      <c r="U237" s="408"/>
      <c r="V237" s="416"/>
    </row>
    <row r="238" spans="1:22" x14ac:dyDescent="0.3">
      <c r="A238" s="452">
        <v>5</v>
      </c>
      <c r="B238" s="441" t="s">
        <v>686</v>
      </c>
      <c r="C238" s="456" t="s">
        <v>687</v>
      </c>
      <c r="D238" s="513" t="s">
        <v>693</v>
      </c>
      <c r="E238" s="441" t="s">
        <v>694</v>
      </c>
      <c r="F238" s="441" t="s">
        <v>457</v>
      </c>
      <c r="G238" s="507">
        <v>45797</v>
      </c>
      <c r="H238" s="507">
        <f>G238+15</f>
        <v>45812</v>
      </c>
      <c r="I238" s="507">
        <v>45817</v>
      </c>
      <c r="J238" s="450">
        <f>I238-G238</f>
        <v>20</v>
      </c>
      <c r="K238" s="450">
        <f ca="1">I1-H238</f>
        <v>101</v>
      </c>
      <c r="L238" s="310" t="s">
        <v>458</v>
      </c>
      <c r="M238" s="313">
        <v>45817</v>
      </c>
      <c r="N238" s="313">
        <v>45835</v>
      </c>
      <c r="O238" s="314" t="s">
        <v>459</v>
      </c>
      <c r="P238" s="310">
        <f>N238-M238</f>
        <v>18</v>
      </c>
      <c r="Q238" s="310">
        <f ca="1">I1-N238</f>
        <v>78</v>
      </c>
      <c r="R238" s="391"/>
      <c r="S238" s="391" t="s">
        <v>489</v>
      </c>
      <c r="T238" s="391" t="str">
        <f>O238</f>
        <v>CAT - III</v>
      </c>
      <c r="U238" s="391" t="s">
        <v>464</v>
      </c>
      <c r="V238" s="444"/>
    </row>
    <row r="239" spans="1:22" x14ac:dyDescent="0.3">
      <c r="A239" s="511"/>
      <c r="B239" s="442"/>
      <c r="C239" s="512"/>
      <c r="D239" s="514"/>
      <c r="E239" s="442"/>
      <c r="F239" s="442"/>
      <c r="G239" s="508"/>
      <c r="H239" s="508"/>
      <c r="I239" s="508"/>
      <c r="J239" s="510"/>
      <c r="K239" s="510"/>
      <c r="L239" s="310" t="s">
        <v>460</v>
      </c>
      <c r="M239" s="313">
        <v>45856</v>
      </c>
      <c r="N239" s="313">
        <v>45876</v>
      </c>
      <c r="O239" s="314" t="s">
        <v>459</v>
      </c>
      <c r="P239" s="310">
        <f>N239-M239</f>
        <v>20</v>
      </c>
      <c r="Q239" s="310">
        <f>M240-N239</f>
        <v>18</v>
      </c>
      <c r="R239" s="391"/>
      <c r="S239" s="391"/>
      <c r="T239" s="391"/>
      <c r="U239" s="391"/>
      <c r="V239" s="498"/>
    </row>
    <row r="240" spans="1:22" x14ac:dyDescent="0.3">
      <c r="A240" s="453"/>
      <c r="B240" s="443"/>
      <c r="C240" s="457"/>
      <c r="D240" s="515"/>
      <c r="E240" s="443"/>
      <c r="F240" s="443"/>
      <c r="G240" s="509"/>
      <c r="H240" s="509"/>
      <c r="I240" s="509"/>
      <c r="J240" s="451"/>
      <c r="K240" s="451"/>
      <c r="L240" s="310" t="s">
        <v>462</v>
      </c>
      <c r="M240" s="313">
        <v>45894</v>
      </c>
      <c r="N240" s="313">
        <v>45904</v>
      </c>
      <c r="O240" s="314" t="s">
        <v>459</v>
      </c>
      <c r="P240" s="310">
        <f>N240-M240</f>
        <v>10</v>
      </c>
      <c r="Q240" s="310">
        <f ca="1">I1-N240</f>
        <v>9</v>
      </c>
      <c r="R240" s="310"/>
      <c r="S240" s="391"/>
      <c r="T240" s="391"/>
      <c r="U240" s="391"/>
      <c r="V240" s="445"/>
    </row>
    <row r="241" spans="1:22" x14ac:dyDescent="0.3">
      <c r="A241" s="405">
        <v>6</v>
      </c>
      <c r="B241" s="407" t="s">
        <v>686</v>
      </c>
      <c r="C241" s="409" t="s">
        <v>687</v>
      </c>
      <c r="D241" s="411" t="s">
        <v>695</v>
      </c>
      <c r="E241" s="407" t="s">
        <v>696</v>
      </c>
      <c r="F241" s="407" t="s">
        <v>457</v>
      </c>
      <c r="G241" s="504">
        <v>45813</v>
      </c>
      <c r="H241" s="504">
        <f>G241+15</f>
        <v>45828</v>
      </c>
      <c r="I241" s="504">
        <f>M241</f>
        <v>45868</v>
      </c>
      <c r="J241" s="417">
        <f>I241-G241</f>
        <v>55</v>
      </c>
      <c r="K241" s="417">
        <f ca="1">I1-H241</f>
        <v>85</v>
      </c>
      <c r="L241" s="262" t="s">
        <v>458</v>
      </c>
      <c r="M241" s="265">
        <v>45868</v>
      </c>
      <c r="N241" s="265">
        <v>45891</v>
      </c>
      <c r="O241" s="266" t="s">
        <v>459</v>
      </c>
      <c r="P241" s="262">
        <f>N241-M241</f>
        <v>23</v>
      </c>
      <c r="Q241" s="262">
        <f>M242-N241</f>
        <v>14</v>
      </c>
      <c r="R241" s="262"/>
      <c r="S241" s="407" t="s">
        <v>482</v>
      </c>
      <c r="T241" s="407" t="str">
        <f>O241</f>
        <v>CAT - III</v>
      </c>
      <c r="U241" s="407" t="s">
        <v>461</v>
      </c>
      <c r="V241" s="415"/>
    </row>
    <row r="242" spans="1:22" x14ac:dyDescent="0.3">
      <c r="A242" s="406"/>
      <c r="B242" s="408"/>
      <c r="C242" s="410"/>
      <c r="D242" s="412"/>
      <c r="E242" s="408"/>
      <c r="F242" s="408"/>
      <c r="G242" s="506"/>
      <c r="H242" s="506"/>
      <c r="I242" s="506"/>
      <c r="J242" s="418"/>
      <c r="K242" s="418"/>
      <c r="L242" s="262" t="s">
        <v>460</v>
      </c>
      <c r="M242" s="265">
        <v>45905</v>
      </c>
      <c r="N242" s="265"/>
      <c r="O242" s="266"/>
      <c r="P242" s="262">
        <f ca="1">I1-M242</f>
        <v>8</v>
      </c>
      <c r="Q242" s="262"/>
      <c r="R242" s="262"/>
      <c r="S242" s="408"/>
      <c r="T242" s="408"/>
      <c r="U242" s="408"/>
      <c r="V242" s="416"/>
    </row>
    <row r="243" spans="1:22" ht="30" x14ac:dyDescent="0.3">
      <c r="A243" s="309">
        <v>7</v>
      </c>
      <c r="B243" s="310" t="s">
        <v>686</v>
      </c>
      <c r="C243" s="311" t="s">
        <v>687</v>
      </c>
      <c r="D243" s="312" t="s">
        <v>697</v>
      </c>
      <c r="E243" s="310" t="s">
        <v>698</v>
      </c>
      <c r="F243" s="310" t="s">
        <v>457</v>
      </c>
      <c r="G243" s="316">
        <v>45809</v>
      </c>
      <c r="H243" s="316">
        <f>G243+15</f>
        <v>45824</v>
      </c>
      <c r="I243" s="316">
        <f>M243</f>
        <v>45878</v>
      </c>
      <c r="J243" s="339">
        <f>I243-G243</f>
        <v>69</v>
      </c>
      <c r="K243" s="339">
        <f ca="1">I1-H243</f>
        <v>89</v>
      </c>
      <c r="L243" s="310" t="s">
        <v>458</v>
      </c>
      <c r="M243" s="313">
        <v>45878</v>
      </c>
      <c r="N243" s="313">
        <v>45897</v>
      </c>
      <c r="O243" s="314" t="s">
        <v>459</v>
      </c>
      <c r="P243" s="310">
        <f ca="1">I1-M243</f>
        <v>35</v>
      </c>
      <c r="Q243" s="310"/>
      <c r="R243" s="310"/>
      <c r="S243" s="310" t="s">
        <v>489</v>
      </c>
      <c r="T243" s="310" t="str">
        <f>O243</f>
        <v>CAT - III</v>
      </c>
      <c r="U243" s="310" t="s">
        <v>464</v>
      </c>
      <c r="V243" s="315"/>
    </row>
    <row r="244" spans="1:22" ht="30" x14ac:dyDescent="0.3">
      <c r="A244" s="296">
        <v>8</v>
      </c>
      <c r="B244" s="257" t="s">
        <v>686</v>
      </c>
      <c r="C244" s="267" t="s">
        <v>687</v>
      </c>
      <c r="D244" s="268" t="s">
        <v>699</v>
      </c>
      <c r="E244" s="259" t="s">
        <v>700</v>
      </c>
      <c r="F244" s="259" t="s">
        <v>457</v>
      </c>
      <c r="G244" s="282">
        <v>45802</v>
      </c>
      <c r="H244" s="282">
        <f>G244+15</f>
        <v>45817</v>
      </c>
      <c r="I244" s="284"/>
      <c r="J244" s="337">
        <f t="shared" ref="J244:J245" ca="1" si="23">$I$1-G244</f>
        <v>111</v>
      </c>
      <c r="K244" s="340">
        <f ca="1">$I$1-H244</f>
        <v>96</v>
      </c>
      <c r="L244" s="291"/>
      <c r="M244" s="275"/>
      <c r="N244" s="275"/>
      <c r="O244" s="276"/>
      <c r="P244" s="259"/>
      <c r="Q244" s="259"/>
      <c r="R244" s="259"/>
      <c r="S244" s="259"/>
      <c r="T244" s="259"/>
      <c r="U244" s="259"/>
      <c r="V244" s="300"/>
    </row>
    <row r="245" spans="1:22" ht="30" x14ac:dyDescent="0.3">
      <c r="A245" s="296">
        <v>9</v>
      </c>
      <c r="B245" s="257" t="s">
        <v>686</v>
      </c>
      <c r="C245" s="267" t="s">
        <v>687</v>
      </c>
      <c r="D245" s="268" t="s">
        <v>701</v>
      </c>
      <c r="E245" s="259" t="s">
        <v>702</v>
      </c>
      <c r="F245" s="259" t="s">
        <v>457</v>
      </c>
      <c r="G245" s="282">
        <v>45797</v>
      </c>
      <c r="H245" s="282">
        <f>G245+15</f>
        <v>45812</v>
      </c>
      <c r="I245" s="284"/>
      <c r="J245" s="337">
        <f t="shared" ca="1" si="23"/>
        <v>116</v>
      </c>
      <c r="K245" s="340">
        <f ca="1">$I$1-H245</f>
        <v>101</v>
      </c>
      <c r="L245" s="291"/>
      <c r="M245" s="275"/>
      <c r="N245" s="275"/>
      <c r="O245" s="276"/>
      <c r="P245" s="259"/>
      <c r="Q245" s="259"/>
      <c r="R245" s="259"/>
      <c r="S245" s="259"/>
      <c r="T245" s="259"/>
      <c r="U245" s="259"/>
      <c r="V245" s="300"/>
    </row>
    <row r="246" spans="1:22" x14ac:dyDescent="0.3">
      <c r="A246" s="369">
        <v>10</v>
      </c>
      <c r="B246" s="371" t="s">
        <v>686</v>
      </c>
      <c r="C246" s="373" t="s">
        <v>687</v>
      </c>
      <c r="D246" s="373" t="s">
        <v>703</v>
      </c>
      <c r="E246" s="371" t="s">
        <v>704</v>
      </c>
      <c r="F246" s="371" t="s">
        <v>457</v>
      </c>
      <c r="G246" s="502">
        <v>45782</v>
      </c>
      <c r="H246" s="502">
        <f>G246+15</f>
        <v>45797</v>
      </c>
      <c r="I246" s="502">
        <v>45846</v>
      </c>
      <c r="J246" s="403">
        <f>I246-G246</f>
        <v>64</v>
      </c>
      <c r="K246" s="403">
        <f>N248-I246</f>
        <v>29</v>
      </c>
      <c r="L246" s="270" t="s">
        <v>458</v>
      </c>
      <c r="M246" s="273">
        <v>45846</v>
      </c>
      <c r="N246" s="273">
        <v>45848</v>
      </c>
      <c r="O246" s="274" t="s">
        <v>459</v>
      </c>
      <c r="P246" s="270">
        <f t="shared" ref="P246:P251" si="24">N246-M246</f>
        <v>2</v>
      </c>
      <c r="Q246" s="270">
        <f>M247-N246</f>
        <v>6</v>
      </c>
      <c r="R246" s="377">
        <f>N248</f>
        <v>45875</v>
      </c>
      <c r="S246" s="371" t="s">
        <v>397</v>
      </c>
      <c r="T246" s="371" t="str">
        <f>O248</f>
        <v>CAT - I</v>
      </c>
      <c r="U246" s="371" t="s">
        <v>397</v>
      </c>
      <c r="V246" s="422"/>
    </row>
    <row r="247" spans="1:22" x14ac:dyDescent="0.3">
      <c r="A247" s="370"/>
      <c r="B247" s="372"/>
      <c r="C247" s="374"/>
      <c r="D247" s="374"/>
      <c r="E247" s="372"/>
      <c r="F247" s="372"/>
      <c r="G247" s="503"/>
      <c r="H247" s="503"/>
      <c r="I247" s="503"/>
      <c r="J247" s="396"/>
      <c r="K247" s="396"/>
      <c r="L247" s="270" t="s">
        <v>460</v>
      </c>
      <c r="M247" s="273">
        <v>45854</v>
      </c>
      <c r="N247" s="273">
        <v>45861</v>
      </c>
      <c r="O247" s="274" t="s">
        <v>459</v>
      </c>
      <c r="P247" s="270">
        <f t="shared" si="24"/>
        <v>7</v>
      </c>
      <c r="Q247" s="270">
        <f>M248-N247</f>
        <v>12</v>
      </c>
      <c r="R247" s="371"/>
      <c r="S247" s="372"/>
      <c r="T247" s="372"/>
      <c r="U247" s="372"/>
      <c r="V247" s="426"/>
    </row>
    <row r="248" spans="1:22" x14ac:dyDescent="0.3">
      <c r="A248" s="370"/>
      <c r="B248" s="372"/>
      <c r="C248" s="374"/>
      <c r="D248" s="374"/>
      <c r="E248" s="372"/>
      <c r="F248" s="372"/>
      <c r="G248" s="503"/>
      <c r="H248" s="503"/>
      <c r="I248" s="503"/>
      <c r="J248" s="396"/>
      <c r="K248" s="396"/>
      <c r="L248" s="270" t="s">
        <v>462</v>
      </c>
      <c r="M248" s="273">
        <v>45873</v>
      </c>
      <c r="N248" s="273">
        <v>45875</v>
      </c>
      <c r="O248" s="274" t="s">
        <v>472</v>
      </c>
      <c r="P248" s="270">
        <f t="shared" si="24"/>
        <v>2</v>
      </c>
      <c r="Q248" s="270"/>
      <c r="R248" s="371"/>
      <c r="S248" s="372"/>
      <c r="T248" s="372"/>
      <c r="U248" s="372"/>
      <c r="V248" s="423"/>
    </row>
    <row r="249" spans="1:22" x14ac:dyDescent="0.3">
      <c r="A249" s="400">
        <v>11</v>
      </c>
      <c r="B249" s="391" t="s">
        <v>686</v>
      </c>
      <c r="C249" s="401" t="s">
        <v>687</v>
      </c>
      <c r="D249" s="402" t="s">
        <v>705</v>
      </c>
      <c r="E249" s="391" t="s">
        <v>706</v>
      </c>
      <c r="F249" s="391" t="s">
        <v>457</v>
      </c>
      <c r="G249" s="517">
        <v>45809</v>
      </c>
      <c r="H249" s="517">
        <f>G249+15</f>
        <v>45824</v>
      </c>
      <c r="I249" s="517">
        <f>M249</f>
        <v>45859</v>
      </c>
      <c r="J249" s="395">
        <f>I249-G249</f>
        <v>50</v>
      </c>
      <c r="K249" s="395">
        <f ca="1">I1-H249</f>
        <v>89</v>
      </c>
      <c r="L249" s="310" t="s">
        <v>458</v>
      </c>
      <c r="M249" s="313">
        <v>45859</v>
      </c>
      <c r="N249" s="313">
        <v>45875</v>
      </c>
      <c r="O249" s="314" t="s">
        <v>459</v>
      </c>
      <c r="P249" s="310">
        <f t="shared" si="24"/>
        <v>16</v>
      </c>
      <c r="Q249" s="310">
        <f ca="1">I1-N249</f>
        <v>38</v>
      </c>
      <c r="R249" s="310"/>
      <c r="S249" s="391" t="s">
        <v>489</v>
      </c>
      <c r="T249" s="391" t="str">
        <f>O250</f>
        <v>CAT - II</v>
      </c>
      <c r="U249" s="391" t="s">
        <v>464</v>
      </c>
      <c r="V249" s="392"/>
    </row>
    <row r="250" spans="1:22" x14ac:dyDescent="0.3">
      <c r="A250" s="490"/>
      <c r="B250" s="491"/>
      <c r="C250" s="516"/>
      <c r="D250" s="492"/>
      <c r="E250" s="491"/>
      <c r="F250" s="491"/>
      <c r="G250" s="518"/>
      <c r="H250" s="518"/>
      <c r="I250" s="518"/>
      <c r="J250" s="497"/>
      <c r="K250" s="497"/>
      <c r="L250" s="310" t="s">
        <v>458</v>
      </c>
      <c r="M250" s="313">
        <v>45880</v>
      </c>
      <c r="N250" s="313">
        <v>45882</v>
      </c>
      <c r="O250" s="314" t="s">
        <v>481</v>
      </c>
      <c r="P250" s="310">
        <f t="shared" si="24"/>
        <v>2</v>
      </c>
      <c r="Q250" s="310">
        <f ca="1">I1-N250</f>
        <v>31</v>
      </c>
      <c r="R250" s="308"/>
      <c r="S250" s="491"/>
      <c r="T250" s="491"/>
      <c r="U250" s="491"/>
      <c r="V250" s="495"/>
    </row>
    <row r="251" spans="1:22" x14ac:dyDescent="0.3">
      <c r="A251" s="369">
        <v>12</v>
      </c>
      <c r="B251" s="371" t="s">
        <v>686</v>
      </c>
      <c r="C251" s="373" t="s">
        <v>687</v>
      </c>
      <c r="D251" s="375" t="s">
        <v>707</v>
      </c>
      <c r="E251" s="371" t="s">
        <v>708</v>
      </c>
      <c r="F251" s="371" t="s">
        <v>457</v>
      </c>
      <c r="G251" s="502">
        <v>45792</v>
      </c>
      <c r="H251" s="502">
        <f>G251+15</f>
        <v>45807</v>
      </c>
      <c r="I251" s="502">
        <f>M251</f>
        <v>45877</v>
      </c>
      <c r="J251" s="403">
        <f>I251-G251</f>
        <v>85</v>
      </c>
      <c r="K251" s="403">
        <f ca="1">I1-H251</f>
        <v>106</v>
      </c>
      <c r="L251" s="270" t="s">
        <v>458</v>
      </c>
      <c r="M251" s="273">
        <v>45877</v>
      </c>
      <c r="N251" s="273">
        <v>45878</v>
      </c>
      <c r="O251" s="274" t="s">
        <v>459</v>
      </c>
      <c r="P251" s="270">
        <f t="shared" si="24"/>
        <v>1</v>
      </c>
      <c r="Q251" s="270">
        <f ca="1">I1-N251</f>
        <v>35</v>
      </c>
      <c r="R251" s="371"/>
      <c r="S251" s="371" t="s">
        <v>397</v>
      </c>
      <c r="T251" s="371" t="str">
        <f>O253</f>
        <v>CAT - I</v>
      </c>
      <c r="U251" s="371" t="s">
        <v>397</v>
      </c>
      <c r="V251" s="422"/>
    </row>
    <row r="252" spans="1:22" x14ac:dyDescent="0.3">
      <c r="A252" s="369"/>
      <c r="B252" s="371"/>
      <c r="C252" s="373"/>
      <c r="D252" s="375"/>
      <c r="E252" s="371"/>
      <c r="F252" s="371"/>
      <c r="G252" s="502"/>
      <c r="H252" s="502"/>
      <c r="I252" s="502"/>
      <c r="J252" s="403"/>
      <c r="K252" s="403"/>
      <c r="L252" s="270" t="s">
        <v>460</v>
      </c>
      <c r="M252" s="273">
        <v>45880</v>
      </c>
      <c r="N252" s="273">
        <v>45882</v>
      </c>
      <c r="O252" s="274" t="s">
        <v>481</v>
      </c>
      <c r="P252" s="270">
        <f>N252-M252</f>
        <v>2</v>
      </c>
      <c r="Q252" s="270">
        <f>M253-N252</f>
        <v>7</v>
      </c>
      <c r="R252" s="371"/>
      <c r="S252" s="371"/>
      <c r="T252" s="371"/>
      <c r="U252" s="371"/>
      <c r="V252" s="426"/>
    </row>
    <row r="253" spans="1:22" x14ac:dyDescent="0.3">
      <c r="A253" s="369"/>
      <c r="B253" s="371"/>
      <c r="C253" s="373"/>
      <c r="D253" s="375"/>
      <c r="E253" s="371"/>
      <c r="F253" s="371"/>
      <c r="G253" s="502"/>
      <c r="H253" s="502"/>
      <c r="I253" s="502"/>
      <c r="J253" s="403"/>
      <c r="K253" s="403"/>
      <c r="L253" s="270" t="s">
        <v>462</v>
      </c>
      <c r="M253" s="273">
        <v>45889</v>
      </c>
      <c r="N253" s="273">
        <v>45894</v>
      </c>
      <c r="O253" s="274" t="s">
        <v>472</v>
      </c>
      <c r="P253" s="270">
        <f>N253-M253</f>
        <v>5</v>
      </c>
      <c r="Q253" s="270"/>
      <c r="R253" s="371"/>
      <c r="S253" s="371"/>
      <c r="T253" s="371"/>
      <c r="U253" s="371"/>
      <c r="V253" s="423"/>
    </row>
    <row r="254" spans="1:22" ht="30" x14ac:dyDescent="0.3">
      <c r="A254" s="296">
        <v>13</v>
      </c>
      <c r="B254" s="257" t="s">
        <v>686</v>
      </c>
      <c r="C254" s="267" t="s">
        <v>687</v>
      </c>
      <c r="D254" s="268" t="s">
        <v>709</v>
      </c>
      <c r="E254" s="259" t="s">
        <v>710</v>
      </c>
      <c r="F254" s="259" t="s">
        <v>457</v>
      </c>
      <c r="G254" s="282">
        <v>45784</v>
      </c>
      <c r="H254" s="282">
        <f t="shared" ref="H254:H278" si="25">G254+15</f>
        <v>45799</v>
      </c>
      <c r="I254" s="284"/>
      <c r="J254" s="337">
        <f t="shared" ref="J254:K262" ca="1" si="26">$I$1-G254</f>
        <v>129</v>
      </c>
      <c r="K254" s="340">
        <f t="shared" ca="1" si="26"/>
        <v>114</v>
      </c>
      <c r="L254" s="291"/>
      <c r="M254" s="285"/>
      <c r="N254" s="285"/>
      <c r="O254" s="276"/>
      <c r="P254" s="259"/>
      <c r="Q254" s="259"/>
      <c r="R254" s="259"/>
      <c r="S254" s="259"/>
      <c r="T254" s="259"/>
      <c r="U254" s="259"/>
      <c r="V254" s="300"/>
    </row>
    <row r="255" spans="1:22" ht="30" x14ac:dyDescent="0.3">
      <c r="A255" s="294">
        <v>14</v>
      </c>
      <c r="B255" s="262" t="s">
        <v>686</v>
      </c>
      <c r="C255" s="263" t="s">
        <v>687</v>
      </c>
      <c r="D255" s="264" t="s">
        <v>711</v>
      </c>
      <c r="E255" s="262" t="s">
        <v>712</v>
      </c>
      <c r="F255" s="262" t="s">
        <v>457</v>
      </c>
      <c r="G255" s="283">
        <v>45809</v>
      </c>
      <c r="H255" s="283">
        <f t="shared" si="25"/>
        <v>45824</v>
      </c>
      <c r="I255" s="283"/>
      <c r="J255" s="336">
        <f t="shared" ca="1" si="26"/>
        <v>104</v>
      </c>
      <c r="K255" s="336">
        <f t="shared" ca="1" si="26"/>
        <v>89</v>
      </c>
      <c r="L255" s="301" t="s">
        <v>458</v>
      </c>
      <c r="M255" s="265">
        <v>45905</v>
      </c>
      <c r="N255" s="265"/>
      <c r="O255" s="266" t="s">
        <v>458</v>
      </c>
      <c r="P255" s="262">
        <f ca="1">I1-M255</f>
        <v>8</v>
      </c>
      <c r="Q255" s="262"/>
      <c r="R255" s="262"/>
      <c r="S255" s="262" t="s">
        <v>482</v>
      </c>
      <c r="T255" s="262" t="str">
        <f>O255</f>
        <v>R0</v>
      </c>
      <c r="U255" s="262" t="s">
        <v>461</v>
      </c>
      <c r="V255" s="295"/>
    </row>
    <row r="256" spans="1:22" ht="30" x14ac:dyDescent="0.3">
      <c r="A256" s="294">
        <v>15</v>
      </c>
      <c r="B256" s="262" t="s">
        <v>686</v>
      </c>
      <c r="C256" s="263" t="s">
        <v>687</v>
      </c>
      <c r="D256" s="264" t="s">
        <v>713</v>
      </c>
      <c r="E256" s="262" t="s">
        <v>714</v>
      </c>
      <c r="F256" s="262" t="s">
        <v>467</v>
      </c>
      <c r="G256" s="283">
        <v>45797</v>
      </c>
      <c r="H256" s="283">
        <f t="shared" si="25"/>
        <v>45812</v>
      </c>
      <c r="I256" s="283"/>
      <c r="J256" s="336">
        <f t="shared" ca="1" si="26"/>
        <v>116</v>
      </c>
      <c r="K256" s="336">
        <f t="shared" ca="1" si="26"/>
        <v>101</v>
      </c>
      <c r="L256" s="301" t="s">
        <v>458</v>
      </c>
      <c r="M256" s="265">
        <v>45901</v>
      </c>
      <c r="N256" s="265"/>
      <c r="O256" s="266" t="s">
        <v>458</v>
      </c>
      <c r="P256" s="262">
        <f ca="1">I1-M256</f>
        <v>12</v>
      </c>
      <c r="Q256" s="262"/>
      <c r="R256" s="262"/>
      <c r="S256" s="262" t="s">
        <v>482</v>
      </c>
      <c r="T256" s="262" t="str">
        <f>O256</f>
        <v>R0</v>
      </c>
      <c r="U256" s="262" t="s">
        <v>461</v>
      </c>
      <c r="V256" s="295"/>
    </row>
    <row r="257" spans="1:22" ht="30" x14ac:dyDescent="0.3">
      <c r="A257" s="296">
        <v>16</v>
      </c>
      <c r="B257" s="257" t="s">
        <v>686</v>
      </c>
      <c r="C257" s="267" t="s">
        <v>687</v>
      </c>
      <c r="D257" s="268" t="s">
        <v>715</v>
      </c>
      <c r="E257" s="259" t="s">
        <v>716</v>
      </c>
      <c r="F257" s="259" t="s">
        <v>467</v>
      </c>
      <c r="G257" s="282">
        <v>45797</v>
      </c>
      <c r="H257" s="282">
        <f t="shared" si="25"/>
        <v>45812</v>
      </c>
      <c r="I257" s="284"/>
      <c r="J257" s="337">
        <f t="shared" ca="1" si="26"/>
        <v>116</v>
      </c>
      <c r="K257" s="340">
        <f t="shared" ca="1" si="26"/>
        <v>101</v>
      </c>
      <c r="L257" s="291"/>
      <c r="M257" s="275"/>
      <c r="N257" s="275"/>
      <c r="O257" s="276"/>
      <c r="P257" s="259"/>
      <c r="Q257" s="259"/>
      <c r="R257" s="259"/>
      <c r="S257" s="259"/>
      <c r="T257" s="259"/>
      <c r="U257" s="259"/>
      <c r="V257" s="300"/>
    </row>
    <row r="258" spans="1:22" ht="30" x14ac:dyDescent="0.3">
      <c r="A258" s="296">
        <v>17</v>
      </c>
      <c r="B258" s="257" t="s">
        <v>686</v>
      </c>
      <c r="C258" s="267" t="s">
        <v>687</v>
      </c>
      <c r="D258" s="268" t="s">
        <v>717</v>
      </c>
      <c r="E258" s="259" t="s">
        <v>718</v>
      </c>
      <c r="F258" s="259" t="s">
        <v>457</v>
      </c>
      <c r="G258" s="282">
        <v>45797</v>
      </c>
      <c r="H258" s="282">
        <f t="shared" si="25"/>
        <v>45812</v>
      </c>
      <c r="I258" s="284"/>
      <c r="J258" s="337">
        <f t="shared" ca="1" si="26"/>
        <v>116</v>
      </c>
      <c r="K258" s="340">
        <f t="shared" ca="1" si="26"/>
        <v>101</v>
      </c>
      <c r="L258" s="291"/>
      <c r="M258" s="275"/>
      <c r="N258" s="275"/>
      <c r="O258" s="276"/>
      <c r="P258" s="259"/>
      <c r="Q258" s="259"/>
      <c r="R258" s="259"/>
      <c r="S258" s="259"/>
      <c r="T258" s="259"/>
      <c r="U258" s="259"/>
      <c r="V258" s="300"/>
    </row>
    <row r="259" spans="1:22" ht="30" x14ac:dyDescent="0.3">
      <c r="A259" s="298">
        <v>18</v>
      </c>
      <c r="B259" s="270" t="s">
        <v>686</v>
      </c>
      <c r="C259" s="271" t="s">
        <v>687</v>
      </c>
      <c r="D259" s="272" t="s">
        <v>719</v>
      </c>
      <c r="E259" s="270" t="s">
        <v>720</v>
      </c>
      <c r="F259" s="270" t="s">
        <v>467</v>
      </c>
      <c r="G259" s="281">
        <v>45805</v>
      </c>
      <c r="H259" s="281">
        <f t="shared" si="25"/>
        <v>45820</v>
      </c>
      <c r="I259" s="281">
        <f>M259</f>
        <v>45898</v>
      </c>
      <c r="J259" s="338">
        <f>I259-G259</f>
        <v>93</v>
      </c>
      <c r="K259" s="338">
        <f t="shared" ca="1" si="26"/>
        <v>93</v>
      </c>
      <c r="L259" s="317" t="s">
        <v>458</v>
      </c>
      <c r="M259" s="273">
        <v>45898</v>
      </c>
      <c r="N259" s="273">
        <v>45901</v>
      </c>
      <c r="O259" s="274" t="s">
        <v>511</v>
      </c>
      <c r="P259" s="270">
        <f>N259-M259</f>
        <v>3</v>
      </c>
      <c r="Q259" s="270"/>
      <c r="R259" s="270"/>
      <c r="S259" s="270" t="s">
        <v>397</v>
      </c>
      <c r="T259" s="270" t="str">
        <f>O259</f>
        <v xml:space="preserve">CAT -IV </v>
      </c>
      <c r="U259" s="270" t="s">
        <v>397</v>
      </c>
      <c r="V259" s="299"/>
    </row>
    <row r="260" spans="1:22" ht="30" x14ac:dyDescent="0.3">
      <c r="A260" s="296">
        <v>19</v>
      </c>
      <c r="B260" s="257" t="s">
        <v>686</v>
      </c>
      <c r="C260" s="267" t="s">
        <v>687</v>
      </c>
      <c r="D260" s="268" t="s">
        <v>721</v>
      </c>
      <c r="E260" s="259" t="s">
        <v>722</v>
      </c>
      <c r="F260" s="259" t="s">
        <v>457</v>
      </c>
      <c r="G260" s="282">
        <v>45805</v>
      </c>
      <c r="H260" s="282">
        <f t="shared" si="25"/>
        <v>45820</v>
      </c>
      <c r="I260" s="284"/>
      <c r="J260" s="337">
        <f t="shared" ca="1" si="26"/>
        <v>108</v>
      </c>
      <c r="K260" s="340">
        <f t="shared" ca="1" si="26"/>
        <v>93</v>
      </c>
      <c r="L260" s="291"/>
      <c r="M260" s="275"/>
      <c r="N260" s="275"/>
      <c r="O260" s="276"/>
      <c r="P260" s="259"/>
      <c r="Q260" s="259"/>
      <c r="R260" s="259"/>
      <c r="S260" s="259"/>
      <c r="T260" s="259"/>
      <c r="U260" s="259"/>
      <c r="V260" s="300"/>
    </row>
    <row r="261" spans="1:22" ht="30" x14ac:dyDescent="0.3">
      <c r="A261" s="296">
        <v>20</v>
      </c>
      <c r="B261" s="257" t="s">
        <v>686</v>
      </c>
      <c r="C261" s="267" t="s">
        <v>687</v>
      </c>
      <c r="D261" s="268" t="s">
        <v>723</v>
      </c>
      <c r="E261" s="259" t="s">
        <v>724</v>
      </c>
      <c r="F261" s="259" t="s">
        <v>467</v>
      </c>
      <c r="G261" s="282">
        <v>45834</v>
      </c>
      <c r="H261" s="282">
        <f t="shared" si="25"/>
        <v>45849</v>
      </c>
      <c r="I261" s="284"/>
      <c r="J261" s="337">
        <f t="shared" ca="1" si="26"/>
        <v>79</v>
      </c>
      <c r="K261" s="340">
        <f t="shared" ca="1" si="26"/>
        <v>64</v>
      </c>
      <c r="L261" s="291"/>
      <c r="M261" s="275"/>
      <c r="N261" s="275"/>
      <c r="O261" s="276"/>
      <c r="P261" s="259"/>
      <c r="Q261" s="259"/>
      <c r="R261" s="259"/>
      <c r="S261" s="259"/>
      <c r="T261" s="259"/>
      <c r="U261" s="259"/>
      <c r="V261" s="300"/>
    </row>
    <row r="262" spans="1:22" ht="30" x14ac:dyDescent="0.3">
      <c r="A262" s="296">
        <v>21</v>
      </c>
      <c r="B262" s="257" t="s">
        <v>686</v>
      </c>
      <c r="C262" s="267" t="s">
        <v>687</v>
      </c>
      <c r="D262" s="268" t="s">
        <v>725</v>
      </c>
      <c r="E262" s="259" t="s">
        <v>726</v>
      </c>
      <c r="F262" s="259" t="s">
        <v>457</v>
      </c>
      <c r="G262" s="282">
        <v>45840</v>
      </c>
      <c r="H262" s="282">
        <f t="shared" si="25"/>
        <v>45855</v>
      </c>
      <c r="I262" s="284"/>
      <c r="J262" s="337">
        <f t="shared" ca="1" si="26"/>
        <v>73</v>
      </c>
      <c r="K262" s="340">
        <f t="shared" ca="1" si="26"/>
        <v>58</v>
      </c>
      <c r="L262" s="291"/>
      <c r="M262" s="275"/>
      <c r="N262" s="275"/>
      <c r="O262" s="276"/>
      <c r="P262" s="259"/>
      <c r="Q262" s="259"/>
      <c r="R262" s="259"/>
      <c r="S262" s="259"/>
      <c r="T262" s="259"/>
      <c r="U262" s="259"/>
      <c r="V262" s="300"/>
    </row>
    <row r="263" spans="1:22" ht="30" x14ac:dyDescent="0.3">
      <c r="A263" s="298">
        <v>22</v>
      </c>
      <c r="B263" s="270" t="s">
        <v>686</v>
      </c>
      <c r="C263" s="271" t="s">
        <v>687</v>
      </c>
      <c r="D263" s="272" t="s">
        <v>727</v>
      </c>
      <c r="E263" s="270" t="s">
        <v>728</v>
      </c>
      <c r="F263" s="270" t="s">
        <v>467</v>
      </c>
      <c r="G263" s="281">
        <v>45813</v>
      </c>
      <c r="H263" s="281">
        <f t="shared" si="25"/>
        <v>45828</v>
      </c>
      <c r="I263" s="281">
        <v>45854</v>
      </c>
      <c r="J263" s="338">
        <f>I263-G263</f>
        <v>41</v>
      </c>
      <c r="K263" s="338">
        <f>N263-H263</f>
        <v>31</v>
      </c>
      <c r="L263" s="270" t="s">
        <v>458</v>
      </c>
      <c r="M263" s="273">
        <v>45854</v>
      </c>
      <c r="N263" s="273">
        <v>45859</v>
      </c>
      <c r="O263" s="274" t="s">
        <v>511</v>
      </c>
      <c r="P263" s="270">
        <f>N263-M263</f>
        <v>5</v>
      </c>
      <c r="Q263" s="270"/>
      <c r="R263" s="273">
        <f>N263</f>
        <v>45859</v>
      </c>
      <c r="S263" s="270" t="s">
        <v>397</v>
      </c>
      <c r="T263" s="270" t="str">
        <f>O263</f>
        <v xml:space="preserve">CAT -IV </v>
      </c>
      <c r="U263" s="270" t="s">
        <v>397</v>
      </c>
      <c r="V263" s="299"/>
    </row>
    <row r="264" spans="1:22" x14ac:dyDescent="0.3">
      <c r="A264" s="405">
        <v>23</v>
      </c>
      <c r="B264" s="407" t="s">
        <v>686</v>
      </c>
      <c r="C264" s="446" t="s">
        <v>687</v>
      </c>
      <c r="D264" s="411" t="s">
        <v>729</v>
      </c>
      <c r="E264" s="407" t="s">
        <v>730</v>
      </c>
      <c r="F264" s="407" t="s">
        <v>457</v>
      </c>
      <c r="G264" s="504">
        <v>45826</v>
      </c>
      <c r="H264" s="504">
        <f t="shared" si="25"/>
        <v>45841</v>
      </c>
      <c r="I264" s="504">
        <v>45878</v>
      </c>
      <c r="J264" s="417">
        <f>I264-G264</f>
        <v>52</v>
      </c>
      <c r="K264" s="417">
        <f ca="1">I1-H264</f>
        <v>72</v>
      </c>
      <c r="L264" s="262" t="s">
        <v>458</v>
      </c>
      <c r="M264" s="265">
        <v>45878</v>
      </c>
      <c r="N264" s="265">
        <v>45891</v>
      </c>
      <c r="O264" s="266" t="s">
        <v>459</v>
      </c>
      <c r="P264" s="262">
        <f>N264-M264</f>
        <v>13</v>
      </c>
      <c r="Q264" s="262">
        <f>M265-N264</f>
        <v>7</v>
      </c>
      <c r="R264" s="262"/>
      <c r="S264" s="407" t="s">
        <v>482</v>
      </c>
      <c r="T264" s="407" t="str">
        <f>O264</f>
        <v>CAT - III</v>
      </c>
      <c r="U264" s="407" t="s">
        <v>461</v>
      </c>
      <c r="V264" s="415"/>
    </row>
    <row r="265" spans="1:22" x14ac:dyDescent="0.3">
      <c r="A265" s="406"/>
      <c r="B265" s="408"/>
      <c r="C265" s="447"/>
      <c r="D265" s="412"/>
      <c r="E265" s="408"/>
      <c r="F265" s="408"/>
      <c r="G265" s="506"/>
      <c r="H265" s="506"/>
      <c r="I265" s="506"/>
      <c r="J265" s="418"/>
      <c r="K265" s="418"/>
      <c r="L265" s="262" t="s">
        <v>460</v>
      </c>
      <c r="M265" s="265">
        <v>45898</v>
      </c>
      <c r="N265" s="265"/>
      <c r="O265" s="266"/>
      <c r="P265" s="262"/>
      <c r="Q265" s="262"/>
      <c r="R265" s="262"/>
      <c r="S265" s="408"/>
      <c r="T265" s="408"/>
      <c r="U265" s="408"/>
      <c r="V265" s="416"/>
    </row>
    <row r="266" spans="1:22" ht="30" x14ac:dyDescent="0.3">
      <c r="A266" s="296">
        <v>24</v>
      </c>
      <c r="B266" s="257" t="s">
        <v>686</v>
      </c>
      <c r="C266" s="267" t="s">
        <v>687</v>
      </c>
      <c r="D266" s="268" t="s">
        <v>731</v>
      </c>
      <c r="E266" s="259" t="s">
        <v>732</v>
      </c>
      <c r="F266" s="259" t="s">
        <v>467</v>
      </c>
      <c r="G266" s="282">
        <v>45853</v>
      </c>
      <c r="H266" s="282">
        <f t="shared" si="25"/>
        <v>45868</v>
      </c>
      <c r="I266" s="284"/>
      <c r="J266" s="337">
        <f t="shared" ref="J266:J268" ca="1" si="27">$I$1-G266</f>
        <v>60</v>
      </c>
      <c r="K266" s="340">
        <f ca="1">$I$1-H266</f>
        <v>45</v>
      </c>
      <c r="L266" s="291"/>
      <c r="M266" s="275"/>
      <c r="N266" s="275"/>
      <c r="O266" s="276"/>
      <c r="P266" s="259"/>
      <c r="Q266" s="259"/>
      <c r="R266" s="259"/>
      <c r="S266" s="259"/>
      <c r="T266" s="259"/>
      <c r="U266" s="259"/>
      <c r="V266" s="300"/>
    </row>
    <row r="267" spans="1:22" ht="30" x14ac:dyDescent="0.3">
      <c r="A267" s="296">
        <v>25</v>
      </c>
      <c r="B267" s="257" t="s">
        <v>686</v>
      </c>
      <c r="C267" s="267" t="s">
        <v>687</v>
      </c>
      <c r="D267" s="268" t="s">
        <v>733</v>
      </c>
      <c r="E267" s="259" t="s">
        <v>734</v>
      </c>
      <c r="F267" s="259" t="s">
        <v>467</v>
      </c>
      <c r="G267" s="282">
        <v>45874</v>
      </c>
      <c r="H267" s="282">
        <f t="shared" si="25"/>
        <v>45889</v>
      </c>
      <c r="I267" s="284"/>
      <c r="J267" s="337">
        <f t="shared" ca="1" si="27"/>
        <v>39</v>
      </c>
      <c r="K267" s="340">
        <f ca="1">$I$1-H267</f>
        <v>24</v>
      </c>
      <c r="L267" s="291"/>
      <c r="M267" s="275"/>
      <c r="N267" s="275"/>
      <c r="O267" s="276"/>
      <c r="P267" s="259"/>
      <c r="Q267" s="259"/>
      <c r="R267" s="259"/>
      <c r="S267" s="259"/>
      <c r="T267" s="259"/>
      <c r="U267" s="259"/>
      <c r="V267" s="300"/>
    </row>
    <row r="268" spans="1:22" ht="30" x14ac:dyDescent="0.3">
      <c r="A268" s="296">
        <v>26</v>
      </c>
      <c r="B268" s="257" t="s">
        <v>686</v>
      </c>
      <c r="C268" s="267" t="s">
        <v>687</v>
      </c>
      <c r="D268" s="268" t="s">
        <v>735</v>
      </c>
      <c r="E268" s="259" t="s">
        <v>736</v>
      </c>
      <c r="F268" s="259" t="s">
        <v>467</v>
      </c>
      <c r="G268" s="282">
        <v>45900</v>
      </c>
      <c r="H268" s="282">
        <f t="shared" si="25"/>
        <v>45915</v>
      </c>
      <c r="I268" s="284"/>
      <c r="J268" s="337">
        <f t="shared" ca="1" si="27"/>
        <v>13</v>
      </c>
      <c r="K268" s="340">
        <f ca="1">$I$1-H268</f>
        <v>-2</v>
      </c>
      <c r="L268" s="291"/>
      <c r="M268" s="275"/>
      <c r="N268" s="275"/>
      <c r="O268" s="276"/>
      <c r="P268" s="259"/>
      <c r="Q268" s="259"/>
      <c r="R268" s="259"/>
      <c r="S268" s="259"/>
      <c r="T268" s="259"/>
      <c r="U268" s="259"/>
      <c r="V268" s="300"/>
    </row>
    <row r="269" spans="1:22" x14ac:dyDescent="0.3">
      <c r="A269" s="452">
        <v>27</v>
      </c>
      <c r="B269" s="441" t="s">
        <v>686</v>
      </c>
      <c r="C269" s="454" t="s">
        <v>687</v>
      </c>
      <c r="D269" s="513" t="s">
        <v>737</v>
      </c>
      <c r="E269" s="441" t="s">
        <v>738</v>
      </c>
      <c r="F269" s="441" t="s">
        <v>457</v>
      </c>
      <c r="G269" s="507">
        <v>45834</v>
      </c>
      <c r="H269" s="507">
        <f t="shared" si="25"/>
        <v>45849</v>
      </c>
      <c r="I269" s="507">
        <f>M269</f>
        <v>45869</v>
      </c>
      <c r="J269" s="339">
        <f>I269-G269</f>
        <v>35</v>
      </c>
      <c r="K269" s="339">
        <f ca="1">I1-H269</f>
        <v>64</v>
      </c>
      <c r="L269" s="310" t="s">
        <v>458</v>
      </c>
      <c r="M269" s="313">
        <v>45869</v>
      </c>
      <c r="N269" s="313">
        <v>45895</v>
      </c>
      <c r="O269" s="314" t="s">
        <v>459</v>
      </c>
      <c r="P269" s="310">
        <f>N269-M269</f>
        <v>26</v>
      </c>
      <c r="Q269" s="310">
        <f ca="1">I1-N269</f>
        <v>18</v>
      </c>
      <c r="R269" s="310"/>
      <c r="S269" s="441" t="s">
        <v>489</v>
      </c>
      <c r="T269" s="441" t="str">
        <f>O269</f>
        <v>CAT - III</v>
      </c>
      <c r="U269" s="441" t="s">
        <v>464</v>
      </c>
      <c r="V269" s="444"/>
    </row>
    <row r="270" spans="1:22" x14ac:dyDescent="0.3">
      <c r="A270" s="521"/>
      <c r="B270" s="519"/>
      <c r="C270" s="522"/>
      <c r="D270" s="523"/>
      <c r="E270" s="519"/>
      <c r="F270" s="443"/>
      <c r="G270" s="524"/>
      <c r="H270" s="524"/>
      <c r="I270" s="524"/>
      <c r="J270" s="339"/>
      <c r="K270" s="339"/>
      <c r="L270" s="310"/>
      <c r="M270" s="313"/>
      <c r="N270" s="313"/>
      <c r="O270" s="314"/>
      <c r="P270" s="310"/>
      <c r="Q270" s="310"/>
      <c r="R270" s="308"/>
      <c r="S270" s="519"/>
      <c r="T270" s="519"/>
      <c r="U270" s="519"/>
      <c r="V270" s="520"/>
    </row>
    <row r="271" spans="1:22" ht="30" x14ac:dyDescent="0.3">
      <c r="A271" s="296">
        <v>28</v>
      </c>
      <c r="B271" s="257" t="s">
        <v>686</v>
      </c>
      <c r="C271" s="267" t="s">
        <v>687</v>
      </c>
      <c r="D271" s="268" t="s">
        <v>739</v>
      </c>
      <c r="E271" s="259" t="s">
        <v>740</v>
      </c>
      <c r="F271" s="259" t="s">
        <v>457</v>
      </c>
      <c r="G271" s="282">
        <v>45814</v>
      </c>
      <c r="H271" s="282">
        <f t="shared" si="25"/>
        <v>45829</v>
      </c>
      <c r="I271" s="284"/>
      <c r="J271" s="337">
        <f t="shared" ref="J271:J274" ca="1" si="28">$I$1-G271</f>
        <v>99</v>
      </c>
      <c r="K271" s="340">
        <f ca="1">$I$1-H271</f>
        <v>84</v>
      </c>
      <c r="L271" s="291"/>
      <c r="M271" s="275"/>
      <c r="N271" s="275"/>
      <c r="O271" s="276"/>
      <c r="P271" s="259"/>
      <c r="Q271" s="259"/>
      <c r="R271" s="259"/>
      <c r="S271" s="259"/>
      <c r="T271" s="259"/>
      <c r="U271" s="259"/>
      <c r="V271" s="300"/>
    </row>
    <row r="272" spans="1:22" ht="30" x14ac:dyDescent="0.3">
      <c r="A272" s="296">
        <v>29</v>
      </c>
      <c r="B272" s="257" t="s">
        <v>686</v>
      </c>
      <c r="C272" s="267" t="s">
        <v>687</v>
      </c>
      <c r="D272" s="268" t="s">
        <v>741</v>
      </c>
      <c r="E272" s="259" t="s">
        <v>742</v>
      </c>
      <c r="F272" s="259" t="s">
        <v>457</v>
      </c>
      <c r="G272" s="282">
        <v>45814</v>
      </c>
      <c r="H272" s="282">
        <f t="shared" si="25"/>
        <v>45829</v>
      </c>
      <c r="I272" s="284"/>
      <c r="J272" s="337">
        <f t="shared" ca="1" si="28"/>
        <v>99</v>
      </c>
      <c r="K272" s="340">
        <f ca="1">$I$1-H272</f>
        <v>84</v>
      </c>
      <c r="L272" s="291"/>
      <c r="M272" s="275"/>
      <c r="N272" s="275"/>
      <c r="O272" s="276"/>
      <c r="P272" s="259"/>
      <c r="Q272" s="259"/>
      <c r="R272" s="259"/>
      <c r="S272" s="259"/>
      <c r="T272" s="259"/>
      <c r="U272" s="259"/>
      <c r="V272" s="300"/>
    </row>
    <row r="273" spans="1:22" ht="30" x14ac:dyDescent="0.3">
      <c r="A273" s="296">
        <v>30</v>
      </c>
      <c r="B273" s="257" t="s">
        <v>686</v>
      </c>
      <c r="C273" s="267" t="s">
        <v>687</v>
      </c>
      <c r="D273" s="268" t="s">
        <v>743</v>
      </c>
      <c r="E273" s="259" t="s">
        <v>744</v>
      </c>
      <c r="F273" s="259" t="s">
        <v>457</v>
      </c>
      <c r="G273" s="282">
        <v>45826</v>
      </c>
      <c r="H273" s="282">
        <f t="shared" si="25"/>
        <v>45841</v>
      </c>
      <c r="I273" s="284"/>
      <c r="J273" s="337">
        <f t="shared" ca="1" si="28"/>
        <v>87</v>
      </c>
      <c r="K273" s="340">
        <f ca="1">$I$1-H273</f>
        <v>72</v>
      </c>
      <c r="L273" s="291"/>
      <c r="M273" s="275"/>
      <c r="N273" s="275"/>
      <c r="O273" s="276"/>
      <c r="P273" s="259"/>
      <c r="Q273" s="259"/>
      <c r="R273" s="259"/>
      <c r="S273" s="259"/>
      <c r="T273" s="259"/>
      <c r="U273" s="259"/>
      <c r="V273" s="300"/>
    </row>
    <row r="274" spans="1:22" ht="30" x14ac:dyDescent="0.3">
      <c r="A274" s="296">
        <v>31</v>
      </c>
      <c r="B274" s="257" t="s">
        <v>686</v>
      </c>
      <c r="C274" s="267" t="s">
        <v>687</v>
      </c>
      <c r="D274" s="268" t="s">
        <v>745</v>
      </c>
      <c r="E274" s="259" t="s">
        <v>746</v>
      </c>
      <c r="F274" s="259" t="s">
        <v>457</v>
      </c>
      <c r="G274" s="282">
        <v>45834</v>
      </c>
      <c r="H274" s="282">
        <f t="shared" si="25"/>
        <v>45849</v>
      </c>
      <c r="I274" s="284"/>
      <c r="J274" s="337">
        <f t="shared" ca="1" si="28"/>
        <v>79</v>
      </c>
      <c r="K274" s="340">
        <f ca="1">$I$1-H274</f>
        <v>64</v>
      </c>
      <c r="L274" s="291"/>
      <c r="M274" s="275"/>
      <c r="N274" s="275"/>
      <c r="O274" s="276"/>
      <c r="P274" s="259"/>
      <c r="Q274" s="259"/>
      <c r="R274" s="259"/>
      <c r="S274" s="259"/>
      <c r="T274" s="259"/>
      <c r="U274" s="259"/>
      <c r="V274" s="300"/>
    </row>
    <row r="275" spans="1:22" x14ac:dyDescent="0.3">
      <c r="A275" s="452">
        <v>32</v>
      </c>
      <c r="B275" s="441" t="s">
        <v>686</v>
      </c>
      <c r="C275" s="456" t="s">
        <v>687</v>
      </c>
      <c r="D275" s="513" t="s">
        <v>747</v>
      </c>
      <c r="E275" s="441" t="s">
        <v>748</v>
      </c>
      <c r="F275" s="441" t="s">
        <v>457</v>
      </c>
      <c r="G275" s="507">
        <v>45848</v>
      </c>
      <c r="H275" s="507">
        <f t="shared" si="25"/>
        <v>45863</v>
      </c>
      <c r="I275" s="507">
        <f>M275</f>
        <v>45869</v>
      </c>
      <c r="J275" s="450">
        <f>I275-G275</f>
        <v>21</v>
      </c>
      <c r="K275" s="450">
        <f ca="1">I1-H275</f>
        <v>50</v>
      </c>
      <c r="L275" s="310" t="s">
        <v>458</v>
      </c>
      <c r="M275" s="313">
        <v>45869</v>
      </c>
      <c r="N275" s="313">
        <v>45889</v>
      </c>
      <c r="O275" s="314" t="s">
        <v>459</v>
      </c>
      <c r="P275" s="310">
        <f ca="1">I1-M275</f>
        <v>44</v>
      </c>
      <c r="Q275" s="310">
        <f ca="1">I1-M276</f>
        <v>18</v>
      </c>
      <c r="R275" s="310"/>
      <c r="S275" s="441" t="s">
        <v>482</v>
      </c>
      <c r="T275" s="441" t="str">
        <f>O275</f>
        <v>CAT - III</v>
      </c>
      <c r="U275" s="441" t="s">
        <v>853</v>
      </c>
      <c r="V275" s="444"/>
    </row>
    <row r="276" spans="1:22" x14ac:dyDescent="0.3">
      <c r="A276" s="453"/>
      <c r="B276" s="443"/>
      <c r="C276" s="457"/>
      <c r="D276" s="515"/>
      <c r="E276" s="443"/>
      <c r="F276" s="443"/>
      <c r="G276" s="509"/>
      <c r="H276" s="509"/>
      <c r="I276" s="509"/>
      <c r="J276" s="451"/>
      <c r="K276" s="451"/>
      <c r="L276" s="310" t="s">
        <v>460</v>
      </c>
      <c r="M276" s="313">
        <v>45895</v>
      </c>
      <c r="N276" s="313">
        <v>45897</v>
      </c>
      <c r="O276" s="314"/>
      <c r="P276" s="310">
        <f>N276-M276</f>
        <v>2</v>
      </c>
      <c r="Q276" s="310"/>
      <c r="R276" s="310"/>
      <c r="S276" s="443"/>
      <c r="T276" s="443"/>
      <c r="U276" s="443"/>
      <c r="V276" s="445"/>
    </row>
    <row r="277" spans="1:22" ht="30" x14ac:dyDescent="0.3">
      <c r="A277" s="296">
        <f>A275+1</f>
        <v>33</v>
      </c>
      <c r="B277" s="257" t="s">
        <v>686</v>
      </c>
      <c r="C277" s="267" t="s">
        <v>687</v>
      </c>
      <c r="D277" s="268" t="s">
        <v>749</v>
      </c>
      <c r="E277" s="259" t="s">
        <v>750</v>
      </c>
      <c r="F277" s="259" t="s">
        <v>457</v>
      </c>
      <c r="G277" s="282">
        <v>45868</v>
      </c>
      <c r="H277" s="282">
        <f t="shared" si="25"/>
        <v>45883</v>
      </c>
      <c r="I277" s="284"/>
      <c r="J277" s="337">
        <f t="shared" ref="J277" ca="1" si="29">$I$1-G277</f>
        <v>45</v>
      </c>
      <c r="K277" s="340">
        <f ca="1">$I$1-H277</f>
        <v>30</v>
      </c>
      <c r="L277" s="291"/>
      <c r="M277" s="275"/>
      <c r="N277" s="275"/>
      <c r="O277" s="276"/>
      <c r="P277" s="259"/>
      <c r="Q277" s="259"/>
      <c r="R277" s="259"/>
      <c r="S277" s="259"/>
      <c r="T277" s="259"/>
      <c r="U277" s="259"/>
      <c r="V277" s="300"/>
    </row>
    <row r="278" spans="1:22" x14ac:dyDescent="0.3">
      <c r="A278" s="369">
        <f t="shared" ref="A278:A318" si="30">A277+1</f>
        <v>34</v>
      </c>
      <c r="B278" s="371" t="s">
        <v>686</v>
      </c>
      <c r="C278" s="373" t="s">
        <v>687</v>
      </c>
      <c r="D278" s="375" t="s">
        <v>751</v>
      </c>
      <c r="E278" s="371" t="s">
        <v>752</v>
      </c>
      <c r="F278" s="371" t="s">
        <v>457</v>
      </c>
      <c r="G278" s="419">
        <v>45797</v>
      </c>
      <c r="H278" s="419">
        <f t="shared" si="25"/>
        <v>45812</v>
      </c>
      <c r="I278" s="419">
        <f>M278</f>
        <v>45790</v>
      </c>
      <c r="J278" s="403">
        <f>I278-G278</f>
        <v>-7</v>
      </c>
      <c r="K278" s="403">
        <f>R278-H278</f>
        <v>63</v>
      </c>
      <c r="L278" s="270" t="s">
        <v>458</v>
      </c>
      <c r="M278" s="273">
        <v>45790</v>
      </c>
      <c r="N278" s="273">
        <v>45812</v>
      </c>
      <c r="O278" s="274" t="s">
        <v>459</v>
      </c>
      <c r="P278" s="270">
        <f>N278-M278</f>
        <v>22</v>
      </c>
      <c r="Q278" s="270">
        <f>M279-N278</f>
        <v>12</v>
      </c>
      <c r="R278" s="377">
        <f>N280</f>
        <v>45875</v>
      </c>
      <c r="S278" s="371" t="s">
        <v>397</v>
      </c>
      <c r="T278" s="371" t="str">
        <f>O280</f>
        <v>CAT - I</v>
      </c>
      <c r="U278" s="371" t="s">
        <v>397</v>
      </c>
      <c r="V278" s="399"/>
    </row>
    <row r="279" spans="1:22" x14ac:dyDescent="0.3">
      <c r="A279" s="370"/>
      <c r="B279" s="372"/>
      <c r="C279" s="420"/>
      <c r="D279" s="376"/>
      <c r="E279" s="372"/>
      <c r="F279" s="372"/>
      <c r="G279" s="525"/>
      <c r="H279" s="525"/>
      <c r="I279" s="525"/>
      <c r="J279" s="396"/>
      <c r="K279" s="396"/>
      <c r="L279" s="270" t="s">
        <v>460</v>
      </c>
      <c r="M279" s="273">
        <v>45824</v>
      </c>
      <c r="N279" s="273">
        <v>45842</v>
      </c>
      <c r="O279" s="274" t="s">
        <v>481</v>
      </c>
      <c r="P279" s="270">
        <f>N279-M279</f>
        <v>18</v>
      </c>
      <c r="Q279" s="270">
        <f>M280-N279</f>
        <v>18</v>
      </c>
      <c r="R279" s="371"/>
      <c r="S279" s="372"/>
      <c r="T279" s="372"/>
      <c r="U279" s="372"/>
      <c r="V279" s="393"/>
    </row>
    <row r="280" spans="1:22" x14ac:dyDescent="0.3">
      <c r="A280" s="370"/>
      <c r="B280" s="372"/>
      <c r="C280" s="420"/>
      <c r="D280" s="376"/>
      <c r="E280" s="372"/>
      <c r="F280" s="372"/>
      <c r="G280" s="525"/>
      <c r="H280" s="525"/>
      <c r="I280" s="525"/>
      <c r="J280" s="396"/>
      <c r="K280" s="396"/>
      <c r="L280" s="270" t="s">
        <v>462</v>
      </c>
      <c r="M280" s="273">
        <v>45860</v>
      </c>
      <c r="N280" s="273">
        <v>45875</v>
      </c>
      <c r="O280" s="274" t="s">
        <v>472</v>
      </c>
      <c r="P280" s="270">
        <f>N280-M280</f>
        <v>15</v>
      </c>
      <c r="Q280" s="270"/>
      <c r="R280" s="371"/>
      <c r="S280" s="372"/>
      <c r="T280" s="372"/>
      <c r="U280" s="372"/>
      <c r="V280" s="393"/>
    </row>
    <row r="281" spans="1:22" x14ac:dyDescent="0.3">
      <c r="A281" s="369">
        <f>A278+1</f>
        <v>35</v>
      </c>
      <c r="B281" s="371" t="s">
        <v>686</v>
      </c>
      <c r="C281" s="421" t="s">
        <v>753</v>
      </c>
      <c r="D281" s="373" t="s">
        <v>880</v>
      </c>
      <c r="E281" s="371" t="s">
        <v>754</v>
      </c>
      <c r="F281" s="371" t="s">
        <v>457</v>
      </c>
      <c r="G281" s="502">
        <v>45826</v>
      </c>
      <c r="H281" s="502">
        <f>G281+15</f>
        <v>45841</v>
      </c>
      <c r="I281" s="502">
        <v>45804</v>
      </c>
      <c r="J281" s="403">
        <f>I281-G281</f>
        <v>-22</v>
      </c>
      <c r="K281" s="403">
        <f>R281-H281</f>
        <v>35</v>
      </c>
      <c r="L281" s="270" t="s">
        <v>458</v>
      </c>
      <c r="M281" s="273">
        <v>45804</v>
      </c>
      <c r="N281" s="273">
        <v>45847</v>
      </c>
      <c r="O281" s="274" t="s">
        <v>459</v>
      </c>
      <c r="P281" s="270">
        <f>N281-M281</f>
        <v>43</v>
      </c>
      <c r="Q281" s="270">
        <f>M282-N281</f>
        <v>8</v>
      </c>
      <c r="R281" s="377">
        <f>N284</f>
        <v>45876</v>
      </c>
      <c r="S281" s="371" t="s">
        <v>397</v>
      </c>
      <c r="T281" s="371" t="str">
        <f>O284</f>
        <v>CAT - I</v>
      </c>
      <c r="U281" s="371" t="str">
        <f>S281</f>
        <v>Approved</v>
      </c>
      <c r="V281" s="399"/>
    </row>
    <row r="282" spans="1:22" x14ac:dyDescent="0.3">
      <c r="A282" s="370"/>
      <c r="B282" s="372"/>
      <c r="C282" s="372"/>
      <c r="D282" s="482"/>
      <c r="E282" s="372"/>
      <c r="F282" s="372"/>
      <c r="G282" s="503"/>
      <c r="H282" s="503"/>
      <c r="I282" s="503"/>
      <c r="J282" s="396"/>
      <c r="K282" s="396"/>
      <c r="L282" s="270" t="s">
        <v>460</v>
      </c>
      <c r="M282" s="273">
        <v>45855</v>
      </c>
      <c r="N282" s="273">
        <v>45861</v>
      </c>
      <c r="O282" s="274" t="s">
        <v>459</v>
      </c>
      <c r="P282" s="270">
        <f>N282-M282</f>
        <v>6</v>
      </c>
      <c r="Q282" s="270">
        <f>M283-N282</f>
        <v>7</v>
      </c>
      <c r="R282" s="371"/>
      <c r="S282" s="372"/>
      <c r="T282" s="372"/>
      <c r="U282" s="372"/>
      <c r="V282" s="393"/>
    </row>
    <row r="283" spans="1:22" x14ac:dyDescent="0.3">
      <c r="A283" s="370"/>
      <c r="B283" s="372"/>
      <c r="C283" s="372"/>
      <c r="D283" s="482"/>
      <c r="E283" s="372"/>
      <c r="F283" s="372"/>
      <c r="G283" s="503"/>
      <c r="H283" s="503"/>
      <c r="I283" s="503"/>
      <c r="J283" s="396"/>
      <c r="K283" s="396"/>
      <c r="L283" s="270" t="s">
        <v>462</v>
      </c>
      <c r="M283" s="273">
        <v>45868</v>
      </c>
      <c r="N283" s="273"/>
      <c r="O283" s="274"/>
      <c r="P283" s="270"/>
      <c r="Q283" s="270"/>
      <c r="R283" s="371"/>
      <c r="S283" s="372"/>
      <c r="T283" s="372"/>
      <c r="U283" s="372"/>
      <c r="V283" s="393"/>
    </row>
    <row r="284" spans="1:22" x14ac:dyDescent="0.3">
      <c r="A284" s="370"/>
      <c r="B284" s="372"/>
      <c r="C284" s="372"/>
      <c r="D284" s="482"/>
      <c r="E284" s="372"/>
      <c r="F284" s="372"/>
      <c r="G284" s="503"/>
      <c r="H284" s="503"/>
      <c r="I284" s="503"/>
      <c r="J284" s="396"/>
      <c r="K284" s="396"/>
      <c r="L284" s="270" t="s">
        <v>462</v>
      </c>
      <c r="M284" s="273">
        <v>45875</v>
      </c>
      <c r="N284" s="273">
        <v>45876</v>
      </c>
      <c r="O284" s="274" t="s">
        <v>472</v>
      </c>
      <c r="P284" s="270">
        <f>N284-M284</f>
        <v>1</v>
      </c>
      <c r="Q284" s="270"/>
      <c r="R284" s="371"/>
      <c r="S284" s="372"/>
      <c r="T284" s="372"/>
      <c r="U284" s="372"/>
      <c r="V284" s="393"/>
    </row>
    <row r="285" spans="1:22" x14ac:dyDescent="0.3">
      <c r="A285" s="400">
        <f>A282+1</f>
        <v>1</v>
      </c>
      <c r="B285" s="391" t="s">
        <v>686</v>
      </c>
      <c r="C285" s="499" t="s">
        <v>753</v>
      </c>
      <c r="D285" s="499" t="s">
        <v>881</v>
      </c>
      <c r="E285" s="391" t="s">
        <v>882</v>
      </c>
      <c r="F285" s="391" t="s">
        <v>457</v>
      </c>
      <c r="G285" s="517">
        <v>45826</v>
      </c>
      <c r="H285" s="517">
        <f>G285+15</f>
        <v>45841</v>
      </c>
      <c r="I285" s="517">
        <v>45804</v>
      </c>
      <c r="J285" s="395">
        <f>G285-M285</f>
        <v>-79</v>
      </c>
      <c r="K285" s="395">
        <f ca="1">I285-I1</f>
        <v>-109</v>
      </c>
      <c r="L285" s="310" t="s">
        <v>458</v>
      </c>
      <c r="M285" s="313">
        <v>45905</v>
      </c>
      <c r="N285" s="313">
        <v>45909</v>
      </c>
      <c r="O285" s="314" t="s">
        <v>481</v>
      </c>
      <c r="P285" s="310">
        <f>N285-M285</f>
        <v>4</v>
      </c>
      <c r="Q285" s="310">
        <f ca="1">I1-N285</f>
        <v>4</v>
      </c>
      <c r="R285" s="394"/>
      <c r="S285" s="391" t="s">
        <v>489</v>
      </c>
      <c r="T285" s="391" t="str">
        <f>O285</f>
        <v>CAT - II</v>
      </c>
      <c r="U285" s="441" t="s">
        <v>876</v>
      </c>
      <c r="V285" s="392"/>
    </row>
    <row r="286" spans="1:22" x14ac:dyDescent="0.3">
      <c r="A286" s="400"/>
      <c r="B286" s="391"/>
      <c r="C286" s="391"/>
      <c r="D286" s="499"/>
      <c r="E286" s="391"/>
      <c r="F286" s="391"/>
      <c r="G286" s="517"/>
      <c r="H286" s="517"/>
      <c r="I286" s="517"/>
      <c r="J286" s="395"/>
      <c r="K286" s="395"/>
      <c r="L286" s="310"/>
      <c r="M286" s="313"/>
      <c r="N286" s="313"/>
      <c r="O286" s="314"/>
      <c r="P286" s="310"/>
      <c r="Q286" s="310"/>
      <c r="R286" s="391"/>
      <c r="S286" s="391"/>
      <c r="T286" s="391"/>
      <c r="U286" s="443"/>
      <c r="V286" s="392"/>
    </row>
    <row r="287" spans="1:22" x14ac:dyDescent="0.3">
      <c r="A287" s="296">
        <f>A281+1</f>
        <v>36</v>
      </c>
      <c r="B287" s="257" t="s">
        <v>686</v>
      </c>
      <c r="C287" s="267" t="s">
        <v>753</v>
      </c>
      <c r="D287" s="268" t="s">
        <v>755</v>
      </c>
      <c r="E287" s="259" t="s">
        <v>756</v>
      </c>
      <c r="F287" s="259" t="s">
        <v>467</v>
      </c>
      <c r="G287" s="282">
        <v>45826</v>
      </c>
      <c r="H287" s="282">
        <f t="shared" ref="H287:H307" si="31">G287+15</f>
        <v>45841</v>
      </c>
      <c r="I287" s="282"/>
      <c r="J287" s="337">
        <f t="shared" ref="J287" ca="1" si="32">$I$1-G287</f>
        <v>87</v>
      </c>
      <c r="K287" s="340">
        <f ca="1">$I$1-H287</f>
        <v>72</v>
      </c>
      <c r="L287" s="291"/>
      <c r="M287" s="275"/>
      <c r="N287" s="275"/>
      <c r="O287" s="276"/>
      <c r="P287" s="259"/>
      <c r="Q287" s="259"/>
      <c r="R287" s="259"/>
      <c r="S287" s="259"/>
      <c r="T287" s="259"/>
      <c r="U287" s="259"/>
      <c r="V287" s="300"/>
    </row>
    <row r="288" spans="1:22" x14ac:dyDescent="0.3">
      <c r="A288" s="452">
        <f t="shared" si="30"/>
        <v>37</v>
      </c>
      <c r="B288" s="441" t="s">
        <v>686</v>
      </c>
      <c r="C288" s="456" t="s">
        <v>753</v>
      </c>
      <c r="D288" s="513" t="s">
        <v>757</v>
      </c>
      <c r="E288" s="441" t="s">
        <v>758</v>
      </c>
      <c r="F288" s="441" t="s">
        <v>457</v>
      </c>
      <c r="G288" s="507">
        <f>G230</f>
        <v>45797</v>
      </c>
      <c r="H288" s="507">
        <f t="shared" si="31"/>
        <v>45812</v>
      </c>
      <c r="I288" s="507">
        <v>45817</v>
      </c>
      <c r="J288" s="450">
        <f>I288-G288</f>
        <v>20</v>
      </c>
      <c r="K288" s="450">
        <f ca="1">I1-H288</f>
        <v>101</v>
      </c>
      <c r="L288" s="310" t="s">
        <v>458</v>
      </c>
      <c r="M288" s="313">
        <v>45817</v>
      </c>
      <c r="N288" s="313">
        <v>45828</v>
      </c>
      <c r="O288" s="314" t="s">
        <v>459</v>
      </c>
      <c r="P288" s="310">
        <f>N288-M288</f>
        <v>11</v>
      </c>
      <c r="Q288" s="310">
        <f>M289-N288</f>
        <v>67</v>
      </c>
      <c r="R288" s="310"/>
      <c r="S288" s="441" t="s">
        <v>489</v>
      </c>
      <c r="T288" s="441" t="str">
        <f>O288</f>
        <v>CAT - III</v>
      </c>
      <c r="U288" s="441" t="s">
        <v>876</v>
      </c>
      <c r="V288" s="315"/>
    </row>
    <row r="289" spans="1:22" x14ac:dyDescent="0.3">
      <c r="A289" s="453"/>
      <c r="B289" s="443"/>
      <c r="C289" s="457"/>
      <c r="D289" s="515"/>
      <c r="E289" s="443"/>
      <c r="F289" s="443"/>
      <c r="G289" s="509"/>
      <c r="H289" s="509"/>
      <c r="I289" s="509"/>
      <c r="J289" s="451"/>
      <c r="K289" s="451"/>
      <c r="L289" s="310" t="s">
        <v>460</v>
      </c>
      <c r="M289" s="313">
        <v>45895</v>
      </c>
      <c r="N289" s="313">
        <v>45898</v>
      </c>
      <c r="O289" s="314" t="str">
        <f>O288</f>
        <v>CAT - III</v>
      </c>
      <c r="P289" s="310">
        <f>N289-M289</f>
        <v>3</v>
      </c>
      <c r="Q289" s="310"/>
      <c r="R289" s="319"/>
      <c r="S289" s="443"/>
      <c r="T289" s="443"/>
      <c r="U289" s="443"/>
      <c r="V289" s="315"/>
    </row>
    <row r="290" spans="1:22" x14ac:dyDescent="0.3">
      <c r="A290" s="452">
        <f>A288+1</f>
        <v>38</v>
      </c>
      <c r="B290" s="441" t="s">
        <v>686</v>
      </c>
      <c r="C290" s="526" t="s">
        <v>753</v>
      </c>
      <c r="D290" s="513" t="s">
        <v>759</v>
      </c>
      <c r="E290" s="441" t="s">
        <v>760</v>
      </c>
      <c r="F290" s="441" t="s">
        <v>457</v>
      </c>
      <c r="G290" s="507">
        <f>G238</f>
        <v>45797</v>
      </c>
      <c r="H290" s="507">
        <f t="shared" si="31"/>
        <v>45812</v>
      </c>
      <c r="I290" s="507">
        <v>45817</v>
      </c>
      <c r="J290" s="450">
        <f>I290-G290</f>
        <v>20</v>
      </c>
      <c r="K290" s="450">
        <f ca="1">I1-H290</f>
        <v>101</v>
      </c>
      <c r="L290" s="310" t="s">
        <v>458</v>
      </c>
      <c r="M290" s="313">
        <v>45817</v>
      </c>
      <c r="N290" s="313">
        <v>45820</v>
      </c>
      <c r="O290" s="314" t="s">
        <v>459</v>
      </c>
      <c r="P290" s="310">
        <f>N290-M290</f>
        <v>3</v>
      </c>
      <c r="Q290" s="310">
        <f>M291-N290</f>
        <v>75</v>
      </c>
      <c r="R290" s="441"/>
      <c r="S290" s="441" t="s">
        <v>489</v>
      </c>
      <c r="T290" s="441" t="str">
        <f>O290</f>
        <v>CAT - III</v>
      </c>
      <c r="U290" s="441" t="s">
        <v>876</v>
      </c>
      <c r="V290" s="315"/>
    </row>
    <row r="291" spans="1:22" x14ac:dyDescent="0.3">
      <c r="A291" s="453"/>
      <c r="B291" s="443"/>
      <c r="C291" s="527"/>
      <c r="D291" s="515"/>
      <c r="E291" s="443"/>
      <c r="F291" s="443"/>
      <c r="G291" s="509"/>
      <c r="H291" s="509"/>
      <c r="I291" s="509"/>
      <c r="J291" s="451"/>
      <c r="K291" s="451"/>
      <c r="L291" s="310" t="s">
        <v>460</v>
      </c>
      <c r="M291" s="313">
        <v>45895</v>
      </c>
      <c r="N291" s="313">
        <v>45902</v>
      </c>
      <c r="O291" s="314" t="str">
        <f>O290</f>
        <v>CAT - III</v>
      </c>
      <c r="P291" s="310">
        <f>N291-M291</f>
        <v>7</v>
      </c>
      <c r="Q291" s="310"/>
      <c r="R291" s="443"/>
      <c r="S291" s="443"/>
      <c r="T291" s="443"/>
      <c r="U291" s="443"/>
      <c r="V291" s="315"/>
    </row>
    <row r="292" spans="1:22" x14ac:dyDescent="0.3">
      <c r="A292" s="296">
        <f>A290+1</f>
        <v>39</v>
      </c>
      <c r="B292" s="257" t="s">
        <v>686</v>
      </c>
      <c r="C292" s="267" t="s">
        <v>753</v>
      </c>
      <c r="D292" s="268" t="s">
        <v>761</v>
      </c>
      <c r="E292" s="259" t="s">
        <v>762</v>
      </c>
      <c r="F292" s="259" t="s">
        <v>457</v>
      </c>
      <c r="G292" s="282">
        <f>G241</f>
        <v>45813</v>
      </c>
      <c r="H292" s="282">
        <f t="shared" si="31"/>
        <v>45828</v>
      </c>
      <c r="I292" s="284"/>
      <c r="J292" s="337">
        <f t="shared" ref="J292:J297" ca="1" si="33">$I$1-G292</f>
        <v>100</v>
      </c>
      <c r="K292" s="340">
        <f ca="1">$I$1-H292</f>
        <v>85</v>
      </c>
      <c r="L292" s="291"/>
      <c r="M292" s="275"/>
      <c r="N292" s="275"/>
      <c r="O292" s="276"/>
      <c r="P292" s="259"/>
      <c r="Q292" s="259"/>
      <c r="R292" s="259"/>
      <c r="S292" s="259"/>
      <c r="T292" s="259"/>
      <c r="U292" s="259"/>
      <c r="V292" s="300"/>
    </row>
    <row r="293" spans="1:22" x14ac:dyDescent="0.3">
      <c r="A293" s="296">
        <f t="shared" si="30"/>
        <v>40</v>
      </c>
      <c r="B293" s="257" t="s">
        <v>686</v>
      </c>
      <c r="C293" s="267" t="s">
        <v>753</v>
      </c>
      <c r="D293" s="268" t="s">
        <v>763</v>
      </c>
      <c r="E293" s="259" t="s">
        <v>764</v>
      </c>
      <c r="F293" s="259" t="s">
        <v>467</v>
      </c>
      <c r="G293" s="282">
        <f>G244</f>
        <v>45802</v>
      </c>
      <c r="H293" s="282">
        <f t="shared" si="31"/>
        <v>45817</v>
      </c>
      <c r="I293" s="284"/>
      <c r="J293" s="337">
        <f t="shared" ca="1" si="33"/>
        <v>111</v>
      </c>
      <c r="K293" s="340">
        <f ca="1">$I$1-H293</f>
        <v>96</v>
      </c>
      <c r="L293" s="291"/>
      <c r="M293" s="275"/>
      <c r="N293" s="275"/>
      <c r="O293" s="276"/>
      <c r="P293" s="259"/>
      <c r="Q293" s="259"/>
      <c r="R293" s="259"/>
      <c r="S293" s="259"/>
      <c r="T293" s="259"/>
      <c r="U293" s="259"/>
      <c r="V293" s="300"/>
    </row>
    <row r="294" spans="1:22" x14ac:dyDescent="0.3">
      <c r="A294" s="296">
        <f t="shared" si="30"/>
        <v>41</v>
      </c>
      <c r="B294" s="257" t="s">
        <v>686</v>
      </c>
      <c r="C294" s="267" t="s">
        <v>753</v>
      </c>
      <c r="D294" s="268" t="s">
        <v>765</v>
      </c>
      <c r="E294" s="259" t="s">
        <v>766</v>
      </c>
      <c r="F294" s="259" t="s">
        <v>467</v>
      </c>
      <c r="G294" s="282">
        <f>G245</f>
        <v>45797</v>
      </c>
      <c r="H294" s="282">
        <f t="shared" si="31"/>
        <v>45812</v>
      </c>
      <c r="I294" s="284"/>
      <c r="J294" s="337">
        <f t="shared" ca="1" si="33"/>
        <v>116</v>
      </c>
      <c r="K294" s="340">
        <f ca="1">$I$1-H294</f>
        <v>101</v>
      </c>
      <c r="L294" s="291"/>
      <c r="M294" s="275"/>
      <c r="N294" s="275"/>
      <c r="O294" s="276"/>
      <c r="P294" s="259"/>
      <c r="Q294" s="259"/>
      <c r="R294" s="259"/>
      <c r="S294" s="259"/>
      <c r="T294" s="259"/>
      <c r="U294" s="259"/>
      <c r="V294" s="300"/>
    </row>
    <row r="295" spans="1:22" x14ac:dyDescent="0.3">
      <c r="A295" s="452">
        <f t="shared" si="30"/>
        <v>42</v>
      </c>
      <c r="B295" s="441" t="s">
        <v>686</v>
      </c>
      <c r="C295" s="454" t="s">
        <v>753</v>
      </c>
      <c r="D295" s="513" t="s">
        <v>767</v>
      </c>
      <c r="E295" s="441" t="s">
        <v>768</v>
      </c>
      <c r="F295" s="310" t="s">
        <v>457</v>
      </c>
      <c r="G295" s="507">
        <f>G246</f>
        <v>45782</v>
      </c>
      <c r="H295" s="507">
        <f t="shared" si="31"/>
        <v>45797</v>
      </c>
      <c r="I295" s="507">
        <f>M295</f>
        <v>45900</v>
      </c>
      <c r="J295" s="450">
        <f>I295-G295</f>
        <v>118</v>
      </c>
      <c r="K295" s="450">
        <f ca="1">I1-H295</f>
        <v>116</v>
      </c>
      <c r="L295" s="322" t="s">
        <v>458</v>
      </c>
      <c r="M295" s="313">
        <v>45900</v>
      </c>
      <c r="N295" s="313">
        <v>45902</v>
      </c>
      <c r="O295" s="314" t="s">
        <v>459</v>
      </c>
      <c r="P295" s="310">
        <f>N295-M295</f>
        <v>2</v>
      </c>
      <c r="Q295" s="310">
        <f ca="1">I1-N295</f>
        <v>11</v>
      </c>
      <c r="R295" s="310"/>
      <c r="S295" s="441" t="s">
        <v>489</v>
      </c>
      <c r="T295" s="441" t="str">
        <f>O295</f>
        <v>CAT - III</v>
      </c>
      <c r="U295" s="441" t="s">
        <v>876</v>
      </c>
      <c r="V295" s="315"/>
    </row>
    <row r="296" spans="1:22" x14ac:dyDescent="0.3">
      <c r="A296" s="453"/>
      <c r="B296" s="443"/>
      <c r="C296" s="455"/>
      <c r="D296" s="515"/>
      <c r="E296" s="443"/>
      <c r="F296" s="310"/>
      <c r="G296" s="509"/>
      <c r="H296" s="509"/>
      <c r="I296" s="509"/>
      <c r="J296" s="451"/>
      <c r="K296" s="451"/>
      <c r="L296" s="322" t="s">
        <v>460</v>
      </c>
      <c r="M296" s="313">
        <v>45902</v>
      </c>
      <c r="N296" s="313">
        <v>45903</v>
      </c>
      <c r="O296" s="314" t="str">
        <f>O295</f>
        <v>CAT - III</v>
      </c>
      <c r="P296" s="310">
        <f>N296-M296</f>
        <v>1</v>
      </c>
      <c r="Q296" s="310"/>
      <c r="R296" s="310"/>
      <c r="S296" s="443"/>
      <c r="T296" s="443"/>
      <c r="U296" s="443"/>
      <c r="V296" s="315"/>
    </row>
    <row r="297" spans="1:22" x14ac:dyDescent="0.3">
      <c r="A297" s="296">
        <f>A295+1</f>
        <v>43</v>
      </c>
      <c r="B297" s="257" t="s">
        <v>686</v>
      </c>
      <c r="C297" s="267" t="s">
        <v>753</v>
      </c>
      <c r="D297" s="268" t="s">
        <v>769</v>
      </c>
      <c r="E297" s="259" t="s">
        <v>770</v>
      </c>
      <c r="F297" s="259" t="s">
        <v>457</v>
      </c>
      <c r="G297" s="282">
        <f>G249</f>
        <v>45809</v>
      </c>
      <c r="H297" s="282">
        <f t="shared" si="31"/>
        <v>45824</v>
      </c>
      <c r="I297" s="284"/>
      <c r="J297" s="337">
        <f t="shared" ca="1" si="33"/>
        <v>104</v>
      </c>
      <c r="K297" s="340">
        <f ca="1">$I$1-H297</f>
        <v>89</v>
      </c>
      <c r="L297" s="291"/>
      <c r="M297" s="275"/>
      <c r="N297" s="275"/>
      <c r="O297" s="276"/>
      <c r="P297" s="259"/>
      <c r="Q297" s="259"/>
      <c r="R297" s="259"/>
      <c r="S297" s="259"/>
      <c r="T297" s="259"/>
      <c r="U297" s="259"/>
      <c r="V297" s="300"/>
    </row>
    <row r="298" spans="1:22" x14ac:dyDescent="0.3">
      <c r="A298" s="432">
        <f t="shared" si="30"/>
        <v>44</v>
      </c>
      <c r="B298" s="429" t="s">
        <v>686</v>
      </c>
      <c r="C298" s="434" t="s">
        <v>753</v>
      </c>
      <c r="D298" s="436" t="s">
        <v>771</v>
      </c>
      <c r="E298" s="429" t="s">
        <v>772</v>
      </c>
      <c r="F298" s="429" t="s">
        <v>457</v>
      </c>
      <c r="G298" s="528">
        <f>G251</f>
        <v>45792</v>
      </c>
      <c r="H298" s="528">
        <f t="shared" si="31"/>
        <v>45807</v>
      </c>
      <c r="I298" s="528">
        <f>M298</f>
        <v>45877</v>
      </c>
      <c r="J298" s="427">
        <f>I298-G298</f>
        <v>85</v>
      </c>
      <c r="K298" s="427">
        <f>N299-H298</f>
        <v>90</v>
      </c>
      <c r="L298" s="270" t="s">
        <v>458</v>
      </c>
      <c r="M298" s="273">
        <v>45877</v>
      </c>
      <c r="N298" s="273">
        <v>45895</v>
      </c>
      <c r="O298" s="274" t="s">
        <v>459</v>
      </c>
      <c r="P298" s="270">
        <f>N298-M298</f>
        <v>18</v>
      </c>
      <c r="Q298" s="270">
        <f>M299-N298</f>
        <v>2</v>
      </c>
      <c r="R298" s="270"/>
      <c r="S298" s="429" t="s">
        <v>397</v>
      </c>
      <c r="T298" s="429" t="str">
        <f>O299</f>
        <v>CAT - I</v>
      </c>
      <c r="U298" s="429" t="s">
        <v>397</v>
      </c>
      <c r="V298" s="422"/>
    </row>
    <row r="299" spans="1:22" x14ac:dyDescent="0.3">
      <c r="A299" s="433"/>
      <c r="B299" s="430"/>
      <c r="C299" s="435"/>
      <c r="D299" s="437"/>
      <c r="E299" s="430"/>
      <c r="F299" s="430"/>
      <c r="G299" s="529"/>
      <c r="H299" s="529"/>
      <c r="I299" s="529"/>
      <c r="J299" s="428"/>
      <c r="K299" s="428"/>
      <c r="L299" s="270" t="s">
        <v>460</v>
      </c>
      <c r="M299" s="273">
        <v>45897</v>
      </c>
      <c r="N299" s="273">
        <v>45897</v>
      </c>
      <c r="O299" s="274" t="s">
        <v>472</v>
      </c>
      <c r="P299" s="270">
        <f>N299-M299</f>
        <v>0</v>
      </c>
      <c r="Q299" s="270"/>
      <c r="R299" s="270"/>
      <c r="S299" s="430"/>
      <c r="T299" s="430"/>
      <c r="U299" s="430"/>
      <c r="V299" s="423"/>
    </row>
    <row r="300" spans="1:22" x14ac:dyDescent="0.3">
      <c r="A300" s="432"/>
      <c r="B300" s="429" t="s">
        <v>686</v>
      </c>
      <c r="C300" s="434" t="s">
        <v>753</v>
      </c>
      <c r="D300" s="436" t="s">
        <v>865</v>
      </c>
      <c r="E300" s="429" t="s">
        <v>866</v>
      </c>
      <c r="F300" s="429" t="s">
        <v>457</v>
      </c>
      <c r="G300" s="528">
        <v>45792</v>
      </c>
      <c r="H300" s="528">
        <v>45807</v>
      </c>
      <c r="I300" s="528">
        <f>M300</f>
        <v>45877</v>
      </c>
      <c r="J300" s="427">
        <f>I300-G300</f>
        <v>85</v>
      </c>
      <c r="K300" s="427">
        <f ca="1">I1-H300</f>
        <v>106</v>
      </c>
      <c r="L300" s="270" t="s">
        <v>458</v>
      </c>
      <c r="M300" s="273">
        <v>45877</v>
      </c>
      <c r="N300" s="273">
        <v>45895</v>
      </c>
      <c r="O300" s="274" t="s">
        <v>459</v>
      </c>
      <c r="P300" s="270">
        <f>N300-M300</f>
        <v>18</v>
      </c>
      <c r="Q300" s="270">
        <f>M301-N300</f>
        <v>5</v>
      </c>
      <c r="R300" s="270"/>
      <c r="S300" s="429" t="s">
        <v>397</v>
      </c>
      <c r="T300" s="429" t="str">
        <f>O301</f>
        <v>CAT - I</v>
      </c>
      <c r="U300" s="429" t="s">
        <v>397</v>
      </c>
      <c r="V300" s="422"/>
    </row>
    <row r="301" spans="1:22" x14ac:dyDescent="0.3">
      <c r="A301" s="433"/>
      <c r="B301" s="430"/>
      <c r="C301" s="435"/>
      <c r="D301" s="437"/>
      <c r="E301" s="430"/>
      <c r="F301" s="430"/>
      <c r="G301" s="529"/>
      <c r="H301" s="529"/>
      <c r="I301" s="529"/>
      <c r="J301" s="428"/>
      <c r="K301" s="428"/>
      <c r="L301" s="270" t="s">
        <v>460</v>
      </c>
      <c r="M301" s="273">
        <v>45900</v>
      </c>
      <c r="N301" s="273">
        <v>45901</v>
      </c>
      <c r="O301" s="274" t="s">
        <v>472</v>
      </c>
      <c r="P301" s="270">
        <f>N301-M301</f>
        <v>1</v>
      </c>
      <c r="Q301" s="270"/>
      <c r="R301" s="270"/>
      <c r="S301" s="430"/>
      <c r="T301" s="430"/>
      <c r="U301" s="430"/>
      <c r="V301" s="423"/>
    </row>
    <row r="302" spans="1:22" x14ac:dyDescent="0.3">
      <c r="A302" s="296">
        <f>A298+1</f>
        <v>45</v>
      </c>
      <c r="B302" s="257" t="s">
        <v>686</v>
      </c>
      <c r="C302" s="267" t="s">
        <v>753</v>
      </c>
      <c r="D302" s="268" t="s">
        <v>773</v>
      </c>
      <c r="E302" s="259" t="s">
        <v>774</v>
      </c>
      <c r="F302" s="259" t="s">
        <v>457</v>
      </c>
      <c r="G302" s="282">
        <f>G254</f>
        <v>45784</v>
      </c>
      <c r="H302" s="282">
        <f t="shared" si="31"/>
        <v>45799</v>
      </c>
      <c r="I302" s="284"/>
      <c r="J302" s="337">
        <f t="shared" ref="J302:K318" ca="1" si="34">$I$1-G302</f>
        <v>129</v>
      </c>
      <c r="K302" s="340">
        <f t="shared" ca="1" si="34"/>
        <v>114</v>
      </c>
      <c r="L302" s="291"/>
      <c r="M302" s="275"/>
      <c r="N302" s="275"/>
      <c r="O302" s="276"/>
      <c r="P302" s="259"/>
      <c r="Q302" s="259"/>
      <c r="R302" s="259"/>
      <c r="S302" s="259"/>
      <c r="T302" s="259"/>
      <c r="U302" s="259"/>
      <c r="V302" s="300"/>
    </row>
    <row r="303" spans="1:22" x14ac:dyDescent="0.3">
      <c r="A303" s="294">
        <f t="shared" si="30"/>
        <v>46</v>
      </c>
      <c r="B303" s="262" t="s">
        <v>686</v>
      </c>
      <c r="C303" s="263" t="s">
        <v>753</v>
      </c>
      <c r="D303" s="264" t="s">
        <v>775</v>
      </c>
      <c r="E303" s="262" t="s">
        <v>776</v>
      </c>
      <c r="F303" s="262" t="s">
        <v>457</v>
      </c>
      <c r="G303" s="283">
        <f>G255</f>
        <v>45809</v>
      </c>
      <c r="H303" s="283">
        <f t="shared" si="31"/>
        <v>45824</v>
      </c>
      <c r="I303" s="283"/>
      <c r="J303" s="336">
        <f t="shared" ca="1" si="34"/>
        <v>104</v>
      </c>
      <c r="K303" s="336">
        <f t="shared" ca="1" si="34"/>
        <v>89</v>
      </c>
      <c r="L303" s="301" t="s">
        <v>458</v>
      </c>
      <c r="M303" s="265">
        <v>45905</v>
      </c>
      <c r="N303" s="265"/>
      <c r="O303" s="266" t="s">
        <v>458</v>
      </c>
      <c r="P303" s="262">
        <f ca="1">I1-M303</f>
        <v>8</v>
      </c>
      <c r="Q303" s="262"/>
      <c r="R303" s="262"/>
      <c r="S303" s="262" t="s">
        <v>482</v>
      </c>
      <c r="T303" s="262" t="str">
        <f>O303</f>
        <v>R0</v>
      </c>
      <c r="U303" s="262" t="s">
        <v>461</v>
      </c>
      <c r="V303" s="295"/>
    </row>
    <row r="304" spans="1:22" x14ac:dyDescent="0.3">
      <c r="A304" s="296">
        <f t="shared" si="30"/>
        <v>47</v>
      </c>
      <c r="B304" s="257" t="s">
        <v>686</v>
      </c>
      <c r="C304" s="267" t="s">
        <v>753</v>
      </c>
      <c r="D304" s="268" t="s">
        <v>777</v>
      </c>
      <c r="E304" s="259" t="s">
        <v>778</v>
      </c>
      <c r="F304" s="259" t="s">
        <v>467</v>
      </c>
      <c r="G304" s="282">
        <f>G257</f>
        <v>45797</v>
      </c>
      <c r="H304" s="282">
        <f t="shared" si="31"/>
        <v>45812</v>
      </c>
      <c r="I304" s="284"/>
      <c r="J304" s="337">
        <f t="shared" ca="1" si="34"/>
        <v>116</v>
      </c>
      <c r="K304" s="340">
        <f t="shared" ca="1" si="34"/>
        <v>101</v>
      </c>
      <c r="L304" s="291"/>
      <c r="M304" s="275"/>
      <c r="N304" s="275"/>
      <c r="O304" s="276"/>
      <c r="P304" s="259"/>
      <c r="Q304" s="259"/>
      <c r="R304" s="259"/>
      <c r="S304" s="259"/>
      <c r="T304" s="259"/>
      <c r="U304" s="259"/>
      <c r="V304" s="300"/>
    </row>
    <row r="305" spans="1:22" x14ac:dyDescent="0.3">
      <c r="A305" s="298">
        <f t="shared" si="30"/>
        <v>48</v>
      </c>
      <c r="B305" s="270" t="s">
        <v>686</v>
      </c>
      <c r="C305" s="271" t="s">
        <v>753</v>
      </c>
      <c r="D305" s="272" t="s">
        <v>779</v>
      </c>
      <c r="E305" s="270" t="s">
        <v>780</v>
      </c>
      <c r="F305" s="270" t="s">
        <v>467</v>
      </c>
      <c r="G305" s="281">
        <v>45834</v>
      </c>
      <c r="H305" s="281">
        <f t="shared" si="31"/>
        <v>45849</v>
      </c>
      <c r="I305" s="281"/>
      <c r="J305" s="338">
        <f t="shared" ca="1" si="34"/>
        <v>79</v>
      </c>
      <c r="K305" s="338">
        <f t="shared" ca="1" si="34"/>
        <v>64</v>
      </c>
      <c r="L305" s="317" t="s">
        <v>458</v>
      </c>
      <c r="M305" s="273">
        <v>45898</v>
      </c>
      <c r="N305" s="273">
        <v>45898</v>
      </c>
      <c r="O305" s="274" t="s">
        <v>472</v>
      </c>
      <c r="P305" s="270">
        <f>N305-M305</f>
        <v>0</v>
      </c>
      <c r="Q305" s="270"/>
      <c r="R305" s="270"/>
      <c r="S305" s="270" t="s">
        <v>397</v>
      </c>
      <c r="T305" s="270" t="str">
        <f>O305</f>
        <v>CAT - I</v>
      </c>
      <c r="U305" s="270" t="s">
        <v>397</v>
      </c>
      <c r="V305" s="299"/>
    </row>
    <row r="306" spans="1:22" x14ac:dyDescent="0.3">
      <c r="A306" s="296">
        <f t="shared" si="30"/>
        <v>49</v>
      </c>
      <c r="B306" s="257" t="s">
        <v>686</v>
      </c>
      <c r="C306" s="267" t="s">
        <v>753</v>
      </c>
      <c r="D306" s="268" t="s">
        <v>781</v>
      </c>
      <c r="E306" s="259" t="s">
        <v>782</v>
      </c>
      <c r="F306" s="259" t="s">
        <v>467</v>
      </c>
      <c r="G306" s="282">
        <v>45840</v>
      </c>
      <c r="H306" s="282">
        <f t="shared" si="31"/>
        <v>45855</v>
      </c>
      <c r="I306" s="282"/>
      <c r="J306" s="337">
        <f t="shared" ca="1" si="34"/>
        <v>73</v>
      </c>
      <c r="K306" s="340">
        <f t="shared" ca="1" si="34"/>
        <v>58</v>
      </c>
      <c r="L306" s="291"/>
      <c r="M306" s="275"/>
      <c r="N306" s="275"/>
      <c r="O306" s="276"/>
      <c r="P306" s="259"/>
      <c r="Q306" s="259"/>
      <c r="R306" s="259"/>
      <c r="S306" s="259"/>
      <c r="T306" s="259"/>
      <c r="U306" s="259"/>
      <c r="V306" s="300"/>
    </row>
    <row r="307" spans="1:22" x14ac:dyDescent="0.3">
      <c r="A307" s="296">
        <f t="shared" si="30"/>
        <v>50</v>
      </c>
      <c r="B307" s="257" t="s">
        <v>686</v>
      </c>
      <c r="C307" s="267" t="s">
        <v>753</v>
      </c>
      <c r="D307" s="268" t="s">
        <v>783</v>
      </c>
      <c r="E307" s="259" t="s">
        <v>784</v>
      </c>
      <c r="F307" s="259" t="s">
        <v>467</v>
      </c>
      <c r="G307" s="282">
        <v>45826</v>
      </c>
      <c r="H307" s="282">
        <f t="shared" si="31"/>
        <v>45841</v>
      </c>
      <c r="I307" s="284"/>
      <c r="J307" s="337">
        <f t="shared" ca="1" si="34"/>
        <v>87</v>
      </c>
      <c r="K307" s="340">
        <f t="shared" ca="1" si="34"/>
        <v>72</v>
      </c>
      <c r="L307" s="302"/>
      <c r="M307" s="275"/>
      <c r="N307" s="275"/>
      <c r="O307" s="279"/>
      <c r="P307" s="259"/>
      <c r="Q307" s="259"/>
      <c r="R307" s="286"/>
      <c r="S307" s="286"/>
      <c r="T307" s="286"/>
      <c r="U307" s="286"/>
      <c r="V307" s="303"/>
    </row>
    <row r="308" spans="1:22" x14ac:dyDescent="0.3">
      <c r="A308" s="296">
        <f t="shared" si="30"/>
        <v>51</v>
      </c>
      <c r="B308" s="257" t="s">
        <v>686</v>
      </c>
      <c r="C308" s="267" t="s">
        <v>753</v>
      </c>
      <c r="D308" s="268" t="s">
        <v>785</v>
      </c>
      <c r="E308" s="259" t="s">
        <v>786</v>
      </c>
      <c r="F308" s="259" t="s">
        <v>457</v>
      </c>
      <c r="G308" s="282"/>
      <c r="H308" s="282"/>
      <c r="I308" s="284"/>
      <c r="J308" s="337"/>
      <c r="K308" s="340"/>
      <c r="L308" s="259"/>
      <c r="M308" s="275"/>
      <c r="N308" s="275"/>
      <c r="O308" s="276"/>
      <c r="P308" s="259"/>
      <c r="Q308" s="259"/>
      <c r="R308" s="259"/>
      <c r="S308" s="259"/>
      <c r="T308" s="259"/>
      <c r="U308" s="259"/>
      <c r="V308" s="300"/>
    </row>
    <row r="309" spans="1:22" x14ac:dyDescent="0.3">
      <c r="A309" s="452">
        <f t="shared" si="30"/>
        <v>52</v>
      </c>
      <c r="B309" s="441" t="s">
        <v>686</v>
      </c>
      <c r="C309" s="454" t="s">
        <v>753</v>
      </c>
      <c r="D309" s="513" t="s">
        <v>787</v>
      </c>
      <c r="E309" s="441" t="s">
        <v>788</v>
      </c>
      <c r="F309" s="441" t="s">
        <v>457</v>
      </c>
      <c r="G309" s="507">
        <f>G264</f>
        <v>45826</v>
      </c>
      <c r="H309" s="507">
        <f t="shared" ref="H309:H319" si="35">G309+15</f>
        <v>45841</v>
      </c>
      <c r="I309" s="507">
        <f>M309</f>
        <v>45878</v>
      </c>
      <c r="J309" s="450">
        <f>I309-G309</f>
        <v>52</v>
      </c>
      <c r="K309" s="450">
        <f ca="1">I1-H309</f>
        <v>72</v>
      </c>
      <c r="L309" s="310" t="s">
        <v>458</v>
      </c>
      <c r="M309" s="313">
        <v>45878</v>
      </c>
      <c r="N309" s="313">
        <v>45891</v>
      </c>
      <c r="O309" s="314" t="s">
        <v>459</v>
      </c>
      <c r="P309" s="310">
        <f>N309-M309</f>
        <v>13</v>
      </c>
      <c r="Q309" s="310">
        <f>M310-N309</f>
        <v>7</v>
      </c>
      <c r="R309" s="310"/>
      <c r="S309" s="441" t="s">
        <v>489</v>
      </c>
      <c r="T309" s="441" t="str">
        <f>O309</f>
        <v>CAT - III</v>
      </c>
      <c r="U309" s="441" t="s">
        <v>876</v>
      </c>
      <c r="V309" s="444"/>
    </row>
    <row r="310" spans="1:22" x14ac:dyDescent="0.3">
      <c r="A310" s="453"/>
      <c r="B310" s="443"/>
      <c r="C310" s="455"/>
      <c r="D310" s="515"/>
      <c r="E310" s="443"/>
      <c r="F310" s="443"/>
      <c r="G310" s="509"/>
      <c r="H310" s="509"/>
      <c r="I310" s="509"/>
      <c r="J310" s="451"/>
      <c r="K310" s="451"/>
      <c r="L310" s="310" t="s">
        <v>460</v>
      </c>
      <c r="M310" s="313">
        <v>45898</v>
      </c>
      <c r="N310" s="313">
        <v>45902</v>
      </c>
      <c r="O310" s="314" t="s">
        <v>459</v>
      </c>
      <c r="P310" s="310">
        <f>N310-M310</f>
        <v>4</v>
      </c>
      <c r="Q310" s="310">
        <f ca="1">I1-N310</f>
        <v>11</v>
      </c>
      <c r="R310" s="310"/>
      <c r="S310" s="443"/>
      <c r="T310" s="443"/>
      <c r="U310" s="443"/>
      <c r="V310" s="445"/>
    </row>
    <row r="311" spans="1:22" x14ac:dyDescent="0.3">
      <c r="A311" s="296">
        <f>A309+1</f>
        <v>53</v>
      </c>
      <c r="B311" s="257" t="s">
        <v>686</v>
      </c>
      <c r="C311" s="267" t="s">
        <v>753</v>
      </c>
      <c r="D311" s="268" t="s">
        <v>789</v>
      </c>
      <c r="E311" s="259" t="s">
        <v>790</v>
      </c>
      <c r="F311" s="258" t="s">
        <v>467</v>
      </c>
      <c r="G311" s="282">
        <v>45826</v>
      </c>
      <c r="H311" s="282">
        <f t="shared" si="35"/>
        <v>45841</v>
      </c>
      <c r="I311" s="284"/>
      <c r="J311" s="337">
        <f t="shared" ca="1" si="34"/>
        <v>87</v>
      </c>
      <c r="K311" s="342">
        <f ca="1">I1-H309</f>
        <v>72</v>
      </c>
      <c r="L311" s="259"/>
      <c r="M311" s="275"/>
      <c r="N311" s="275"/>
      <c r="O311" s="276"/>
      <c r="P311" s="259"/>
      <c r="Q311" s="259"/>
      <c r="R311" s="259"/>
      <c r="S311" s="259"/>
      <c r="T311" s="259"/>
      <c r="U311" s="259"/>
      <c r="V311" s="300"/>
    </row>
    <row r="312" spans="1:22" x14ac:dyDescent="0.3">
      <c r="A312" s="296">
        <f t="shared" si="30"/>
        <v>54</v>
      </c>
      <c r="B312" s="257" t="s">
        <v>686</v>
      </c>
      <c r="C312" s="267" t="s">
        <v>753</v>
      </c>
      <c r="D312" s="268" t="s">
        <v>791</v>
      </c>
      <c r="E312" s="259" t="s">
        <v>792</v>
      </c>
      <c r="F312" s="259" t="s">
        <v>457</v>
      </c>
      <c r="G312" s="282">
        <v>45797</v>
      </c>
      <c r="H312" s="282">
        <f t="shared" si="35"/>
        <v>45812</v>
      </c>
      <c r="I312" s="284"/>
      <c r="J312" s="337">
        <f t="shared" ca="1" si="34"/>
        <v>116</v>
      </c>
      <c r="K312" s="340">
        <f ca="1">I1-H312</f>
        <v>101</v>
      </c>
      <c r="L312" s="259"/>
      <c r="M312" s="275"/>
      <c r="N312" s="275"/>
      <c r="O312" s="276"/>
      <c r="P312" s="259"/>
      <c r="Q312" s="259"/>
      <c r="R312" s="259"/>
      <c r="S312" s="259"/>
      <c r="T312" s="259"/>
      <c r="U312" s="259"/>
      <c r="V312" s="300"/>
    </row>
    <row r="313" spans="1:22" x14ac:dyDescent="0.3">
      <c r="A313" s="405">
        <f t="shared" si="30"/>
        <v>55</v>
      </c>
      <c r="B313" s="407" t="s">
        <v>686</v>
      </c>
      <c r="C313" s="409" t="s">
        <v>753</v>
      </c>
      <c r="D313" s="411" t="s">
        <v>793</v>
      </c>
      <c r="E313" s="407" t="s">
        <v>794</v>
      </c>
      <c r="F313" s="407" t="s">
        <v>457</v>
      </c>
      <c r="G313" s="504">
        <f>G269</f>
        <v>45834</v>
      </c>
      <c r="H313" s="504">
        <f t="shared" si="35"/>
        <v>45849</v>
      </c>
      <c r="I313" s="504">
        <f>M313</f>
        <v>45869</v>
      </c>
      <c r="J313" s="417">
        <f>I313-G313</f>
        <v>35</v>
      </c>
      <c r="K313" s="417">
        <f ca="1">I1-H313</f>
        <v>64</v>
      </c>
      <c r="L313" s="262" t="s">
        <v>458</v>
      </c>
      <c r="M313" s="265">
        <v>45869</v>
      </c>
      <c r="N313" s="265">
        <v>45895</v>
      </c>
      <c r="O313" s="266" t="s">
        <v>459</v>
      </c>
      <c r="P313" s="262">
        <f>N313-M313</f>
        <v>26</v>
      </c>
      <c r="Q313" s="262">
        <f>M314-N313</f>
        <v>2</v>
      </c>
      <c r="R313" s="262"/>
      <c r="S313" s="407" t="s">
        <v>482</v>
      </c>
      <c r="T313" s="407" t="str">
        <f>O313</f>
        <v>CAT - III</v>
      </c>
      <c r="U313" s="407" t="s">
        <v>461</v>
      </c>
      <c r="V313" s="415"/>
    </row>
    <row r="314" spans="1:22" x14ac:dyDescent="0.3">
      <c r="A314" s="406"/>
      <c r="B314" s="408"/>
      <c r="C314" s="410"/>
      <c r="D314" s="412"/>
      <c r="E314" s="408"/>
      <c r="F314" s="408"/>
      <c r="G314" s="506"/>
      <c r="H314" s="506"/>
      <c r="I314" s="506"/>
      <c r="J314" s="418"/>
      <c r="K314" s="418"/>
      <c r="L314" s="262" t="s">
        <v>460</v>
      </c>
      <c r="M314" s="265">
        <v>45897</v>
      </c>
      <c r="N314" s="265"/>
      <c r="O314" s="266"/>
      <c r="P314" s="262"/>
      <c r="Q314" s="262"/>
      <c r="R314" s="262"/>
      <c r="S314" s="408"/>
      <c r="T314" s="408"/>
      <c r="U314" s="408"/>
      <c r="V314" s="416"/>
    </row>
    <row r="315" spans="1:22" x14ac:dyDescent="0.3">
      <c r="A315" s="304"/>
      <c r="B315" s="257" t="s">
        <v>686</v>
      </c>
      <c r="C315" s="267" t="s">
        <v>753</v>
      </c>
      <c r="D315" s="268" t="s">
        <v>795</v>
      </c>
      <c r="E315" s="259" t="s">
        <v>796</v>
      </c>
      <c r="F315" s="259" t="s">
        <v>467</v>
      </c>
      <c r="G315" s="282">
        <v>45868</v>
      </c>
      <c r="H315" s="282">
        <f t="shared" si="35"/>
        <v>45883</v>
      </c>
      <c r="I315" s="284"/>
      <c r="J315" s="337">
        <f t="shared" ca="1" si="34"/>
        <v>45</v>
      </c>
      <c r="K315" s="340">
        <f ca="1">$I$1-H315</f>
        <v>30</v>
      </c>
      <c r="L315" s="291"/>
      <c r="M315" s="275"/>
      <c r="N315" s="275"/>
      <c r="O315" s="276"/>
      <c r="P315" s="259"/>
      <c r="Q315" s="259"/>
      <c r="R315" s="259"/>
      <c r="S315" s="259"/>
      <c r="T315" s="259"/>
      <c r="U315" s="259"/>
      <c r="V315" s="300"/>
    </row>
    <row r="316" spans="1:22" x14ac:dyDescent="0.3">
      <c r="A316" s="296">
        <f>A313+1</f>
        <v>56</v>
      </c>
      <c r="B316" s="257" t="s">
        <v>686</v>
      </c>
      <c r="C316" s="267" t="s">
        <v>753</v>
      </c>
      <c r="D316" s="268" t="s">
        <v>797</v>
      </c>
      <c r="E316" s="259" t="s">
        <v>798</v>
      </c>
      <c r="F316" s="259" t="s">
        <v>467</v>
      </c>
      <c r="G316" s="282">
        <v>45899</v>
      </c>
      <c r="H316" s="282">
        <f t="shared" si="35"/>
        <v>45914</v>
      </c>
      <c r="I316" s="284"/>
      <c r="J316" s="337">
        <f t="shared" ca="1" si="34"/>
        <v>14</v>
      </c>
      <c r="K316" s="340">
        <f ca="1">$I$1-H316</f>
        <v>-1</v>
      </c>
      <c r="L316" s="291"/>
      <c r="M316" s="275"/>
      <c r="N316" s="275"/>
      <c r="O316" s="276"/>
      <c r="P316" s="259"/>
      <c r="Q316" s="259"/>
      <c r="R316" s="259"/>
      <c r="S316" s="259"/>
      <c r="T316" s="259"/>
      <c r="U316" s="259"/>
      <c r="V316" s="300"/>
    </row>
    <row r="317" spans="1:22" x14ac:dyDescent="0.3">
      <c r="A317" s="296">
        <f t="shared" si="30"/>
        <v>57</v>
      </c>
      <c r="B317" s="257" t="s">
        <v>686</v>
      </c>
      <c r="C317" s="267" t="s">
        <v>753</v>
      </c>
      <c r="D317" s="268" t="s">
        <v>799</v>
      </c>
      <c r="E317" s="259" t="s">
        <v>800</v>
      </c>
      <c r="F317" s="259" t="s">
        <v>467</v>
      </c>
      <c r="G317" s="282">
        <v>45899</v>
      </c>
      <c r="H317" s="282">
        <f t="shared" si="35"/>
        <v>45914</v>
      </c>
      <c r="I317" s="284"/>
      <c r="J317" s="337">
        <f t="shared" ca="1" si="34"/>
        <v>14</v>
      </c>
      <c r="K317" s="340">
        <f ca="1">$I$1-H317</f>
        <v>-1</v>
      </c>
      <c r="L317" s="291"/>
      <c r="M317" s="275"/>
      <c r="N317" s="275"/>
      <c r="O317" s="276"/>
      <c r="P317" s="259"/>
      <c r="Q317" s="259"/>
      <c r="R317" s="259"/>
      <c r="S317" s="259"/>
      <c r="T317" s="259"/>
      <c r="U317" s="259"/>
      <c r="V317" s="300"/>
    </row>
    <row r="318" spans="1:22" x14ac:dyDescent="0.3">
      <c r="A318" s="296">
        <f t="shared" si="30"/>
        <v>58</v>
      </c>
      <c r="B318" s="257" t="s">
        <v>686</v>
      </c>
      <c r="C318" s="267" t="s">
        <v>753</v>
      </c>
      <c r="D318" s="268" t="s">
        <v>801</v>
      </c>
      <c r="E318" s="259" t="s">
        <v>802</v>
      </c>
      <c r="F318" s="259" t="s">
        <v>457</v>
      </c>
      <c r="G318" s="282">
        <f>G275</f>
        <v>45848</v>
      </c>
      <c r="H318" s="282">
        <f t="shared" si="35"/>
        <v>45863</v>
      </c>
      <c r="I318" s="284"/>
      <c r="J318" s="337">
        <f t="shared" ca="1" si="34"/>
        <v>65</v>
      </c>
      <c r="K318" s="340">
        <f ca="1">$I$1-H318</f>
        <v>50</v>
      </c>
      <c r="L318" s="291"/>
      <c r="M318" s="275"/>
      <c r="N318" s="275"/>
      <c r="O318" s="276"/>
      <c r="P318" s="259"/>
      <c r="Q318" s="259"/>
      <c r="R318" s="259"/>
      <c r="S318" s="259"/>
      <c r="T318" s="259"/>
      <c r="U318" s="259"/>
      <c r="V318" s="300"/>
    </row>
    <row r="319" spans="1:22" x14ac:dyDescent="0.3">
      <c r="A319" s="400">
        <v>59</v>
      </c>
      <c r="B319" s="391" t="s">
        <v>686</v>
      </c>
      <c r="C319" s="401" t="s">
        <v>753</v>
      </c>
      <c r="D319" s="402" t="s">
        <v>803</v>
      </c>
      <c r="E319" s="391" t="s">
        <v>804</v>
      </c>
      <c r="F319" s="391" t="s">
        <v>457</v>
      </c>
      <c r="G319" s="530">
        <v>45793</v>
      </c>
      <c r="H319" s="530">
        <f t="shared" si="35"/>
        <v>45808</v>
      </c>
      <c r="I319" s="530">
        <v>45793</v>
      </c>
      <c r="J319" s="395">
        <f>I319-G319</f>
        <v>0</v>
      </c>
      <c r="K319" s="395">
        <f ca="1">I1-H319</f>
        <v>105</v>
      </c>
      <c r="L319" s="310" t="s">
        <v>458</v>
      </c>
      <c r="M319" s="313">
        <v>45793</v>
      </c>
      <c r="N319" s="313">
        <v>45807</v>
      </c>
      <c r="O319" s="314" t="s">
        <v>459</v>
      </c>
      <c r="P319" s="310">
        <f>N319-M319</f>
        <v>14</v>
      </c>
      <c r="Q319" s="310">
        <f ca="1">I1-N319</f>
        <v>106</v>
      </c>
      <c r="R319" s="391"/>
      <c r="S319" s="391" t="s">
        <v>489</v>
      </c>
      <c r="T319" s="391" t="str">
        <f>O319</f>
        <v>CAT - III</v>
      </c>
      <c r="U319" s="391" t="s">
        <v>464</v>
      </c>
      <c r="V319" s="392"/>
    </row>
    <row r="320" spans="1:22" x14ac:dyDescent="0.3">
      <c r="A320" s="486"/>
      <c r="B320" s="487"/>
      <c r="C320" s="488"/>
      <c r="D320" s="489"/>
      <c r="E320" s="424"/>
      <c r="F320" s="424"/>
      <c r="G320" s="424"/>
      <c r="H320" s="424"/>
      <c r="I320" s="531"/>
      <c r="J320" s="440"/>
      <c r="K320" s="440"/>
      <c r="L320" s="310" t="s">
        <v>460</v>
      </c>
      <c r="M320" s="313">
        <v>45862</v>
      </c>
      <c r="N320" s="313">
        <v>45863</v>
      </c>
      <c r="O320" s="314" t="s">
        <v>459</v>
      </c>
      <c r="P320" s="310">
        <f>M320-N319</f>
        <v>55</v>
      </c>
      <c r="Q320" s="310">
        <f>N320-M320</f>
        <v>1</v>
      </c>
      <c r="R320" s="365"/>
      <c r="S320" s="424"/>
      <c r="T320" s="424"/>
      <c r="U320" s="424"/>
      <c r="V320" s="431"/>
    </row>
    <row r="321" spans="1:22" x14ac:dyDescent="0.3">
      <c r="A321" s="296">
        <v>60</v>
      </c>
      <c r="B321" s="257" t="s">
        <v>686</v>
      </c>
      <c r="C321" s="267" t="s">
        <v>753</v>
      </c>
      <c r="D321" s="268" t="s">
        <v>805</v>
      </c>
      <c r="E321" s="259" t="s">
        <v>806</v>
      </c>
      <c r="F321" s="287" t="s">
        <v>457</v>
      </c>
      <c r="G321" s="282">
        <v>45900</v>
      </c>
      <c r="H321" s="282">
        <f>G321+15</f>
        <v>45915</v>
      </c>
      <c r="I321" s="284"/>
      <c r="J321" s="337">
        <f t="shared" ref="J321" ca="1" si="36">$I$1-G321</f>
        <v>13</v>
      </c>
      <c r="K321" s="340">
        <f ca="1">$I$1-H321</f>
        <v>-2</v>
      </c>
      <c r="L321" s="291"/>
      <c r="M321" s="275"/>
      <c r="N321" s="275"/>
      <c r="O321" s="276"/>
      <c r="P321" s="259"/>
      <c r="Q321" s="259"/>
      <c r="R321" s="259"/>
      <c r="S321" s="259"/>
      <c r="T321" s="259"/>
      <c r="U321" s="259"/>
      <c r="V321" s="300"/>
    </row>
    <row r="322" spans="1:22" x14ac:dyDescent="0.3">
      <c r="A322" s="452">
        <v>61</v>
      </c>
      <c r="B322" s="441" t="s">
        <v>686</v>
      </c>
      <c r="C322" s="454" t="s">
        <v>753</v>
      </c>
      <c r="D322" s="513" t="s">
        <v>807</v>
      </c>
      <c r="E322" s="441" t="s">
        <v>808</v>
      </c>
      <c r="F322" s="441" t="s">
        <v>457</v>
      </c>
      <c r="G322" s="507">
        <f>G243</f>
        <v>45809</v>
      </c>
      <c r="H322" s="507">
        <f>G322+15</f>
        <v>45824</v>
      </c>
      <c r="I322" s="507">
        <f>M322</f>
        <v>45878</v>
      </c>
      <c r="J322" s="450">
        <f>I322-G322</f>
        <v>69</v>
      </c>
      <c r="K322" s="450">
        <f ca="1">I1-H322</f>
        <v>89</v>
      </c>
      <c r="L322" s="310" t="s">
        <v>458</v>
      </c>
      <c r="M322" s="313">
        <v>45878</v>
      </c>
      <c r="N322" s="313">
        <v>45891</v>
      </c>
      <c r="O322" s="314" t="s">
        <v>459</v>
      </c>
      <c r="P322" s="310">
        <f>N322-M322</f>
        <v>13</v>
      </c>
      <c r="Q322" s="310">
        <f>M323-N322</f>
        <v>10</v>
      </c>
      <c r="R322" s="310"/>
      <c r="S322" s="441" t="s">
        <v>489</v>
      </c>
      <c r="T322" s="441" t="str">
        <f>O322</f>
        <v>CAT - III</v>
      </c>
      <c r="U322" s="441" t="s">
        <v>464</v>
      </c>
      <c r="V322" s="444"/>
    </row>
    <row r="323" spans="1:22" x14ac:dyDescent="0.3">
      <c r="A323" s="453"/>
      <c r="B323" s="443"/>
      <c r="C323" s="455"/>
      <c r="D323" s="515"/>
      <c r="E323" s="443"/>
      <c r="F323" s="443"/>
      <c r="G323" s="509"/>
      <c r="H323" s="509"/>
      <c r="I323" s="509"/>
      <c r="J323" s="451"/>
      <c r="K323" s="451"/>
      <c r="L323" s="310" t="s">
        <v>460</v>
      </c>
      <c r="M323" s="313">
        <v>45901</v>
      </c>
      <c r="N323" s="313">
        <v>45902</v>
      </c>
      <c r="O323" s="314" t="s">
        <v>459</v>
      </c>
      <c r="P323" s="310">
        <f>N323-M323</f>
        <v>1</v>
      </c>
      <c r="Q323" s="310"/>
      <c r="R323" s="290"/>
      <c r="S323" s="443"/>
      <c r="T323" s="443"/>
      <c r="U323" s="443"/>
      <c r="V323" s="445"/>
    </row>
    <row r="324" spans="1:22" x14ac:dyDescent="0.3">
      <c r="A324" s="369">
        <v>62</v>
      </c>
      <c r="B324" s="371" t="s">
        <v>686</v>
      </c>
      <c r="C324" s="373" t="s">
        <v>753</v>
      </c>
      <c r="D324" s="375" t="s">
        <v>809</v>
      </c>
      <c r="E324" s="371" t="s">
        <v>860</v>
      </c>
      <c r="F324" s="371" t="s">
        <v>457</v>
      </c>
      <c r="G324" s="502">
        <v>45803</v>
      </c>
      <c r="H324" s="502">
        <f>G324+15</f>
        <v>45818</v>
      </c>
      <c r="I324" s="502">
        <v>45803</v>
      </c>
      <c r="J324" s="403">
        <f>I324-G324</f>
        <v>0</v>
      </c>
      <c r="K324" s="403">
        <f>R324-H324</f>
        <v>21</v>
      </c>
      <c r="L324" s="270" t="s">
        <v>458</v>
      </c>
      <c r="M324" s="273">
        <v>45803</v>
      </c>
      <c r="N324" s="273">
        <v>45810</v>
      </c>
      <c r="O324" s="274" t="s">
        <v>459</v>
      </c>
      <c r="P324" s="270">
        <f>N324-M324</f>
        <v>7</v>
      </c>
      <c r="Q324" s="270">
        <f>M325-N324</f>
        <v>8</v>
      </c>
      <c r="R324" s="377">
        <f>N326</f>
        <v>45839</v>
      </c>
      <c r="S324" s="371" t="s">
        <v>482</v>
      </c>
      <c r="T324" s="371" t="str">
        <f>O326</f>
        <v>CAT - I</v>
      </c>
      <c r="U324" s="371" t="s">
        <v>397</v>
      </c>
      <c r="V324" s="399"/>
    </row>
    <row r="325" spans="1:22" x14ac:dyDescent="0.3">
      <c r="A325" s="386"/>
      <c r="B325" s="366"/>
      <c r="C325" s="388"/>
      <c r="D325" s="390"/>
      <c r="E325" s="366"/>
      <c r="F325" s="366"/>
      <c r="G325" s="534"/>
      <c r="H325" s="534"/>
      <c r="I325" s="534"/>
      <c r="J325" s="382"/>
      <c r="K325" s="382"/>
      <c r="L325" s="270" t="s">
        <v>460</v>
      </c>
      <c r="M325" s="273">
        <v>45818</v>
      </c>
      <c r="N325" s="273">
        <v>45820</v>
      </c>
      <c r="O325" s="274" t="s">
        <v>459</v>
      </c>
      <c r="P325" s="270">
        <f>N325-M325</f>
        <v>2</v>
      </c>
      <c r="Q325" s="270">
        <f ca="1">I1-N325</f>
        <v>93</v>
      </c>
      <c r="R325" s="366"/>
      <c r="S325" s="366"/>
      <c r="T325" s="366"/>
      <c r="U325" s="366"/>
      <c r="V325" s="399"/>
    </row>
    <row r="326" spans="1:22" ht="14.5" thickBot="1" x14ac:dyDescent="0.35">
      <c r="A326" s="537"/>
      <c r="B326" s="532"/>
      <c r="C326" s="538"/>
      <c r="D326" s="539"/>
      <c r="E326" s="532"/>
      <c r="F326" s="532"/>
      <c r="G326" s="535"/>
      <c r="H326" s="535"/>
      <c r="I326" s="535"/>
      <c r="J326" s="536"/>
      <c r="K326" s="536"/>
      <c r="L326" s="305" t="s">
        <v>462</v>
      </c>
      <c r="M326" s="306">
        <v>45835</v>
      </c>
      <c r="N326" s="306">
        <v>45839</v>
      </c>
      <c r="O326" s="307" t="s">
        <v>472</v>
      </c>
      <c r="P326" s="305"/>
      <c r="Q326" s="305"/>
      <c r="R326" s="532"/>
      <c r="S326" s="532"/>
      <c r="T326" s="532"/>
      <c r="U326" s="532"/>
      <c r="V326" s="533"/>
    </row>
  </sheetData>
  <mergeCells count="1170">
    <mergeCell ref="S324:S326"/>
    <mergeCell ref="T324:T326"/>
    <mergeCell ref="U324:U326"/>
    <mergeCell ref="V324:V326"/>
    <mergeCell ref="G324:G326"/>
    <mergeCell ref="H324:H326"/>
    <mergeCell ref="I324:I326"/>
    <mergeCell ref="J324:J326"/>
    <mergeCell ref="K324:K326"/>
    <mergeCell ref="R324:R326"/>
    <mergeCell ref="A324:A326"/>
    <mergeCell ref="B324:B326"/>
    <mergeCell ref="C324:C326"/>
    <mergeCell ref="D324:D326"/>
    <mergeCell ref="E324:E326"/>
    <mergeCell ref="F324:F326"/>
    <mergeCell ref="J322:J323"/>
    <mergeCell ref="K322:K323"/>
    <mergeCell ref="S322:S323"/>
    <mergeCell ref="T322:T323"/>
    <mergeCell ref="U322:U323"/>
    <mergeCell ref="V322:V323"/>
    <mergeCell ref="V319:V320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19:J320"/>
    <mergeCell ref="K319:K320"/>
    <mergeCell ref="R319:R320"/>
    <mergeCell ref="S319:S320"/>
    <mergeCell ref="T319:T320"/>
    <mergeCell ref="U319:U320"/>
    <mergeCell ref="V313:V314"/>
    <mergeCell ref="A319:A320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I313:I314"/>
    <mergeCell ref="J313:J314"/>
    <mergeCell ref="K313:K314"/>
    <mergeCell ref="S313:S314"/>
    <mergeCell ref="T313:T314"/>
    <mergeCell ref="U313:U314"/>
    <mergeCell ref="U309:U310"/>
    <mergeCell ref="V309:V310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H309:H310"/>
    <mergeCell ref="I309:I310"/>
    <mergeCell ref="J309:J310"/>
    <mergeCell ref="K309:K310"/>
    <mergeCell ref="S309:S310"/>
    <mergeCell ref="T309:T310"/>
    <mergeCell ref="T300:T301"/>
    <mergeCell ref="U300:U301"/>
    <mergeCell ref="V300:V301"/>
    <mergeCell ref="A309:A310"/>
    <mergeCell ref="B309:B310"/>
    <mergeCell ref="C309:C310"/>
    <mergeCell ref="D309:D310"/>
    <mergeCell ref="E309:E310"/>
    <mergeCell ref="F309:F310"/>
    <mergeCell ref="G309:G310"/>
    <mergeCell ref="G300:G301"/>
    <mergeCell ref="H300:H301"/>
    <mergeCell ref="I300:I301"/>
    <mergeCell ref="J300:J301"/>
    <mergeCell ref="K300:K301"/>
    <mergeCell ref="S300:S301"/>
    <mergeCell ref="A300:A301"/>
    <mergeCell ref="B300:B301"/>
    <mergeCell ref="C300:C301"/>
    <mergeCell ref="D300:D301"/>
    <mergeCell ref="E300:E301"/>
    <mergeCell ref="F300:F301"/>
    <mergeCell ref="J298:J299"/>
    <mergeCell ref="K298:K299"/>
    <mergeCell ref="S298:S299"/>
    <mergeCell ref="T298:T299"/>
    <mergeCell ref="U298:U299"/>
    <mergeCell ref="V298:V299"/>
    <mergeCell ref="U295:U296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H295:H296"/>
    <mergeCell ref="I295:I296"/>
    <mergeCell ref="J295:J296"/>
    <mergeCell ref="K295:K296"/>
    <mergeCell ref="S295:S296"/>
    <mergeCell ref="T295:T296"/>
    <mergeCell ref="A295:A296"/>
    <mergeCell ref="B295:B296"/>
    <mergeCell ref="C295:C296"/>
    <mergeCell ref="D295:D296"/>
    <mergeCell ref="E295:E296"/>
    <mergeCell ref="G295:G296"/>
    <mergeCell ref="J290:J291"/>
    <mergeCell ref="K290:K291"/>
    <mergeCell ref="R290:R291"/>
    <mergeCell ref="S290:S291"/>
    <mergeCell ref="T290:T291"/>
    <mergeCell ref="U290:U291"/>
    <mergeCell ref="U288:U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H288:H289"/>
    <mergeCell ref="I288:I289"/>
    <mergeCell ref="J288:J289"/>
    <mergeCell ref="K288:K289"/>
    <mergeCell ref="S288:S289"/>
    <mergeCell ref="T288:T289"/>
    <mergeCell ref="T285:T286"/>
    <mergeCell ref="U285:U286"/>
    <mergeCell ref="V285:V286"/>
    <mergeCell ref="A288:A289"/>
    <mergeCell ref="B288:B289"/>
    <mergeCell ref="C288:C289"/>
    <mergeCell ref="D288:D289"/>
    <mergeCell ref="E288:E289"/>
    <mergeCell ref="F288:F289"/>
    <mergeCell ref="G288:G289"/>
    <mergeCell ref="H285:H286"/>
    <mergeCell ref="I285:I286"/>
    <mergeCell ref="J285:J286"/>
    <mergeCell ref="K285:K286"/>
    <mergeCell ref="R285:R286"/>
    <mergeCell ref="S285:S286"/>
    <mergeCell ref="T281:T284"/>
    <mergeCell ref="U281:U284"/>
    <mergeCell ref="V281:V284"/>
    <mergeCell ref="A285:A286"/>
    <mergeCell ref="B285:B286"/>
    <mergeCell ref="C285:C286"/>
    <mergeCell ref="D285:D286"/>
    <mergeCell ref="E285:E286"/>
    <mergeCell ref="F285:F286"/>
    <mergeCell ref="G285:G286"/>
    <mergeCell ref="H281:H284"/>
    <mergeCell ref="I281:I284"/>
    <mergeCell ref="J281:J284"/>
    <mergeCell ref="K281:K284"/>
    <mergeCell ref="R281:R284"/>
    <mergeCell ref="S281:S284"/>
    <mergeCell ref="T278:T280"/>
    <mergeCell ref="U278:U280"/>
    <mergeCell ref="V278:V280"/>
    <mergeCell ref="A281:A284"/>
    <mergeCell ref="B281:B284"/>
    <mergeCell ref="C281:C284"/>
    <mergeCell ref="D281:D284"/>
    <mergeCell ref="E281:E284"/>
    <mergeCell ref="F281:F284"/>
    <mergeCell ref="G281:G284"/>
    <mergeCell ref="H278:H280"/>
    <mergeCell ref="I278:I280"/>
    <mergeCell ref="J278:J280"/>
    <mergeCell ref="K278:K280"/>
    <mergeCell ref="R278:R280"/>
    <mergeCell ref="S278:S280"/>
    <mergeCell ref="T275:T276"/>
    <mergeCell ref="U275:U276"/>
    <mergeCell ref="V275:V276"/>
    <mergeCell ref="A278:A280"/>
    <mergeCell ref="B278:B280"/>
    <mergeCell ref="C278:C280"/>
    <mergeCell ref="D278:D280"/>
    <mergeCell ref="E278:E280"/>
    <mergeCell ref="F278:F280"/>
    <mergeCell ref="G278:G280"/>
    <mergeCell ref="G275:G276"/>
    <mergeCell ref="H275:H276"/>
    <mergeCell ref="I275:I276"/>
    <mergeCell ref="J275:J276"/>
    <mergeCell ref="K275:K276"/>
    <mergeCell ref="S275:S276"/>
    <mergeCell ref="S269:S270"/>
    <mergeCell ref="T269:T270"/>
    <mergeCell ref="U269:U270"/>
    <mergeCell ref="V269:V270"/>
    <mergeCell ref="A275:A276"/>
    <mergeCell ref="B275:B276"/>
    <mergeCell ref="C275:C276"/>
    <mergeCell ref="D275:D276"/>
    <mergeCell ref="E275:E276"/>
    <mergeCell ref="F275:F276"/>
    <mergeCell ref="V264:V265"/>
    <mergeCell ref="A269:A270"/>
    <mergeCell ref="B269:B270"/>
    <mergeCell ref="C269:C270"/>
    <mergeCell ref="D269:D270"/>
    <mergeCell ref="E269:E270"/>
    <mergeCell ref="F269:F270"/>
    <mergeCell ref="G269:G270"/>
    <mergeCell ref="H269:H270"/>
    <mergeCell ref="I269:I270"/>
    <mergeCell ref="I264:I265"/>
    <mergeCell ref="J264:J265"/>
    <mergeCell ref="K264:K265"/>
    <mergeCell ref="S264:S265"/>
    <mergeCell ref="T264:T265"/>
    <mergeCell ref="U264:U265"/>
    <mergeCell ref="U251:U253"/>
    <mergeCell ref="V251:V253"/>
    <mergeCell ref="A264:A265"/>
    <mergeCell ref="B264:B265"/>
    <mergeCell ref="C264:C265"/>
    <mergeCell ref="D264:D265"/>
    <mergeCell ref="E264:E265"/>
    <mergeCell ref="F264:F265"/>
    <mergeCell ref="G264:G265"/>
    <mergeCell ref="H264:H265"/>
    <mergeCell ref="I251:I253"/>
    <mergeCell ref="J251:J253"/>
    <mergeCell ref="K251:K253"/>
    <mergeCell ref="R251:R253"/>
    <mergeCell ref="S251:S253"/>
    <mergeCell ref="T251:T253"/>
    <mergeCell ref="U249:U250"/>
    <mergeCell ref="V249:V250"/>
    <mergeCell ref="A251:A253"/>
    <mergeCell ref="B251:B253"/>
    <mergeCell ref="C251:C253"/>
    <mergeCell ref="D251:D253"/>
    <mergeCell ref="E251:E253"/>
    <mergeCell ref="F251:F253"/>
    <mergeCell ref="G251:G253"/>
    <mergeCell ref="H251:H253"/>
    <mergeCell ref="H249:H250"/>
    <mergeCell ref="I249:I250"/>
    <mergeCell ref="J249:J250"/>
    <mergeCell ref="K249:K250"/>
    <mergeCell ref="S249:S250"/>
    <mergeCell ref="T249:T250"/>
    <mergeCell ref="T246:T248"/>
    <mergeCell ref="U246:U248"/>
    <mergeCell ref="V246:V248"/>
    <mergeCell ref="A249:A250"/>
    <mergeCell ref="B249:B250"/>
    <mergeCell ref="C249:C250"/>
    <mergeCell ref="D249:D250"/>
    <mergeCell ref="E249:E250"/>
    <mergeCell ref="F249:F250"/>
    <mergeCell ref="G249:G250"/>
    <mergeCell ref="H246:H248"/>
    <mergeCell ref="I246:I248"/>
    <mergeCell ref="J246:J248"/>
    <mergeCell ref="K246:K248"/>
    <mergeCell ref="R246:R248"/>
    <mergeCell ref="S246:S248"/>
    <mergeCell ref="T241:T242"/>
    <mergeCell ref="U241:U242"/>
    <mergeCell ref="V241:V242"/>
    <mergeCell ref="A246:A248"/>
    <mergeCell ref="B246:B248"/>
    <mergeCell ref="C246:C248"/>
    <mergeCell ref="D246:D248"/>
    <mergeCell ref="E246:E248"/>
    <mergeCell ref="F246:F248"/>
    <mergeCell ref="G246:G248"/>
    <mergeCell ref="G241:G242"/>
    <mergeCell ref="H241:H242"/>
    <mergeCell ref="I241:I242"/>
    <mergeCell ref="J241:J242"/>
    <mergeCell ref="K241:K242"/>
    <mergeCell ref="S241:S242"/>
    <mergeCell ref="S238:S240"/>
    <mergeCell ref="T238:T240"/>
    <mergeCell ref="U238:U240"/>
    <mergeCell ref="V238:V240"/>
    <mergeCell ref="A241:A242"/>
    <mergeCell ref="B241:B242"/>
    <mergeCell ref="C241:C242"/>
    <mergeCell ref="D241:D242"/>
    <mergeCell ref="E241:E242"/>
    <mergeCell ref="F241:F242"/>
    <mergeCell ref="G238:G240"/>
    <mergeCell ref="H238:H240"/>
    <mergeCell ref="I238:I240"/>
    <mergeCell ref="J238:J240"/>
    <mergeCell ref="K238:K240"/>
    <mergeCell ref="R238:R239"/>
    <mergeCell ref="A238:A240"/>
    <mergeCell ref="B238:B240"/>
    <mergeCell ref="C238:C240"/>
    <mergeCell ref="D238:D240"/>
    <mergeCell ref="E238:E240"/>
    <mergeCell ref="F238:F240"/>
    <mergeCell ref="J234:J237"/>
    <mergeCell ref="K234:K237"/>
    <mergeCell ref="S234:S237"/>
    <mergeCell ref="T234:T237"/>
    <mergeCell ref="U234:U237"/>
    <mergeCell ref="V234:V237"/>
    <mergeCell ref="V230:V233"/>
    <mergeCell ref="A234:A237"/>
    <mergeCell ref="B234:B237"/>
    <mergeCell ref="C234:C237"/>
    <mergeCell ref="D234:D237"/>
    <mergeCell ref="E234:E237"/>
    <mergeCell ref="F234:F237"/>
    <mergeCell ref="G234:G237"/>
    <mergeCell ref="H234:H237"/>
    <mergeCell ref="I234:I237"/>
    <mergeCell ref="I230:I233"/>
    <mergeCell ref="J230:J233"/>
    <mergeCell ref="K230:K233"/>
    <mergeCell ref="S230:S233"/>
    <mergeCell ref="T230:T233"/>
    <mergeCell ref="U230:U233"/>
    <mergeCell ref="U227:U228"/>
    <mergeCell ref="V227:V228"/>
    <mergeCell ref="A230:A233"/>
    <mergeCell ref="B230:B233"/>
    <mergeCell ref="C230:C233"/>
    <mergeCell ref="D230:D233"/>
    <mergeCell ref="E230:E233"/>
    <mergeCell ref="F230:F233"/>
    <mergeCell ref="G230:G233"/>
    <mergeCell ref="H230:H233"/>
    <mergeCell ref="I227:I228"/>
    <mergeCell ref="J227:J228"/>
    <mergeCell ref="K227:K228"/>
    <mergeCell ref="R227:R228"/>
    <mergeCell ref="S227:S228"/>
    <mergeCell ref="T227:T228"/>
    <mergeCell ref="U224:U226"/>
    <mergeCell ref="V224:V226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4:I226"/>
    <mergeCell ref="J224:J226"/>
    <mergeCell ref="K224:K226"/>
    <mergeCell ref="R224:R226"/>
    <mergeCell ref="S224:S226"/>
    <mergeCell ref="T224:T226"/>
    <mergeCell ref="U219:U221"/>
    <mergeCell ref="V219:V221"/>
    <mergeCell ref="A224:A226"/>
    <mergeCell ref="B224:B226"/>
    <mergeCell ref="C224:C226"/>
    <mergeCell ref="D224:D226"/>
    <mergeCell ref="E224:E226"/>
    <mergeCell ref="F224:F226"/>
    <mergeCell ref="G224:G226"/>
    <mergeCell ref="H224:H226"/>
    <mergeCell ref="I219:I221"/>
    <mergeCell ref="J219:J221"/>
    <mergeCell ref="K219:K221"/>
    <mergeCell ref="R219:R221"/>
    <mergeCell ref="S219:S221"/>
    <mergeCell ref="T219:T221"/>
    <mergeCell ref="U216:U218"/>
    <mergeCell ref="V216:V218"/>
    <mergeCell ref="A219:A221"/>
    <mergeCell ref="B219:B221"/>
    <mergeCell ref="C219:C221"/>
    <mergeCell ref="D219:D221"/>
    <mergeCell ref="E219:E221"/>
    <mergeCell ref="F219:F221"/>
    <mergeCell ref="G219:G221"/>
    <mergeCell ref="H219:H221"/>
    <mergeCell ref="I216:I218"/>
    <mergeCell ref="J216:J218"/>
    <mergeCell ref="K216:K218"/>
    <mergeCell ref="R216:R218"/>
    <mergeCell ref="S216:S218"/>
    <mergeCell ref="T216:T218"/>
    <mergeCell ref="U214:U215"/>
    <mergeCell ref="V214:V215"/>
    <mergeCell ref="A216:A218"/>
    <mergeCell ref="B216:B218"/>
    <mergeCell ref="C216:C218"/>
    <mergeCell ref="D216:D218"/>
    <mergeCell ref="E216:E218"/>
    <mergeCell ref="F216:F218"/>
    <mergeCell ref="G216:G218"/>
    <mergeCell ref="H216:H218"/>
    <mergeCell ref="I214:I215"/>
    <mergeCell ref="J214:J215"/>
    <mergeCell ref="K214:K215"/>
    <mergeCell ref="R214:R215"/>
    <mergeCell ref="S214:S215"/>
    <mergeCell ref="T214:T215"/>
    <mergeCell ref="T211:T213"/>
    <mergeCell ref="U211:U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H211:H213"/>
    <mergeCell ref="I211:I213"/>
    <mergeCell ref="J211:J213"/>
    <mergeCell ref="K211:K213"/>
    <mergeCell ref="R211:R213"/>
    <mergeCell ref="S211:S213"/>
    <mergeCell ref="T207:T208"/>
    <mergeCell ref="U207:U208"/>
    <mergeCell ref="V207:V208"/>
    <mergeCell ref="A211:A213"/>
    <mergeCell ref="B211:B213"/>
    <mergeCell ref="C211:C213"/>
    <mergeCell ref="D211:D213"/>
    <mergeCell ref="E211:E213"/>
    <mergeCell ref="F211:F213"/>
    <mergeCell ref="G211:G213"/>
    <mergeCell ref="G207:G208"/>
    <mergeCell ref="H207:H208"/>
    <mergeCell ref="I207:I208"/>
    <mergeCell ref="J207:J208"/>
    <mergeCell ref="K207:K208"/>
    <mergeCell ref="S207:S208"/>
    <mergeCell ref="S201:S205"/>
    <mergeCell ref="T201:T205"/>
    <mergeCell ref="U201:U205"/>
    <mergeCell ref="V201:V205"/>
    <mergeCell ref="A207:A208"/>
    <mergeCell ref="B207:B208"/>
    <mergeCell ref="C207:C208"/>
    <mergeCell ref="D207:D208"/>
    <mergeCell ref="E207:E208"/>
    <mergeCell ref="F207:F208"/>
    <mergeCell ref="G201:G205"/>
    <mergeCell ref="H201:H205"/>
    <mergeCell ref="I201:I205"/>
    <mergeCell ref="J201:J205"/>
    <mergeCell ref="K201:K205"/>
    <mergeCell ref="R201:R205"/>
    <mergeCell ref="S199:S200"/>
    <mergeCell ref="T199:T200"/>
    <mergeCell ref="U199:U200"/>
    <mergeCell ref="V199:V200"/>
    <mergeCell ref="A201:A205"/>
    <mergeCell ref="B201:B205"/>
    <mergeCell ref="C201:C205"/>
    <mergeCell ref="D201:D205"/>
    <mergeCell ref="E201:E205"/>
    <mergeCell ref="F201:F205"/>
    <mergeCell ref="G199:G200"/>
    <mergeCell ref="H199:H200"/>
    <mergeCell ref="I199:I200"/>
    <mergeCell ref="J199:J200"/>
    <mergeCell ref="K199:K200"/>
    <mergeCell ref="R199:R200"/>
    <mergeCell ref="A199:A200"/>
    <mergeCell ref="B199:B200"/>
    <mergeCell ref="C199:C200"/>
    <mergeCell ref="D199:D200"/>
    <mergeCell ref="E199:E200"/>
    <mergeCell ref="F199:F200"/>
    <mergeCell ref="J178:J179"/>
    <mergeCell ref="K178:K179"/>
    <mergeCell ref="S178:S179"/>
    <mergeCell ref="T178:T179"/>
    <mergeCell ref="U178:U179"/>
    <mergeCell ref="V178:V179"/>
    <mergeCell ref="V174:V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I174:I177"/>
    <mergeCell ref="J174:J177"/>
    <mergeCell ref="K174:K177"/>
    <mergeCell ref="S174:S177"/>
    <mergeCell ref="T174:T177"/>
    <mergeCell ref="U174:U177"/>
    <mergeCell ref="U170:U171"/>
    <mergeCell ref="V170:V171"/>
    <mergeCell ref="A174:A177"/>
    <mergeCell ref="B174:B177"/>
    <mergeCell ref="C174:C177"/>
    <mergeCell ref="D174:D177"/>
    <mergeCell ref="E174:E177"/>
    <mergeCell ref="F174:F177"/>
    <mergeCell ref="G174:G177"/>
    <mergeCell ref="H174:H177"/>
    <mergeCell ref="H170:H171"/>
    <mergeCell ref="I170:I171"/>
    <mergeCell ref="J170:J171"/>
    <mergeCell ref="K170:K171"/>
    <mergeCell ref="S170:S171"/>
    <mergeCell ref="T170:T171"/>
    <mergeCell ref="T166:T169"/>
    <mergeCell ref="U166:U169"/>
    <mergeCell ref="V166:V169"/>
    <mergeCell ref="A170:A171"/>
    <mergeCell ref="B170:B171"/>
    <mergeCell ref="C170:C171"/>
    <mergeCell ref="D170:D171"/>
    <mergeCell ref="E170:E171"/>
    <mergeCell ref="F170:F171"/>
    <mergeCell ref="G170:G171"/>
    <mergeCell ref="H166:H169"/>
    <mergeCell ref="I166:I169"/>
    <mergeCell ref="J166:J169"/>
    <mergeCell ref="K166:K169"/>
    <mergeCell ref="R166:R168"/>
    <mergeCell ref="S166:S169"/>
    <mergeCell ref="T162:T165"/>
    <mergeCell ref="U162:U165"/>
    <mergeCell ref="V162:V165"/>
    <mergeCell ref="A166:A169"/>
    <mergeCell ref="B166:B169"/>
    <mergeCell ref="C166:C169"/>
    <mergeCell ref="D166:D169"/>
    <mergeCell ref="E166:E169"/>
    <mergeCell ref="F166:F169"/>
    <mergeCell ref="G166:G169"/>
    <mergeCell ref="H162:H165"/>
    <mergeCell ref="I162:I165"/>
    <mergeCell ref="J162:J165"/>
    <mergeCell ref="K162:K165"/>
    <mergeCell ref="R162:R165"/>
    <mergeCell ref="S162:S165"/>
    <mergeCell ref="S160:S161"/>
    <mergeCell ref="T160:T161"/>
    <mergeCell ref="U160:U161"/>
    <mergeCell ref="A162:A165"/>
    <mergeCell ref="B162:B165"/>
    <mergeCell ref="C162:C165"/>
    <mergeCell ref="D162:D165"/>
    <mergeCell ref="E162:E165"/>
    <mergeCell ref="F162:F165"/>
    <mergeCell ref="G162:G165"/>
    <mergeCell ref="G160:G161"/>
    <mergeCell ref="H160:H161"/>
    <mergeCell ref="I160:I161"/>
    <mergeCell ref="J160:J161"/>
    <mergeCell ref="K160:K161"/>
    <mergeCell ref="R160:R161"/>
    <mergeCell ref="S158:S159"/>
    <mergeCell ref="T158:T159"/>
    <mergeCell ref="U158:U159"/>
    <mergeCell ref="V158:V159"/>
    <mergeCell ref="A160:A161"/>
    <mergeCell ref="B160:B161"/>
    <mergeCell ref="C160:C161"/>
    <mergeCell ref="D160:D161"/>
    <mergeCell ref="E160:E161"/>
    <mergeCell ref="F160:F161"/>
    <mergeCell ref="G158:G159"/>
    <mergeCell ref="H158:H159"/>
    <mergeCell ref="I158:I159"/>
    <mergeCell ref="J158:J159"/>
    <mergeCell ref="K158:K159"/>
    <mergeCell ref="R158:R159"/>
    <mergeCell ref="S154:S157"/>
    <mergeCell ref="T154:T157"/>
    <mergeCell ref="U154:U157"/>
    <mergeCell ref="V154:V157"/>
    <mergeCell ref="A158:A159"/>
    <mergeCell ref="B158:B159"/>
    <mergeCell ref="C158:C159"/>
    <mergeCell ref="D158:D159"/>
    <mergeCell ref="E158:E159"/>
    <mergeCell ref="F158:F159"/>
    <mergeCell ref="G154:G157"/>
    <mergeCell ref="H154:H157"/>
    <mergeCell ref="I154:I157"/>
    <mergeCell ref="J154:J157"/>
    <mergeCell ref="K154:K157"/>
    <mergeCell ref="R154:R157"/>
    <mergeCell ref="S149:S150"/>
    <mergeCell ref="T149:T150"/>
    <mergeCell ref="U149:U150"/>
    <mergeCell ref="V149:V150"/>
    <mergeCell ref="A154:A157"/>
    <mergeCell ref="B154:B157"/>
    <mergeCell ref="C154:C157"/>
    <mergeCell ref="D154:D157"/>
    <mergeCell ref="E154:E157"/>
    <mergeCell ref="F154:F157"/>
    <mergeCell ref="G149:G150"/>
    <mergeCell ref="H149:H150"/>
    <mergeCell ref="I149:I150"/>
    <mergeCell ref="J149:J150"/>
    <mergeCell ref="K149:K150"/>
    <mergeCell ref="R149:R150"/>
    <mergeCell ref="S144:S148"/>
    <mergeCell ref="T144:T148"/>
    <mergeCell ref="U144:U148"/>
    <mergeCell ref="V144:V148"/>
    <mergeCell ref="A149:A150"/>
    <mergeCell ref="B149:B150"/>
    <mergeCell ref="C149:C150"/>
    <mergeCell ref="D149:D150"/>
    <mergeCell ref="E149:E150"/>
    <mergeCell ref="F149:F150"/>
    <mergeCell ref="G144:G148"/>
    <mergeCell ref="H144:H148"/>
    <mergeCell ref="I144:I148"/>
    <mergeCell ref="J144:J148"/>
    <mergeCell ref="K144:K148"/>
    <mergeCell ref="R144:R148"/>
    <mergeCell ref="S123:S124"/>
    <mergeCell ref="T123:T124"/>
    <mergeCell ref="U123:U124"/>
    <mergeCell ref="V123:V124"/>
    <mergeCell ref="A144:A148"/>
    <mergeCell ref="B144:B148"/>
    <mergeCell ref="C144:C148"/>
    <mergeCell ref="D144:D148"/>
    <mergeCell ref="E144:E148"/>
    <mergeCell ref="F144:F148"/>
    <mergeCell ref="H123:H124"/>
    <mergeCell ref="I123:I124"/>
    <mergeCell ref="J123:J124"/>
    <mergeCell ref="K123:K124"/>
    <mergeCell ref="L123:L124"/>
    <mergeCell ref="R123:R124"/>
    <mergeCell ref="T118:T122"/>
    <mergeCell ref="U118:U122"/>
    <mergeCell ref="V118:V122"/>
    <mergeCell ref="A123:A124"/>
    <mergeCell ref="B123:B124"/>
    <mergeCell ref="C123:C124"/>
    <mergeCell ref="D123:D124"/>
    <mergeCell ref="E123:E124"/>
    <mergeCell ref="F123:F124"/>
    <mergeCell ref="G123:G124"/>
    <mergeCell ref="H118:H122"/>
    <mergeCell ref="I118:I122"/>
    <mergeCell ref="J118:J122"/>
    <mergeCell ref="K118:K122"/>
    <mergeCell ref="R118:R122"/>
    <mergeCell ref="S118:S122"/>
    <mergeCell ref="T116:T117"/>
    <mergeCell ref="U116:U117"/>
    <mergeCell ref="V116:V117"/>
    <mergeCell ref="A118:A122"/>
    <mergeCell ref="B118:B122"/>
    <mergeCell ref="C118:C122"/>
    <mergeCell ref="D118:D122"/>
    <mergeCell ref="E118:E122"/>
    <mergeCell ref="F118:F122"/>
    <mergeCell ref="G118:G122"/>
    <mergeCell ref="H116:H117"/>
    <mergeCell ref="I116:I117"/>
    <mergeCell ref="J116:J117"/>
    <mergeCell ref="K116:K117"/>
    <mergeCell ref="R116:R117"/>
    <mergeCell ref="S116:S117"/>
    <mergeCell ref="T105:T107"/>
    <mergeCell ref="U105:U107"/>
    <mergeCell ref="V105:V107"/>
    <mergeCell ref="A116:A117"/>
    <mergeCell ref="B116:B117"/>
    <mergeCell ref="C116:C117"/>
    <mergeCell ref="D116:D117"/>
    <mergeCell ref="E116:E117"/>
    <mergeCell ref="F116:F117"/>
    <mergeCell ref="G116:G117"/>
    <mergeCell ref="H105:H107"/>
    <mergeCell ref="I105:I107"/>
    <mergeCell ref="J105:J107"/>
    <mergeCell ref="K105:K107"/>
    <mergeCell ref="R105:R107"/>
    <mergeCell ref="S105:S107"/>
    <mergeCell ref="T102:T104"/>
    <mergeCell ref="U102:U104"/>
    <mergeCell ref="V102:V104"/>
    <mergeCell ref="A105:A107"/>
    <mergeCell ref="B105:B107"/>
    <mergeCell ref="C105:C107"/>
    <mergeCell ref="D105:D107"/>
    <mergeCell ref="E105:E107"/>
    <mergeCell ref="F105:F107"/>
    <mergeCell ref="G105:G107"/>
    <mergeCell ref="H102:H104"/>
    <mergeCell ref="I102:I104"/>
    <mergeCell ref="J102:J104"/>
    <mergeCell ref="K102:K104"/>
    <mergeCell ref="R102:R104"/>
    <mergeCell ref="S102:S104"/>
    <mergeCell ref="T99:T101"/>
    <mergeCell ref="U99:U101"/>
    <mergeCell ref="V99:V101"/>
    <mergeCell ref="A102:A104"/>
    <mergeCell ref="B102:B104"/>
    <mergeCell ref="C102:C104"/>
    <mergeCell ref="D102:D104"/>
    <mergeCell ref="E102:E104"/>
    <mergeCell ref="F102:F104"/>
    <mergeCell ref="G102:G104"/>
    <mergeCell ref="H99:H101"/>
    <mergeCell ref="I99:I101"/>
    <mergeCell ref="J99:J101"/>
    <mergeCell ref="K99:K101"/>
    <mergeCell ref="R99:R101"/>
    <mergeCell ref="S99:S101"/>
    <mergeCell ref="T95:T98"/>
    <mergeCell ref="U95:U98"/>
    <mergeCell ref="V95:V97"/>
    <mergeCell ref="A99:A101"/>
    <mergeCell ref="B99:B101"/>
    <mergeCell ref="C99:C101"/>
    <mergeCell ref="D99:D101"/>
    <mergeCell ref="E99:E101"/>
    <mergeCell ref="F99:F101"/>
    <mergeCell ref="G99:G101"/>
    <mergeCell ref="H95:H98"/>
    <mergeCell ref="I95:I98"/>
    <mergeCell ref="J95:J98"/>
    <mergeCell ref="K95:K98"/>
    <mergeCell ref="R95:R98"/>
    <mergeCell ref="S95:S98"/>
    <mergeCell ref="T93:T94"/>
    <mergeCell ref="U93:U94"/>
    <mergeCell ref="V93:V94"/>
    <mergeCell ref="A95:A98"/>
    <mergeCell ref="B95:B98"/>
    <mergeCell ref="C95:C98"/>
    <mergeCell ref="D95:D98"/>
    <mergeCell ref="E95:E98"/>
    <mergeCell ref="F95:F98"/>
    <mergeCell ref="G95:G98"/>
    <mergeCell ref="H93:H94"/>
    <mergeCell ref="I93:I94"/>
    <mergeCell ref="J93:J94"/>
    <mergeCell ref="K93:K94"/>
    <mergeCell ref="R93:R94"/>
    <mergeCell ref="S93:S94"/>
    <mergeCell ref="T89:T92"/>
    <mergeCell ref="U89:U92"/>
    <mergeCell ref="V89:V92"/>
    <mergeCell ref="A93:A94"/>
    <mergeCell ref="B93:B94"/>
    <mergeCell ref="C93:C94"/>
    <mergeCell ref="D93:D94"/>
    <mergeCell ref="E93:E94"/>
    <mergeCell ref="F93:F94"/>
    <mergeCell ref="G93:G94"/>
    <mergeCell ref="H89:H92"/>
    <mergeCell ref="I89:I92"/>
    <mergeCell ref="J89:J92"/>
    <mergeCell ref="K89:K92"/>
    <mergeCell ref="R89:R92"/>
    <mergeCell ref="S89:S92"/>
    <mergeCell ref="T85:T87"/>
    <mergeCell ref="U85:U87"/>
    <mergeCell ref="V85:V87"/>
    <mergeCell ref="A89:A92"/>
    <mergeCell ref="B89:B92"/>
    <mergeCell ref="C89:C92"/>
    <mergeCell ref="D89:D92"/>
    <mergeCell ref="E89:E92"/>
    <mergeCell ref="F89:F92"/>
    <mergeCell ref="G89:G92"/>
    <mergeCell ref="H85:H87"/>
    <mergeCell ref="I85:I87"/>
    <mergeCell ref="J85:J87"/>
    <mergeCell ref="K85:K87"/>
    <mergeCell ref="R85:R87"/>
    <mergeCell ref="S85:S87"/>
    <mergeCell ref="T80:T84"/>
    <mergeCell ref="U80:U84"/>
    <mergeCell ref="V80:V84"/>
    <mergeCell ref="A85:A87"/>
    <mergeCell ref="B85:B87"/>
    <mergeCell ref="C85:C87"/>
    <mergeCell ref="D85:D87"/>
    <mergeCell ref="E85:E87"/>
    <mergeCell ref="F85:F87"/>
    <mergeCell ref="G85:G87"/>
    <mergeCell ref="H80:H84"/>
    <mergeCell ref="I80:I84"/>
    <mergeCell ref="J80:J84"/>
    <mergeCell ref="K80:K84"/>
    <mergeCell ref="R80:R83"/>
    <mergeCell ref="S80:S84"/>
    <mergeCell ref="T72:T73"/>
    <mergeCell ref="U72:U73"/>
    <mergeCell ref="V72:V73"/>
    <mergeCell ref="A80:A84"/>
    <mergeCell ref="B80:B84"/>
    <mergeCell ref="C80:C84"/>
    <mergeCell ref="D80:D84"/>
    <mergeCell ref="E80:E84"/>
    <mergeCell ref="F80:F84"/>
    <mergeCell ref="G80:G84"/>
    <mergeCell ref="G72:G73"/>
    <mergeCell ref="H72:H73"/>
    <mergeCell ref="I72:I73"/>
    <mergeCell ref="J72:J73"/>
    <mergeCell ref="K72:K73"/>
    <mergeCell ref="S72:S73"/>
    <mergeCell ref="S69:S71"/>
    <mergeCell ref="T69:T71"/>
    <mergeCell ref="U69:U71"/>
    <mergeCell ref="V69:V70"/>
    <mergeCell ref="A72:A73"/>
    <mergeCell ref="B72:B73"/>
    <mergeCell ref="C72:C73"/>
    <mergeCell ref="D72:D73"/>
    <mergeCell ref="E72:E73"/>
    <mergeCell ref="F72:F73"/>
    <mergeCell ref="F69:F70"/>
    <mergeCell ref="G69:G70"/>
    <mergeCell ref="H69:H70"/>
    <mergeCell ref="I69:I70"/>
    <mergeCell ref="J69:J70"/>
    <mergeCell ref="K69:K70"/>
    <mergeCell ref="R67:R68"/>
    <mergeCell ref="S67:S68"/>
    <mergeCell ref="T67:T68"/>
    <mergeCell ref="U67:U68"/>
    <mergeCell ref="V67:V68"/>
    <mergeCell ref="A69:A70"/>
    <mergeCell ref="B69:B70"/>
    <mergeCell ref="C69:C70"/>
    <mergeCell ref="D69:D70"/>
    <mergeCell ref="E69:E70"/>
    <mergeCell ref="F67:F68"/>
    <mergeCell ref="G67:G68"/>
    <mergeCell ref="H67:H68"/>
    <mergeCell ref="I67:I68"/>
    <mergeCell ref="J67:J68"/>
    <mergeCell ref="K67:K68"/>
    <mergeCell ref="J65:J66"/>
    <mergeCell ref="K65:K66"/>
    <mergeCell ref="S65:S66"/>
    <mergeCell ref="T65:T66"/>
    <mergeCell ref="U65:U66"/>
    <mergeCell ref="A67:A68"/>
    <mergeCell ref="B67:B68"/>
    <mergeCell ref="C67:C68"/>
    <mergeCell ref="D67:D68"/>
    <mergeCell ref="E67:E68"/>
    <mergeCell ref="V59:V63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I59:I63"/>
    <mergeCell ref="J59:J63"/>
    <mergeCell ref="K59:K63"/>
    <mergeCell ref="S59:S63"/>
    <mergeCell ref="T59:T63"/>
    <mergeCell ref="U59:U63"/>
    <mergeCell ref="U54:U55"/>
    <mergeCell ref="V54:V55"/>
    <mergeCell ref="A59:A63"/>
    <mergeCell ref="B59:B63"/>
    <mergeCell ref="C59:C63"/>
    <mergeCell ref="D59:D63"/>
    <mergeCell ref="E59:E63"/>
    <mergeCell ref="F59:F63"/>
    <mergeCell ref="G59:G63"/>
    <mergeCell ref="H59:H63"/>
    <mergeCell ref="I54:I55"/>
    <mergeCell ref="J54:J55"/>
    <mergeCell ref="K54:K55"/>
    <mergeCell ref="R54:R55"/>
    <mergeCell ref="S54:S55"/>
    <mergeCell ref="T54:T55"/>
    <mergeCell ref="U48:U53"/>
    <mergeCell ref="V48:V53"/>
    <mergeCell ref="A54:A55"/>
    <mergeCell ref="B54:B55"/>
    <mergeCell ref="C54:C55"/>
    <mergeCell ref="D54:D55"/>
    <mergeCell ref="E54:E55"/>
    <mergeCell ref="F54:F55"/>
    <mergeCell ref="G54:G55"/>
    <mergeCell ref="H54:H55"/>
    <mergeCell ref="I48:I53"/>
    <mergeCell ref="J48:J53"/>
    <mergeCell ref="K48:K53"/>
    <mergeCell ref="R48:R53"/>
    <mergeCell ref="S48:S53"/>
    <mergeCell ref="T48:T53"/>
    <mergeCell ref="U46:U47"/>
    <mergeCell ref="V46:V47"/>
    <mergeCell ref="A48:A53"/>
    <mergeCell ref="B48:B53"/>
    <mergeCell ref="C48:C53"/>
    <mergeCell ref="D48:D53"/>
    <mergeCell ref="E48:E53"/>
    <mergeCell ref="F48:F53"/>
    <mergeCell ref="G48:G53"/>
    <mergeCell ref="H48:H53"/>
    <mergeCell ref="I46:I47"/>
    <mergeCell ref="J46:J47"/>
    <mergeCell ref="K46:K47"/>
    <mergeCell ref="R46:R47"/>
    <mergeCell ref="S46:S47"/>
    <mergeCell ref="T46:T47"/>
    <mergeCell ref="U44:U45"/>
    <mergeCell ref="V44:V45"/>
    <mergeCell ref="A46:A47"/>
    <mergeCell ref="B46:B47"/>
    <mergeCell ref="C46:C47"/>
    <mergeCell ref="D46:D47"/>
    <mergeCell ref="E46:E47"/>
    <mergeCell ref="F46:F47"/>
    <mergeCell ref="G46:G47"/>
    <mergeCell ref="H46:H47"/>
    <mergeCell ref="I44:I45"/>
    <mergeCell ref="J44:J45"/>
    <mergeCell ref="K44:K45"/>
    <mergeCell ref="R44:R45"/>
    <mergeCell ref="S44:S45"/>
    <mergeCell ref="T44:T45"/>
    <mergeCell ref="U38:U43"/>
    <mergeCell ref="V38:V43"/>
    <mergeCell ref="A44:A45"/>
    <mergeCell ref="B44:B45"/>
    <mergeCell ref="C44:C45"/>
    <mergeCell ref="D44:D45"/>
    <mergeCell ref="E44:E45"/>
    <mergeCell ref="F44:F45"/>
    <mergeCell ref="G44:G45"/>
    <mergeCell ref="H44:H45"/>
    <mergeCell ref="I38:I43"/>
    <mergeCell ref="J38:J43"/>
    <mergeCell ref="K38:K43"/>
    <mergeCell ref="R38:R43"/>
    <mergeCell ref="S38:S43"/>
    <mergeCell ref="T38:T43"/>
    <mergeCell ref="U36:U37"/>
    <mergeCell ref="V36:V37"/>
    <mergeCell ref="A38:A43"/>
    <mergeCell ref="B38:B43"/>
    <mergeCell ref="C38:C43"/>
    <mergeCell ref="D38:D43"/>
    <mergeCell ref="E38:E43"/>
    <mergeCell ref="F38:F43"/>
    <mergeCell ref="G38:G43"/>
    <mergeCell ref="H38:H43"/>
    <mergeCell ref="J36:J37"/>
    <mergeCell ref="K36:K37"/>
    <mergeCell ref="O36:O37"/>
    <mergeCell ref="R36:R37"/>
    <mergeCell ref="S36:S37"/>
    <mergeCell ref="T36:T37"/>
    <mergeCell ref="V34:V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4:J35"/>
    <mergeCell ref="K34:K35"/>
    <mergeCell ref="R34:R35"/>
    <mergeCell ref="S34:S35"/>
    <mergeCell ref="T34:T35"/>
    <mergeCell ref="U34:U35"/>
    <mergeCell ref="V31:V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1:J33"/>
    <mergeCell ref="K31:K33"/>
    <mergeCell ref="R31:R33"/>
    <mergeCell ref="S31:S33"/>
    <mergeCell ref="T31:T33"/>
    <mergeCell ref="U31:U33"/>
    <mergeCell ref="V27:V28"/>
    <mergeCell ref="A31:A33"/>
    <mergeCell ref="B31:B33"/>
    <mergeCell ref="C31:C33"/>
    <mergeCell ref="D31:D33"/>
    <mergeCell ref="E31:E33"/>
    <mergeCell ref="F31:F33"/>
    <mergeCell ref="G31:G33"/>
    <mergeCell ref="H31:H33"/>
    <mergeCell ref="I31:I33"/>
    <mergeCell ref="I27:I28"/>
    <mergeCell ref="J27:J28"/>
    <mergeCell ref="K27:K28"/>
    <mergeCell ref="S27:S28"/>
    <mergeCell ref="T27:T28"/>
    <mergeCell ref="U27:U28"/>
    <mergeCell ref="U24:U26"/>
    <mergeCell ref="V24:V26"/>
    <mergeCell ref="A27:A28"/>
    <mergeCell ref="B27:B28"/>
    <mergeCell ref="C27:C28"/>
    <mergeCell ref="D27:D28"/>
    <mergeCell ref="E27:E28"/>
    <mergeCell ref="F27:F28"/>
    <mergeCell ref="G27:G28"/>
    <mergeCell ref="H27:H28"/>
    <mergeCell ref="I24:I26"/>
    <mergeCell ref="J24:J26"/>
    <mergeCell ref="K24:K26"/>
    <mergeCell ref="R24:R26"/>
    <mergeCell ref="S24:S26"/>
    <mergeCell ref="T24:T26"/>
    <mergeCell ref="U20:U23"/>
    <mergeCell ref="V20:V23"/>
    <mergeCell ref="A24:A26"/>
    <mergeCell ref="B24:B26"/>
    <mergeCell ref="C24:C26"/>
    <mergeCell ref="D24:D26"/>
    <mergeCell ref="E24:E26"/>
    <mergeCell ref="F24:F26"/>
    <mergeCell ref="G24:G26"/>
    <mergeCell ref="H24:H26"/>
    <mergeCell ref="I20:I23"/>
    <mergeCell ref="J20:J23"/>
    <mergeCell ref="K20:K23"/>
    <mergeCell ref="R20:R23"/>
    <mergeCell ref="S20:S23"/>
    <mergeCell ref="T20:T23"/>
    <mergeCell ref="U17:U18"/>
    <mergeCell ref="V17:V18"/>
    <mergeCell ref="A20:A23"/>
    <mergeCell ref="B20:B23"/>
    <mergeCell ref="C20:C23"/>
    <mergeCell ref="D20:D23"/>
    <mergeCell ref="E20:E23"/>
    <mergeCell ref="F20:F23"/>
    <mergeCell ref="G20:G23"/>
    <mergeCell ref="H20:H23"/>
    <mergeCell ref="H17:H18"/>
    <mergeCell ref="I17:I18"/>
    <mergeCell ref="J17:J18"/>
    <mergeCell ref="K17:K18"/>
    <mergeCell ref="S17:S18"/>
    <mergeCell ref="T17:T18"/>
    <mergeCell ref="T15:T16"/>
    <mergeCell ref="U15:U16"/>
    <mergeCell ref="V15:V16"/>
    <mergeCell ref="A17:A18"/>
    <mergeCell ref="B17:B18"/>
    <mergeCell ref="C17:C18"/>
    <mergeCell ref="D17:D18"/>
    <mergeCell ref="E17:E18"/>
    <mergeCell ref="F17:F18"/>
    <mergeCell ref="G17:G18"/>
    <mergeCell ref="H15:H16"/>
    <mergeCell ref="I15:I16"/>
    <mergeCell ref="J15:J16"/>
    <mergeCell ref="K15:K16"/>
    <mergeCell ref="R15:R16"/>
    <mergeCell ref="S15:S16"/>
    <mergeCell ref="T13:T14"/>
    <mergeCell ref="U13:U14"/>
    <mergeCell ref="V13:V14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R13:R14"/>
    <mergeCell ref="S13:S14"/>
    <mergeCell ref="T10:T11"/>
    <mergeCell ref="U10:U11"/>
    <mergeCell ref="V10:V11"/>
    <mergeCell ref="A13:A14"/>
    <mergeCell ref="B13:B14"/>
    <mergeCell ref="C13:C14"/>
    <mergeCell ref="D13:D14"/>
    <mergeCell ref="E13:E14"/>
    <mergeCell ref="F13:F14"/>
    <mergeCell ref="G13:G14"/>
    <mergeCell ref="H10:H11"/>
    <mergeCell ref="I10:I11"/>
    <mergeCell ref="J10:J11"/>
    <mergeCell ref="K10:K11"/>
    <mergeCell ref="R10:R11"/>
    <mergeCell ref="S10:S11"/>
    <mergeCell ref="T7:T8"/>
    <mergeCell ref="U7:U8"/>
    <mergeCell ref="V7:V8"/>
    <mergeCell ref="A10:A11"/>
    <mergeCell ref="B10:B11"/>
    <mergeCell ref="C10:C11"/>
    <mergeCell ref="D10:D11"/>
    <mergeCell ref="E10:E11"/>
    <mergeCell ref="F10:F11"/>
    <mergeCell ref="G10:G11"/>
    <mergeCell ref="H7:H8"/>
    <mergeCell ref="I7:I8"/>
    <mergeCell ref="J7:J8"/>
    <mergeCell ref="K7:K8"/>
    <mergeCell ref="R7:R8"/>
    <mergeCell ref="S7:S8"/>
    <mergeCell ref="T3:T6"/>
    <mergeCell ref="U3:U6"/>
    <mergeCell ref="V3:V6"/>
    <mergeCell ref="A7:A8"/>
    <mergeCell ref="B7:B8"/>
    <mergeCell ref="C7:C8"/>
    <mergeCell ref="D7:D8"/>
    <mergeCell ref="E7:E8"/>
    <mergeCell ref="F7:F8"/>
    <mergeCell ref="G7:G8"/>
    <mergeCell ref="H3:H6"/>
    <mergeCell ref="I3:I6"/>
    <mergeCell ref="J3:J6"/>
    <mergeCell ref="K3:K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201 F3 F302:F309 F7 F209:F212 F46 F292:F298 F158 F219 F15 F118 F249 F48 F149 F277:F278 F214:F216 F9:F10 F34 F12:F13 F160 F222:F224 F125:F144 F99 F54 F24 F285 F56:F59 F36 F38 F238 F162 F229:F230 F251 F89 F19:F20 F29:F31 F172:F174 F227 F151:F154 F108:F116 F206:F207 F281 F170 F95 F166 F123 F178 F180:F199 F287:F288 F105 F315:F319 F102 F271:F275 F254:F264 F312:F313 F300 F266:F269 F290 F27 F64:F65 F17 F241 F243:F246 F234 F74:F80 F67:F69 F72" xr:uid="{4668A95F-01ED-422F-A77E-F818BACA5353}">
      <formula1>"Approval, Information"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1"/>
  <sheetViews>
    <sheetView zoomScale="80" zoomScaleNormal="80" workbookViewId="0">
      <selection activeCell="G14" sqref="G14"/>
    </sheetView>
  </sheetViews>
  <sheetFormatPr defaultColWidth="8.75" defaultRowHeight="15.5" x14ac:dyDescent="0.35"/>
  <cols>
    <col min="1" max="1" width="8.83203125" style="123" bestFit="1" customWidth="1"/>
    <col min="2" max="2" width="33.4140625" style="123" customWidth="1"/>
    <col min="3" max="3" width="41.1640625" style="123" customWidth="1"/>
    <col min="4" max="4" width="19.4140625" style="123" customWidth="1"/>
    <col min="5" max="5" width="21.83203125" style="123" customWidth="1"/>
    <col min="6" max="6" width="10.83203125" style="123" bestFit="1" customWidth="1"/>
    <col min="7" max="16384" width="8.75" style="123"/>
  </cols>
  <sheetData>
    <row r="1" spans="1:6" s="131" customFormat="1" x14ac:dyDescent="0.3">
      <c r="A1" s="240" t="s">
        <v>316</v>
      </c>
      <c r="B1" s="240" t="s">
        <v>388</v>
      </c>
      <c r="C1" s="241" t="s">
        <v>341</v>
      </c>
      <c r="D1" s="240" t="s">
        <v>317</v>
      </c>
      <c r="E1" s="240" t="s">
        <v>318</v>
      </c>
      <c r="F1" s="240" t="s">
        <v>301</v>
      </c>
    </row>
    <row r="2" spans="1:6" x14ac:dyDescent="0.35">
      <c r="A2" s="242">
        <v>1</v>
      </c>
      <c r="B2" s="243" t="s">
        <v>342</v>
      </c>
      <c r="C2" s="242" t="s">
        <v>398</v>
      </c>
      <c r="D2" s="244">
        <v>45757</v>
      </c>
      <c r="E2" s="245">
        <v>45759</v>
      </c>
      <c r="F2" s="246" t="s">
        <v>7</v>
      </c>
    </row>
    <row r="3" spans="1:6" x14ac:dyDescent="0.35">
      <c r="A3" s="242">
        <v>2</v>
      </c>
      <c r="B3" s="243" t="s">
        <v>343</v>
      </c>
      <c r="C3" s="242" t="s">
        <v>363</v>
      </c>
      <c r="D3" s="244">
        <v>45757</v>
      </c>
      <c r="E3" s="245">
        <v>45747</v>
      </c>
      <c r="F3" s="246" t="s">
        <v>7</v>
      </c>
    </row>
    <row r="4" spans="1:6" x14ac:dyDescent="0.35">
      <c r="A4" s="247">
        <v>3</v>
      </c>
      <c r="B4" s="248" t="s">
        <v>344</v>
      </c>
      <c r="C4" s="249"/>
      <c r="D4" s="250">
        <v>45780</v>
      </c>
      <c r="E4" s="251">
        <v>45838</v>
      </c>
      <c r="F4" s="252"/>
    </row>
    <row r="5" spans="1:6" x14ac:dyDescent="0.35">
      <c r="A5" s="242">
        <v>4</v>
      </c>
      <c r="B5" s="243" t="s">
        <v>345</v>
      </c>
      <c r="C5" s="242" t="s">
        <v>423</v>
      </c>
      <c r="D5" s="244">
        <v>45768</v>
      </c>
      <c r="E5" s="244">
        <v>45797</v>
      </c>
      <c r="F5" s="246" t="s">
        <v>7</v>
      </c>
    </row>
    <row r="6" spans="1:6" x14ac:dyDescent="0.35">
      <c r="A6" s="242">
        <v>5</v>
      </c>
      <c r="B6" s="243" t="s">
        <v>346</v>
      </c>
      <c r="C6" s="242" t="s">
        <v>423</v>
      </c>
      <c r="D6" s="244">
        <v>45768</v>
      </c>
      <c r="E6" s="244">
        <v>45797</v>
      </c>
      <c r="F6" s="246" t="s">
        <v>7</v>
      </c>
    </row>
    <row r="7" spans="1:6" x14ac:dyDescent="0.35">
      <c r="A7" s="242">
        <v>6</v>
      </c>
      <c r="B7" s="243" t="s">
        <v>347</v>
      </c>
      <c r="C7" s="253" t="s">
        <v>827</v>
      </c>
      <c r="D7" s="244">
        <v>45784</v>
      </c>
      <c r="E7" s="244">
        <v>45848</v>
      </c>
      <c r="F7" s="246" t="s">
        <v>7</v>
      </c>
    </row>
    <row r="8" spans="1:6" hidden="1" x14ac:dyDescent="0.35">
      <c r="A8" s="247">
        <v>7</v>
      </c>
      <c r="B8" s="254" t="s">
        <v>348</v>
      </c>
      <c r="C8" s="249"/>
      <c r="D8" s="251">
        <v>45784</v>
      </c>
      <c r="E8" s="251">
        <v>45835</v>
      </c>
      <c r="F8" s="252"/>
    </row>
    <row r="9" spans="1:6" s="131" customFormat="1" x14ac:dyDescent="0.3">
      <c r="A9" s="246">
        <v>8</v>
      </c>
      <c r="B9" s="255" t="s">
        <v>349</v>
      </c>
      <c r="C9" s="242" t="s">
        <v>350</v>
      </c>
      <c r="D9" s="245">
        <v>45760</v>
      </c>
      <c r="E9" s="245">
        <v>45747</v>
      </c>
      <c r="F9" s="246" t="s">
        <v>7</v>
      </c>
    </row>
    <row r="10" spans="1:6" x14ac:dyDescent="0.35">
      <c r="A10" s="242">
        <v>9</v>
      </c>
      <c r="B10" s="243" t="s">
        <v>351</v>
      </c>
      <c r="C10" s="242" t="s">
        <v>817</v>
      </c>
      <c r="D10" s="244">
        <v>45757</v>
      </c>
      <c r="E10" s="244">
        <v>45838</v>
      </c>
      <c r="F10" s="246" t="s">
        <v>7</v>
      </c>
    </row>
    <row r="11" spans="1:6" x14ac:dyDescent="0.35">
      <c r="A11" s="242">
        <v>10</v>
      </c>
      <c r="B11" s="243" t="s">
        <v>352</v>
      </c>
      <c r="C11" s="242" t="s">
        <v>852</v>
      </c>
      <c r="D11" s="244">
        <v>45783</v>
      </c>
      <c r="E11" s="244">
        <v>45845</v>
      </c>
      <c r="F11" s="246" t="s">
        <v>7</v>
      </c>
    </row>
    <row r="12" spans="1:6" x14ac:dyDescent="0.35">
      <c r="A12" s="242">
        <v>11</v>
      </c>
      <c r="B12" s="243" t="s">
        <v>353</v>
      </c>
      <c r="C12" s="242" t="s">
        <v>851</v>
      </c>
      <c r="D12" s="244">
        <v>45768</v>
      </c>
      <c r="E12" s="244">
        <v>45845</v>
      </c>
      <c r="F12" s="246" t="s">
        <v>7</v>
      </c>
    </row>
    <row r="13" spans="1:6" x14ac:dyDescent="0.35">
      <c r="A13" s="247">
        <v>12</v>
      </c>
      <c r="B13" s="254" t="s">
        <v>354</v>
      </c>
      <c r="C13" s="256"/>
      <c r="D13" s="251">
        <v>45768</v>
      </c>
      <c r="E13" s="251">
        <v>45845</v>
      </c>
      <c r="F13" s="252"/>
    </row>
    <row r="14" spans="1:6" x14ac:dyDescent="0.35">
      <c r="A14" s="242">
        <v>13</v>
      </c>
      <c r="B14" s="243" t="s">
        <v>355</v>
      </c>
      <c r="C14" s="323"/>
      <c r="D14" s="244">
        <v>45783</v>
      </c>
      <c r="E14" s="244">
        <v>45845</v>
      </c>
      <c r="F14" s="324"/>
    </row>
    <row r="15" spans="1:6" x14ac:dyDescent="0.35">
      <c r="A15" s="247">
        <v>14</v>
      </c>
      <c r="B15" s="254" t="s">
        <v>356</v>
      </c>
      <c r="C15" s="256"/>
      <c r="D15" s="251">
        <v>45783</v>
      </c>
      <c r="E15" s="251">
        <v>45845</v>
      </c>
      <c r="F15" s="252"/>
    </row>
    <row r="16" spans="1:6" x14ac:dyDescent="0.35">
      <c r="A16" s="247">
        <v>15</v>
      </c>
      <c r="B16" s="254" t="s">
        <v>357</v>
      </c>
      <c r="C16" s="256"/>
      <c r="D16" s="251">
        <v>45783</v>
      </c>
      <c r="E16" s="251">
        <v>45845</v>
      </c>
      <c r="F16" s="252"/>
    </row>
    <row r="17" spans="1:6" x14ac:dyDescent="0.35">
      <c r="A17" s="242">
        <v>16</v>
      </c>
      <c r="B17" s="243" t="s">
        <v>358</v>
      </c>
      <c r="C17" s="242" t="s">
        <v>814</v>
      </c>
      <c r="D17" s="244">
        <v>45768</v>
      </c>
      <c r="E17" s="244">
        <v>45815</v>
      </c>
      <c r="F17" s="246" t="s">
        <v>7</v>
      </c>
    </row>
    <row r="18" spans="1:6" x14ac:dyDescent="0.35">
      <c r="A18" s="242">
        <v>17</v>
      </c>
      <c r="B18" s="243" t="s">
        <v>359</v>
      </c>
      <c r="C18" s="242" t="s">
        <v>825</v>
      </c>
      <c r="D18" s="244">
        <v>45783</v>
      </c>
      <c r="E18" s="244">
        <v>45857</v>
      </c>
      <c r="F18" s="246" t="s">
        <v>7</v>
      </c>
    </row>
    <row r="19" spans="1:6" ht="28.5" x14ac:dyDescent="0.35">
      <c r="A19" s="242">
        <v>18</v>
      </c>
      <c r="B19" s="243" t="s">
        <v>360</v>
      </c>
      <c r="C19" s="242" t="s">
        <v>826</v>
      </c>
      <c r="D19" s="244">
        <v>45784</v>
      </c>
      <c r="E19" s="244">
        <v>45849</v>
      </c>
      <c r="F19" s="246" t="s">
        <v>7</v>
      </c>
    </row>
    <row r="20" spans="1:6" s="131" customFormat="1" x14ac:dyDescent="0.35">
      <c r="A20" s="128">
        <v>19</v>
      </c>
      <c r="B20" s="129" t="s">
        <v>361</v>
      </c>
      <c r="C20" s="222"/>
      <c r="D20" s="130">
        <v>45803</v>
      </c>
      <c r="E20" s="130">
        <v>45853</v>
      </c>
      <c r="F20" s="127"/>
    </row>
    <row r="21" spans="1:6" s="131" customFormat="1" ht="31" x14ac:dyDescent="0.35">
      <c r="A21" s="128">
        <v>20</v>
      </c>
      <c r="B21" s="129" t="s">
        <v>362</v>
      </c>
      <c r="C21" s="222"/>
      <c r="D21" s="130">
        <v>45839</v>
      </c>
      <c r="E21" s="130">
        <v>45839</v>
      </c>
      <c r="F21" s="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zoomScale="80" zoomScaleNormal="80" workbookViewId="0">
      <selection activeCell="E10" sqref="E10"/>
    </sheetView>
  </sheetViews>
  <sheetFormatPr defaultColWidth="8.75" defaultRowHeight="15.5" x14ac:dyDescent="0.35"/>
  <cols>
    <col min="1" max="1" width="8.83203125" style="131" bestFit="1" customWidth="1"/>
    <col min="2" max="2" width="41.9140625" style="123" customWidth="1"/>
    <col min="3" max="3" width="11.4140625" style="190" bestFit="1" customWidth="1"/>
    <col min="4" max="4" width="16.5" style="190" bestFit="1" customWidth="1"/>
    <col min="5" max="5" width="33.4140625" style="123" customWidth="1"/>
    <col min="6" max="6" width="10.83203125" style="123" bestFit="1" customWidth="1"/>
    <col min="7" max="16384" width="8.75" style="123"/>
  </cols>
  <sheetData>
    <row r="1" spans="1:9" s="131" customFormat="1" ht="31" x14ac:dyDescent="0.35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35">
      <c r="A2" s="136">
        <v>1</v>
      </c>
      <c r="B2" s="133" t="s">
        <v>51</v>
      </c>
      <c r="C2" s="134">
        <v>45694</v>
      </c>
      <c r="D2" s="134">
        <v>45694</v>
      </c>
      <c r="E2" s="140"/>
    </row>
    <row r="3" spans="1:9" x14ac:dyDescent="0.35">
      <c r="A3" s="136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35">
      <c r="A4" s="136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35">
      <c r="A5" s="136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35">
      <c r="A6" s="136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35">
      <c r="A7" s="136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1" x14ac:dyDescent="0.35">
      <c r="A8" s="136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35">
      <c r="A9" s="136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1" x14ac:dyDescent="0.35">
      <c r="A10" s="136">
        <v>9</v>
      </c>
      <c r="B10" s="138" t="s">
        <v>327</v>
      </c>
      <c r="C10" s="137">
        <v>45754</v>
      </c>
      <c r="D10" s="134">
        <v>45793</v>
      </c>
      <c r="E10" s="138" t="s">
        <v>7</v>
      </c>
    </row>
    <row r="11" spans="1:9" x14ac:dyDescent="0.35">
      <c r="A11" s="136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35">
      <c r="A12" s="136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35">
      <c r="A13" s="136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35">
      <c r="A14" s="136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4"/>
    </row>
    <row r="15" spans="1:9" x14ac:dyDescent="0.35">
      <c r="A15" s="136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4"/>
    </row>
    <row r="16" spans="1:9" x14ac:dyDescent="0.35">
      <c r="A16" s="136">
        <v>15</v>
      </c>
      <c r="B16" s="133" t="s">
        <v>812</v>
      </c>
      <c r="C16" s="134">
        <f>C15+28</f>
        <v>45801</v>
      </c>
      <c r="D16" s="134">
        <v>45837</v>
      </c>
      <c r="E16" s="133" t="s">
        <v>7</v>
      </c>
    </row>
    <row r="17" spans="1:5" ht="31" x14ac:dyDescent="0.35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35">
      <c r="A18" s="136">
        <v>1</v>
      </c>
      <c r="B18" s="138" t="s">
        <v>396</v>
      </c>
      <c r="C18" s="137">
        <v>45760</v>
      </c>
      <c r="D18" s="134">
        <v>45752</v>
      </c>
      <c r="E18" s="221" t="s">
        <v>7</v>
      </c>
    </row>
    <row r="19" spans="1:5" s="131" customFormat="1" x14ac:dyDescent="0.35">
      <c r="A19" s="136">
        <f>+SUM(A18+1)</f>
        <v>2</v>
      </c>
      <c r="B19" s="138" t="s">
        <v>816</v>
      </c>
      <c r="C19" s="137">
        <v>45833</v>
      </c>
      <c r="D19" s="134">
        <v>45837</v>
      </c>
      <c r="E19" s="221" t="s">
        <v>7</v>
      </c>
    </row>
    <row r="20" spans="1:5" s="131" customFormat="1" ht="31" x14ac:dyDescent="0.35">
      <c r="A20" s="136">
        <f t="shared" ref="A20:A25" si="0">+SUM(A19+1)</f>
        <v>3</v>
      </c>
      <c r="B20" s="138" t="s">
        <v>331</v>
      </c>
      <c r="C20" s="137">
        <v>45783</v>
      </c>
      <c r="D20" s="134">
        <v>45838</v>
      </c>
      <c r="E20" s="221" t="s">
        <v>7</v>
      </c>
    </row>
    <row r="21" spans="1:5" s="131" customFormat="1" x14ac:dyDescent="0.35">
      <c r="A21" s="136">
        <f t="shared" si="0"/>
        <v>4</v>
      </c>
      <c r="B21" s="138" t="s">
        <v>332</v>
      </c>
      <c r="C21" s="137">
        <v>45767</v>
      </c>
      <c r="D21" s="134">
        <v>45767</v>
      </c>
      <c r="E21" s="221" t="s">
        <v>7</v>
      </c>
    </row>
    <row r="22" spans="1:5" s="131" customFormat="1" x14ac:dyDescent="0.35">
      <c r="A22" s="136">
        <f t="shared" si="0"/>
        <v>5</v>
      </c>
      <c r="B22" s="138" t="s">
        <v>333</v>
      </c>
      <c r="C22" s="137">
        <v>45767</v>
      </c>
      <c r="D22" s="134">
        <v>45752</v>
      </c>
      <c r="E22" s="221" t="s">
        <v>7</v>
      </c>
    </row>
    <row r="23" spans="1:5" s="131" customFormat="1" x14ac:dyDescent="0.35">
      <c r="A23" s="136">
        <f t="shared" si="0"/>
        <v>6</v>
      </c>
      <c r="B23" s="138" t="s">
        <v>334</v>
      </c>
      <c r="C23" s="137">
        <v>45762</v>
      </c>
      <c r="D23" s="134">
        <v>45740</v>
      </c>
      <c r="E23" s="221" t="s">
        <v>335</v>
      </c>
    </row>
    <row r="24" spans="1:5" s="131" customFormat="1" x14ac:dyDescent="0.35">
      <c r="A24" s="136">
        <f t="shared" si="0"/>
        <v>7</v>
      </c>
      <c r="B24" s="138" t="s">
        <v>336</v>
      </c>
      <c r="C24" s="137">
        <v>45774</v>
      </c>
      <c r="D24" s="134">
        <v>45844</v>
      </c>
      <c r="E24" s="221" t="s">
        <v>7</v>
      </c>
    </row>
    <row r="25" spans="1:5" s="131" customFormat="1" x14ac:dyDescent="0.35">
      <c r="A25" s="136">
        <f t="shared" si="0"/>
        <v>8</v>
      </c>
      <c r="B25" s="138" t="s">
        <v>337</v>
      </c>
      <c r="C25" s="137">
        <v>45774</v>
      </c>
      <c r="D25" s="134">
        <v>45838</v>
      </c>
      <c r="E25" s="221" t="s">
        <v>7</v>
      </c>
    </row>
    <row r="26" spans="1:5" s="131" customFormat="1" x14ac:dyDescent="0.35">
      <c r="A26" s="136">
        <f>+SUM(A25+1)</f>
        <v>9</v>
      </c>
      <c r="B26" s="138" t="s">
        <v>338</v>
      </c>
      <c r="C26" s="137">
        <v>45764</v>
      </c>
      <c r="D26" s="134">
        <v>45838</v>
      </c>
      <c r="E26" s="221" t="s">
        <v>7</v>
      </c>
    </row>
    <row r="27" spans="1:5" ht="31" x14ac:dyDescent="0.35">
      <c r="A27" s="233" t="s">
        <v>316</v>
      </c>
      <c r="B27" s="234" t="s">
        <v>818</v>
      </c>
      <c r="C27" s="234" t="s">
        <v>317</v>
      </c>
      <c r="D27" s="234" t="s">
        <v>318</v>
      </c>
      <c r="E27" s="234" t="s">
        <v>319</v>
      </c>
    </row>
    <row r="28" spans="1:5" x14ac:dyDescent="0.35">
      <c r="A28" s="235">
        <v>1</v>
      </c>
      <c r="B28" s="236" t="s">
        <v>819</v>
      </c>
      <c r="C28" s="239"/>
      <c r="D28" s="238">
        <v>45836</v>
      </c>
      <c r="E28" s="237" t="s">
        <v>811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640625" defaultRowHeight="15.5" x14ac:dyDescent="0.35"/>
  <cols>
    <col min="1" max="1" width="13.5" style="29" bestFit="1" customWidth="1"/>
    <col min="2" max="2" width="22.83203125" style="29" customWidth="1"/>
    <col min="3" max="3" width="16.83203125" style="29" customWidth="1"/>
    <col min="4" max="4" width="20.75" style="29" customWidth="1"/>
    <col min="5" max="5" width="20.75" style="48" customWidth="1"/>
    <col min="6" max="6" width="9.83203125" style="47" customWidth="1"/>
    <col min="7" max="13" width="8.4140625" style="36" bestFit="1" customWidth="1"/>
    <col min="14" max="14" width="9.5" style="36" bestFit="1" customWidth="1"/>
    <col min="15" max="26" width="9.1640625" style="36"/>
    <col min="27" max="44" width="9.5" style="36" bestFit="1" customWidth="1"/>
    <col min="45" max="50" width="9.1640625" style="36"/>
    <col min="51" max="53" width="8.4140625" style="36" bestFit="1" customWidth="1"/>
    <col min="54" max="67" width="8.83203125" style="36" bestFit="1" customWidth="1"/>
    <col min="68" max="98" width="9" style="36" bestFit="1" customWidth="1"/>
    <col min="99" max="159" width="8.83203125" style="36" bestFit="1" customWidth="1"/>
    <col min="160" max="189" width="9.1640625" style="36"/>
    <col min="190" max="220" width="9" style="36" bestFit="1" customWidth="1"/>
    <col min="221" max="221" width="8.4140625" style="36" bestFit="1" customWidth="1"/>
    <col min="222" max="222" width="9" style="36" bestFit="1" customWidth="1"/>
    <col min="223" max="251" width="8.4140625" style="36" bestFit="1" customWidth="1"/>
    <col min="252" max="279" width="8.83203125" style="36" bestFit="1" customWidth="1"/>
    <col min="280" max="310" width="9.4140625" style="36" bestFit="1" customWidth="1"/>
    <col min="311" max="340" width="8.83203125" style="36" bestFit="1" customWidth="1"/>
    <col min="341" max="351" width="9.5" style="36" bestFit="1" customWidth="1"/>
    <col min="352" max="16384" width="9.1640625" style="36"/>
  </cols>
  <sheetData>
    <row r="1" spans="1:351" s="23" customFormat="1" x14ac:dyDescent="0.3">
      <c r="A1" s="50" t="s">
        <v>63</v>
      </c>
      <c r="B1" s="546" t="s">
        <v>94</v>
      </c>
      <c r="C1" s="547"/>
      <c r="D1" s="548"/>
      <c r="E1" s="22"/>
    </row>
    <row r="2" spans="1:351" s="23" customFormat="1" x14ac:dyDescent="0.3">
      <c r="A2" s="24" t="s">
        <v>64</v>
      </c>
      <c r="B2" s="549" t="s">
        <v>95</v>
      </c>
      <c r="C2" s="550"/>
      <c r="D2" s="551"/>
      <c r="E2" s="22"/>
    </row>
    <row r="3" spans="1:351" s="23" customFormat="1" ht="16" thickBot="1" x14ac:dyDescent="0.35">
      <c r="A3" s="25" t="s">
        <v>65</v>
      </c>
      <c r="B3" s="552">
        <f>'[1]Project Overview'!P1</f>
        <v>45702</v>
      </c>
      <c r="C3" s="553"/>
      <c r="D3" s="554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35">
      <c r="A5" s="555" t="s">
        <v>66</v>
      </c>
      <c r="B5" s="555" t="s">
        <v>67</v>
      </c>
      <c r="C5" s="556" t="s">
        <v>68</v>
      </c>
      <c r="D5" s="555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35">
      <c r="A6" s="555"/>
      <c r="B6" s="555"/>
      <c r="C6" s="557"/>
      <c r="D6" s="555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35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35">
      <c r="A8" s="30">
        <v>2</v>
      </c>
      <c r="B8" s="544"/>
      <c r="C8" s="544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35">
      <c r="A9" s="30">
        <v>3</v>
      </c>
      <c r="B9" s="545"/>
      <c r="C9" s="545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35">
      <c r="A10" s="30">
        <v>4</v>
      </c>
      <c r="B10" s="544"/>
      <c r="C10" s="544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35">
      <c r="A11" s="30">
        <v>5</v>
      </c>
      <c r="B11" s="545"/>
      <c r="C11" s="545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35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35">
      <c r="A13" s="30">
        <v>7</v>
      </c>
      <c r="B13" s="540"/>
      <c r="C13" s="540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35">
      <c r="A14" s="30">
        <v>8</v>
      </c>
      <c r="B14" s="540"/>
      <c r="C14" s="540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35">
      <c r="A15" s="30">
        <v>9</v>
      </c>
      <c r="B15" s="540"/>
      <c r="C15" s="540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35">
      <c r="A16" s="30">
        <v>10</v>
      </c>
      <c r="B16" s="540"/>
      <c r="C16" s="540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35">
      <c r="A17" s="30">
        <v>11</v>
      </c>
      <c r="B17" s="540"/>
      <c r="C17" s="540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35">
      <c r="A18" s="30">
        <v>12</v>
      </c>
      <c r="B18" s="540"/>
      <c r="C18" s="540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35">
      <c r="A19" s="30">
        <v>13</v>
      </c>
      <c r="B19" s="540"/>
      <c r="C19" s="540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35">
      <c r="A20" s="30">
        <v>14</v>
      </c>
      <c r="B20" s="540"/>
      <c r="C20" s="540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35">
      <c r="A21" s="30">
        <v>15</v>
      </c>
      <c r="B21" s="540"/>
      <c r="C21" s="540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35">
      <c r="A22" s="30">
        <v>16</v>
      </c>
      <c r="B22" s="540"/>
      <c r="C22" s="540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35">
      <c r="A23" s="30">
        <v>17</v>
      </c>
      <c r="B23" s="540"/>
      <c r="C23" s="540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35">
      <c r="A24" s="30">
        <v>18</v>
      </c>
      <c r="B24" s="540"/>
      <c r="C24" s="540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35">
      <c r="A25" s="30">
        <v>19</v>
      </c>
      <c r="B25" s="540"/>
      <c r="C25" s="540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35">
      <c r="A26" s="30">
        <v>20</v>
      </c>
      <c r="B26" s="540"/>
      <c r="C26" s="540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35">
      <c r="A27" s="30">
        <v>21</v>
      </c>
      <c r="B27" s="540"/>
      <c r="C27" s="540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35">
      <c r="A28" s="30">
        <v>22</v>
      </c>
      <c r="B28" s="540"/>
      <c r="C28" s="540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35">
      <c r="A29" s="30">
        <v>23</v>
      </c>
      <c r="B29" s="540"/>
      <c r="C29" s="540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35">
      <c r="A30" s="30">
        <v>24</v>
      </c>
      <c r="B30" s="540"/>
      <c r="C30" s="540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35">
      <c r="A31" s="30">
        <v>25</v>
      </c>
      <c r="B31" s="540"/>
      <c r="C31" s="540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35">
      <c r="A32" s="30">
        <v>26</v>
      </c>
      <c r="B32" s="540"/>
      <c r="C32" s="540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35">
      <c r="A33" s="30">
        <v>27</v>
      </c>
      <c r="B33" s="540"/>
      <c r="C33" s="540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35">
      <c r="A34" s="30">
        <v>28</v>
      </c>
      <c r="B34" s="541"/>
      <c r="C34" s="541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35">
      <c r="A35" s="30">
        <v>29</v>
      </c>
      <c r="B35" s="542"/>
      <c r="C35" s="542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35">
      <c r="A36" s="30">
        <v>30</v>
      </c>
      <c r="B36" s="542"/>
      <c r="C36" s="542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35">
      <c r="A37" s="30">
        <v>31</v>
      </c>
      <c r="B37" s="540"/>
      <c r="C37" s="540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35">
      <c r="A38" s="30">
        <v>32</v>
      </c>
      <c r="B38" s="540"/>
      <c r="C38" s="540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35">
      <c r="A39" s="30">
        <v>33</v>
      </c>
      <c r="B39" s="540"/>
      <c r="C39" s="540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35">
      <c r="A40" s="30">
        <v>34</v>
      </c>
      <c r="B40" s="541"/>
      <c r="C40" s="541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35">
      <c r="A41" s="30">
        <v>35</v>
      </c>
      <c r="B41" s="542"/>
      <c r="C41" s="542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35">
      <c r="A42" s="30">
        <v>36</v>
      </c>
      <c r="B42" s="542"/>
      <c r="C42" s="542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35">
      <c r="A43" s="30">
        <v>37</v>
      </c>
      <c r="B43" s="541"/>
      <c r="C43" s="540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35">
      <c r="A44" s="30">
        <v>38</v>
      </c>
      <c r="B44" s="542"/>
      <c r="C44" s="540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35">
      <c r="A45" s="30">
        <v>39</v>
      </c>
      <c r="B45" s="542"/>
      <c r="C45" s="540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35">
      <c r="A46" s="30">
        <v>40</v>
      </c>
      <c r="B46" s="541"/>
      <c r="C46" s="541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35">
      <c r="A47" s="30">
        <v>41</v>
      </c>
      <c r="B47" s="542"/>
      <c r="C47" s="542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35">
      <c r="A48" s="30">
        <v>42</v>
      </c>
      <c r="B48" s="543"/>
      <c r="C48" s="543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5" x14ac:dyDescent="0.35">
      <c r="A49" s="30">
        <v>43</v>
      </c>
      <c r="B49" s="542"/>
      <c r="C49" s="542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35">
      <c r="A50" s="30">
        <v>44</v>
      </c>
      <c r="B50" s="542"/>
      <c r="C50" s="542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35">
      <c r="A51" s="30">
        <v>45</v>
      </c>
      <c r="B51" s="542"/>
      <c r="C51" s="542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35">
      <c r="A52" s="30">
        <v>46</v>
      </c>
      <c r="B52" s="541"/>
      <c r="C52" s="541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35">
      <c r="A53" s="30">
        <v>47</v>
      </c>
      <c r="B53" s="542"/>
      <c r="C53" s="542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35">
      <c r="A54" s="30">
        <v>48</v>
      </c>
      <c r="B54" s="542"/>
      <c r="C54" s="543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35">
      <c r="A55" s="30">
        <v>49</v>
      </c>
      <c r="B55" s="541"/>
      <c r="C55" s="541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35">
      <c r="A56" s="30">
        <v>50</v>
      </c>
      <c r="B56" s="542"/>
      <c r="C56" s="542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35">
      <c r="A57" s="30">
        <v>51</v>
      </c>
      <c r="B57" s="542"/>
      <c r="C57" s="542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35">
      <c r="A58" s="30">
        <v>52</v>
      </c>
      <c r="B58" s="542"/>
      <c r="C58" s="542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35">
      <c r="A59" s="30">
        <v>53</v>
      </c>
      <c r="B59" s="542"/>
      <c r="C59" s="542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35">
      <c r="A60" s="30">
        <v>54</v>
      </c>
      <c r="B60" s="543"/>
      <c r="C60" s="543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35">
      <c r="A61" s="30">
        <v>55</v>
      </c>
      <c r="B61" s="541"/>
      <c r="C61" s="541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35">
      <c r="A62" s="30">
        <v>56</v>
      </c>
      <c r="B62" s="542"/>
      <c r="C62" s="542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35">
      <c r="A63" s="30">
        <v>57</v>
      </c>
      <c r="B63" s="542"/>
      <c r="C63" s="542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35">
      <c r="A64" s="30">
        <v>58</v>
      </c>
      <c r="B64" s="542"/>
      <c r="C64" s="542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35">
      <c r="A65" s="30">
        <v>59</v>
      </c>
      <c r="B65" s="542"/>
      <c r="C65" s="542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35">
      <c r="A66" s="30">
        <v>60</v>
      </c>
      <c r="B66" s="543"/>
      <c r="C66" s="543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35">
      <c r="A67" s="30">
        <v>61</v>
      </c>
      <c r="B67" s="541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35">
      <c r="A68" s="30">
        <v>62</v>
      </c>
      <c r="B68" s="542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35">
      <c r="A69" s="30">
        <v>63</v>
      </c>
      <c r="B69" s="542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35">
      <c r="A70" s="30">
        <v>64</v>
      </c>
      <c r="B70" s="542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35">
      <c r="A71" s="30">
        <v>65</v>
      </c>
      <c r="B71" s="542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35">
      <c r="A72" s="30">
        <v>66</v>
      </c>
      <c r="B72" s="543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35">
      <c r="A73" s="30">
        <v>67</v>
      </c>
      <c r="B73" s="541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35">
      <c r="A74" s="30">
        <v>68</v>
      </c>
      <c r="B74" s="542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35">
      <c r="A75" s="30">
        <v>69</v>
      </c>
      <c r="B75" s="542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35">
      <c r="A76" s="30">
        <v>70</v>
      </c>
      <c r="B76" s="542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35">
      <c r="A77" s="30">
        <v>71</v>
      </c>
      <c r="B77" s="542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35">
      <c r="A78" s="30">
        <v>72</v>
      </c>
      <c r="B78" s="543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35">
      <c r="A79" s="30">
        <v>73</v>
      </c>
      <c r="B79" s="541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35">
      <c r="A80" s="30">
        <v>74</v>
      </c>
      <c r="B80" s="542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35">
      <c r="A81" s="30">
        <v>75</v>
      </c>
      <c r="B81" s="542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35">
      <c r="A82" s="30">
        <v>76</v>
      </c>
      <c r="B82" s="542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35">
      <c r="A83" s="30">
        <v>77</v>
      </c>
      <c r="B83" s="542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35">
      <c r="A84" s="30">
        <v>78</v>
      </c>
      <c r="B84" s="543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35">
      <c r="A85" s="30">
        <v>79</v>
      </c>
      <c r="B85" s="541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35">
      <c r="A86" s="30">
        <v>80</v>
      </c>
      <c r="B86" s="542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35">
      <c r="A87" s="30">
        <v>81</v>
      </c>
      <c r="B87" s="542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35">
      <c r="A88" s="30">
        <v>82</v>
      </c>
      <c r="B88" s="542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35">
      <c r="A89" s="30">
        <v>83</v>
      </c>
      <c r="B89" s="542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35">
      <c r="A90" s="30">
        <v>84</v>
      </c>
      <c r="B90" s="543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35">
      <c r="A91" s="30">
        <v>85</v>
      </c>
      <c r="B91" s="541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35">
      <c r="A92" s="30">
        <v>86</v>
      </c>
      <c r="B92" s="542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35">
      <c r="A93" s="30">
        <v>87</v>
      </c>
      <c r="B93" s="542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35">
      <c r="A94" s="30">
        <v>88</v>
      </c>
      <c r="B94" s="542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35">
      <c r="A95" s="30">
        <v>89</v>
      </c>
      <c r="B95" s="542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35">
      <c r="A96" s="30">
        <v>90</v>
      </c>
      <c r="B96" s="543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35">
      <c r="A97" s="30">
        <v>91</v>
      </c>
      <c r="B97" s="541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35">
      <c r="A98" s="30">
        <v>92</v>
      </c>
      <c r="B98" s="542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35">
      <c r="A99" s="30">
        <v>93</v>
      </c>
      <c r="B99" s="542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35">
      <c r="A100" s="30">
        <v>94</v>
      </c>
      <c r="B100" s="542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35">
      <c r="A101" s="30">
        <v>95</v>
      </c>
      <c r="B101" s="542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35">
      <c r="A102" s="30">
        <v>96</v>
      </c>
      <c r="B102" s="543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35">
      <c r="A103" s="30">
        <v>97</v>
      </c>
      <c r="B103" s="541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35">
      <c r="A104" s="30">
        <v>98</v>
      </c>
      <c r="B104" s="542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35">
      <c r="A105" s="30">
        <v>99</v>
      </c>
      <c r="B105" s="542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35">
      <c r="A106" s="30">
        <v>100</v>
      </c>
      <c r="B106" s="542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35">
      <c r="A107" s="30">
        <v>101</v>
      </c>
      <c r="B107" s="542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35">
      <c r="A108" s="30">
        <v>102</v>
      </c>
      <c r="B108" s="543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35">
      <c r="A109" s="30">
        <v>103</v>
      </c>
      <c r="B109" s="541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35">
      <c r="A110" s="30">
        <v>104</v>
      </c>
      <c r="B110" s="542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35">
      <c r="A111" s="30">
        <v>105</v>
      </c>
      <c r="B111" s="542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35">
      <c r="A112" s="30">
        <v>106</v>
      </c>
      <c r="B112" s="542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35">
      <c r="A113" s="30">
        <v>107</v>
      </c>
      <c r="B113" s="542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35">
      <c r="A114" s="30">
        <v>108</v>
      </c>
      <c r="B114" s="543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35">
      <c r="A115" s="30">
        <v>109</v>
      </c>
      <c r="B115" s="541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35">
      <c r="A116" s="30">
        <v>110</v>
      </c>
      <c r="B116" s="542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35">
      <c r="A117" s="30">
        <v>111</v>
      </c>
      <c r="B117" s="542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35">
      <c r="A118" s="30">
        <v>112</v>
      </c>
      <c r="B118" s="542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35">
      <c r="A119" s="30">
        <v>113</v>
      </c>
      <c r="B119" s="542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35">
      <c r="A120" s="30">
        <v>114</v>
      </c>
      <c r="B120" s="543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35">
      <c r="A121" s="30">
        <v>115</v>
      </c>
      <c r="B121" s="541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35">
      <c r="A122" s="30">
        <v>116</v>
      </c>
      <c r="B122" s="542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35">
      <c r="A123" s="30">
        <v>117</v>
      </c>
      <c r="B123" s="542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35">
      <c r="A124" s="30">
        <v>118</v>
      </c>
      <c r="B124" s="542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35">
      <c r="A125" s="30">
        <v>119</v>
      </c>
      <c r="B125" s="542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35">
      <c r="A126" s="30">
        <v>120</v>
      </c>
      <c r="B126" s="543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35">
      <c r="A127" s="30">
        <v>121</v>
      </c>
      <c r="B127" s="541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35">
      <c r="A128" s="30">
        <v>122</v>
      </c>
      <c r="B128" s="542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35">
      <c r="A129" s="30">
        <v>123</v>
      </c>
      <c r="B129" s="542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35">
      <c r="A130" s="30">
        <v>124</v>
      </c>
      <c r="B130" s="543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35">
      <c r="A131" s="30">
        <v>125</v>
      </c>
      <c r="B131" s="540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35">
      <c r="A132" s="30">
        <v>126</v>
      </c>
      <c r="B132" s="540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35">
      <c r="A133" s="30">
        <v>127</v>
      </c>
      <c r="B133" s="540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35">
      <c r="A134" s="30">
        <v>128</v>
      </c>
      <c r="B134" s="540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35">
      <c r="A135" s="30">
        <v>129</v>
      </c>
      <c r="B135" s="540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35">
      <c r="A136" s="30">
        <v>130</v>
      </c>
      <c r="B136" s="540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35">
      <c r="A137" s="30">
        <v>131</v>
      </c>
      <c r="B137" s="540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35">
      <c r="A138" s="30">
        <v>132</v>
      </c>
      <c r="B138" s="540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35">
      <c r="A139" s="30">
        <v>133</v>
      </c>
      <c r="B139" s="540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:D1"/>
    <mergeCell ref="B2:D2"/>
    <mergeCell ref="B3:D3"/>
    <mergeCell ref="A5:A6"/>
    <mergeCell ref="B5:B6"/>
    <mergeCell ref="C5:C6"/>
    <mergeCell ref="D5:D6"/>
    <mergeCell ref="B8:B9"/>
    <mergeCell ref="C8:C9"/>
    <mergeCell ref="B10:B11"/>
    <mergeCell ref="C10:C11"/>
    <mergeCell ref="B13:B15"/>
    <mergeCell ref="C13:C15"/>
    <mergeCell ref="B16:B18"/>
    <mergeCell ref="C16:C18"/>
    <mergeCell ref="B19:B21"/>
    <mergeCell ref="C19:C21"/>
    <mergeCell ref="B22:B24"/>
    <mergeCell ref="C22:C24"/>
    <mergeCell ref="B25:B27"/>
    <mergeCell ref="C25:C27"/>
    <mergeCell ref="B28:B30"/>
    <mergeCell ref="C28:C30"/>
    <mergeCell ref="B31:B33"/>
    <mergeCell ref="C31:C33"/>
    <mergeCell ref="B34:B36"/>
    <mergeCell ref="C34:C36"/>
    <mergeCell ref="B37:B39"/>
    <mergeCell ref="C37:C39"/>
    <mergeCell ref="B40:B42"/>
    <mergeCell ref="C40:C42"/>
    <mergeCell ref="B43:B45"/>
    <mergeCell ref="C43:C45"/>
    <mergeCell ref="B46:B48"/>
    <mergeCell ref="C46:C48"/>
    <mergeCell ref="B49:B51"/>
    <mergeCell ref="C49:C51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134:B136"/>
    <mergeCell ref="B137:B139"/>
    <mergeCell ref="B103:B108"/>
    <mergeCell ref="B109:B114"/>
    <mergeCell ref="B115:B120"/>
    <mergeCell ref="B121:B126"/>
    <mergeCell ref="B127:B130"/>
    <mergeCell ref="B131:B1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640625" defaultRowHeight="15.5" x14ac:dyDescent="0.35"/>
  <cols>
    <col min="1" max="1" width="11.1640625" style="29" customWidth="1"/>
    <col min="2" max="2" width="20.4140625" style="29" bestFit="1" customWidth="1"/>
    <col min="3" max="3" width="25.25" style="29" hidden="1" customWidth="1"/>
    <col min="4" max="4" width="22" style="29" bestFit="1" customWidth="1"/>
    <col min="5" max="5" width="10.4140625" style="48" hidden="1" customWidth="1"/>
    <col min="6" max="6" width="9.83203125" style="47" customWidth="1"/>
    <col min="7" max="13" width="8.4140625" style="36" hidden="1" customWidth="1"/>
    <col min="14" max="14" width="9.5" style="36" hidden="1" customWidth="1"/>
    <col min="15" max="26" width="9.1640625" style="36" hidden="1" customWidth="1"/>
    <col min="27" max="44" width="9.5" style="36" hidden="1" customWidth="1"/>
    <col min="45" max="50" width="9.1640625" style="36" hidden="1" customWidth="1"/>
    <col min="51" max="53" width="8.4140625" style="36" hidden="1" customWidth="1"/>
    <col min="54" max="57" width="8.83203125" style="36" hidden="1" customWidth="1"/>
    <col min="58" max="77" width="3.9140625" style="36" bestFit="1" customWidth="1"/>
    <col min="78" max="98" width="9" style="36" bestFit="1" customWidth="1"/>
    <col min="99" max="159" width="8.83203125" style="36" bestFit="1" customWidth="1"/>
    <col min="160" max="189" width="9.1640625" style="36"/>
    <col min="190" max="220" width="9" style="36" bestFit="1" customWidth="1"/>
    <col min="221" max="221" width="8.4140625" style="36" bestFit="1" customWidth="1"/>
    <col min="222" max="222" width="9" style="36" bestFit="1" customWidth="1"/>
    <col min="223" max="251" width="8.4140625" style="36" bestFit="1" customWidth="1"/>
    <col min="252" max="279" width="8.83203125" style="36" bestFit="1" customWidth="1"/>
    <col min="280" max="310" width="9.4140625" style="36" bestFit="1" customWidth="1"/>
    <col min="311" max="326" width="8.83203125" style="36" bestFit="1" customWidth="1"/>
    <col min="327" max="16384" width="9.1640625" style="36"/>
  </cols>
  <sheetData>
    <row r="1" spans="1:326" s="23" customFormat="1" x14ac:dyDescent="0.3">
      <c r="A1" s="72" t="s">
        <v>63</v>
      </c>
      <c r="B1" s="564" t="s">
        <v>94</v>
      </c>
      <c r="C1" s="565"/>
      <c r="D1" s="566"/>
      <c r="E1" s="22"/>
    </row>
    <row r="2" spans="1:326" s="23" customFormat="1" x14ac:dyDescent="0.3">
      <c r="A2" s="71" t="s">
        <v>64</v>
      </c>
      <c r="B2" s="567" t="s">
        <v>95</v>
      </c>
      <c r="C2" s="568"/>
      <c r="D2" s="569"/>
      <c r="E2" s="22"/>
    </row>
    <row r="3" spans="1:326" s="23" customFormat="1" ht="20.149999999999999" customHeight="1" thickBot="1" x14ac:dyDescent="0.35">
      <c r="A3" s="73" t="s">
        <v>65</v>
      </c>
      <c r="B3" s="570">
        <v>45703</v>
      </c>
      <c r="C3" s="571"/>
      <c r="D3" s="572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35">
      <c r="A5" s="573" t="s">
        <v>66</v>
      </c>
      <c r="B5" s="573" t="s">
        <v>67</v>
      </c>
      <c r="C5" s="573" t="s">
        <v>68</v>
      </c>
      <c r="D5" s="573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0">
        <f t="shared" si="1"/>
        <v>45754</v>
      </c>
      <c r="BG5" s="160">
        <f t="shared" si="1"/>
        <v>45755</v>
      </c>
      <c r="BH5" s="160">
        <f t="shared" si="1"/>
        <v>45756</v>
      </c>
      <c r="BI5" s="160">
        <f t="shared" si="1"/>
        <v>45757</v>
      </c>
      <c r="BJ5" s="160">
        <f t="shared" si="1"/>
        <v>45758</v>
      </c>
      <c r="BK5" s="160">
        <f t="shared" si="1"/>
        <v>45759</v>
      </c>
      <c r="BL5" s="160">
        <f t="shared" si="1"/>
        <v>45760</v>
      </c>
      <c r="BM5" s="160">
        <f t="shared" si="1"/>
        <v>45761</v>
      </c>
      <c r="BN5" s="160">
        <f t="shared" si="1"/>
        <v>45762</v>
      </c>
      <c r="BO5" s="160">
        <f t="shared" si="1"/>
        <v>45763</v>
      </c>
      <c r="BP5" s="160">
        <f t="shared" si="1"/>
        <v>45764</v>
      </c>
      <c r="BQ5" s="160">
        <f t="shared" si="1"/>
        <v>45765</v>
      </c>
      <c r="BR5" s="160">
        <f t="shared" si="1"/>
        <v>45766</v>
      </c>
      <c r="BS5" s="160">
        <f t="shared" si="1"/>
        <v>45767</v>
      </c>
      <c r="BT5" s="160">
        <f t="shared" si="1"/>
        <v>45768</v>
      </c>
      <c r="BU5" s="160">
        <f t="shared" si="1"/>
        <v>45769</v>
      </c>
      <c r="BV5" s="160">
        <f t="shared" si="1"/>
        <v>45770</v>
      </c>
      <c r="BW5" s="160">
        <f t="shared" si="1"/>
        <v>45771</v>
      </c>
      <c r="BX5" s="160">
        <f t="shared" si="1"/>
        <v>45772</v>
      </c>
      <c r="BY5" s="160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35">
      <c r="A6" s="573"/>
      <c r="B6" s="573"/>
      <c r="C6" s="573"/>
      <c r="D6" s="573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35">
      <c r="A7" s="74">
        <v>1</v>
      </c>
      <c r="B7" s="563" t="s">
        <v>400</v>
      </c>
      <c r="C7" s="563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35">
      <c r="A8" s="74">
        <f>A7+1</f>
        <v>2</v>
      </c>
      <c r="B8" s="563"/>
      <c r="C8" s="563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35">
      <c r="A9" s="74">
        <f>A8+1</f>
        <v>3</v>
      </c>
      <c r="B9" s="563"/>
      <c r="C9" s="563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35">
      <c r="A10" s="79">
        <f>ROW()-8</f>
        <v>2</v>
      </c>
      <c r="B10" s="563"/>
      <c r="C10" s="563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35">
      <c r="A11" s="82">
        <f>A10+1</f>
        <v>3</v>
      </c>
      <c r="B11" s="560" t="s">
        <v>274</v>
      </c>
      <c r="C11" s="561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35">
      <c r="A12" s="82">
        <f t="shared" ref="A12:A15" si="18">A11+1</f>
        <v>4</v>
      </c>
      <c r="B12" s="560"/>
      <c r="C12" s="561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35">
      <c r="A13" s="82">
        <f t="shared" si="18"/>
        <v>5</v>
      </c>
      <c r="B13" s="560"/>
      <c r="C13" s="561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35">
      <c r="A14" s="82">
        <f t="shared" si="18"/>
        <v>6</v>
      </c>
      <c r="B14" s="560"/>
      <c r="C14" s="561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35">
      <c r="A15" s="82">
        <f t="shared" si="18"/>
        <v>7</v>
      </c>
      <c r="B15" s="560"/>
      <c r="C15" s="561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35">
      <c r="A16" s="82">
        <v>13</v>
      </c>
      <c r="B16" s="560" t="s">
        <v>280</v>
      </c>
      <c r="C16" s="562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35">
      <c r="A17" s="82">
        <v>14</v>
      </c>
      <c r="B17" s="560"/>
      <c r="C17" s="562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35">
      <c r="A18" s="82">
        <v>18</v>
      </c>
      <c r="B18" s="560" t="s">
        <v>282</v>
      </c>
      <c r="C18" s="561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35">
      <c r="A19" s="82">
        <v>19</v>
      </c>
      <c r="B19" s="560"/>
      <c r="C19" s="561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35">
      <c r="A20" s="82">
        <v>20</v>
      </c>
      <c r="B20" s="560"/>
      <c r="C20" s="561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35">
      <c r="A21" s="82">
        <v>21</v>
      </c>
      <c r="B21" s="560"/>
      <c r="C21" s="561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35">
      <c r="A22" s="82">
        <v>22</v>
      </c>
      <c r="B22" s="560"/>
      <c r="C22" s="561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35">
      <c r="A23" s="82">
        <v>23</v>
      </c>
      <c r="B23" s="560" t="s">
        <v>286</v>
      </c>
      <c r="C23" s="561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35">
      <c r="A24" s="82">
        <v>24</v>
      </c>
      <c r="B24" s="560"/>
      <c r="C24" s="561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35">
      <c r="A25" s="82">
        <v>25</v>
      </c>
      <c r="B25" s="560"/>
      <c r="C25" s="561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35">
      <c r="A26" s="82">
        <v>26</v>
      </c>
      <c r="B26" s="560"/>
      <c r="C26" s="561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35">
      <c r="A27" s="82">
        <v>27</v>
      </c>
      <c r="B27" s="560"/>
      <c r="C27" s="561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35">
      <c r="A28" s="82">
        <v>33</v>
      </c>
      <c r="B28" s="558" t="s">
        <v>288</v>
      </c>
      <c r="C28" s="559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35">
      <c r="A29" s="82">
        <v>34</v>
      </c>
      <c r="B29" s="558"/>
      <c r="C29" s="559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35">
      <c r="A30" s="82">
        <v>35</v>
      </c>
      <c r="B30" s="558"/>
      <c r="C30" s="559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35">
      <c r="A31" s="82">
        <v>36</v>
      </c>
      <c r="B31" s="558"/>
      <c r="C31" s="559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35">
      <c r="A32" s="82">
        <v>37</v>
      </c>
      <c r="B32" s="558"/>
      <c r="C32" s="559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35">
      <c r="A33" s="82">
        <v>38</v>
      </c>
      <c r="B33" s="558"/>
      <c r="C33" s="559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35">
      <c r="A34" s="82">
        <v>77</v>
      </c>
      <c r="B34" s="558" t="s">
        <v>292</v>
      </c>
      <c r="C34" s="559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35">
      <c r="A35" s="82">
        <v>78</v>
      </c>
      <c r="B35" s="558"/>
      <c r="C35" s="559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35">
      <c r="A36" s="82">
        <v>79</v>
      </c>
      <c r="B36" s="558"/>
      <c r="C36" s="559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35">
      <c r="A37" s="82">
        <v>80</v>
      </c>
      <c r="B37" s="558"/>
      <c r="C37" s="559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35">
      <c r="A38" s="82">
        <v>68</v>
      </c>
      <c r="B38" s="558" t="s">
        <v>294</v>
      </c>
      <c r="C38" s="559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35">
      <c r="A39" s="82">
        <v>69</v>
      </c>
      <c r="B39" s="558"/>
      <c r="C39" s="559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35">
      <c r="A40" s="82">
        <v>70</v>
      </c>
      <c r="B40" s="558"/>
      <c r="C40" s="559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35">
      <c r="A41" s="82">
        <v>71</v>
      </c>
      <c r="B41" s="558"/>
      <c r="C41" s="559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35">
      <c r="A42" s="82">
        <v>72</v>
      </c>
      <c r="B42" s="558"/>
      <c r="C42" s="559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35">
      <c r="A43" s="82">
        <v>102</v>
      </c>
      <c r="B43" s="558" t="s">
        <v>86</v>
      </c>
      <c r="C43" s="559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35">
      <c r="A44" s="82">
        <v>103</v>
      </c>
      <c r="B44" s="558"/>
      <c r="C44" s="559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35">
      <c r="A45" s="82">
        <v>104</v>
      </c>
      <c r="B45" s="558"/>
      <c r="C45" s="559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35">
      <c r="A46" s="82">
        <v>105</v>
      </c>
      <c r="B46" s="558"/>
      <c r="C46" s="559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35">
      <c r="A47" s="82">
        <v>106</v>
      </c>
      <c r="B47" s="558"/>
      <c r="C47" s="559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1:D1"/>
    <mergeCell ref="B2:D2"/>
    <mergeCell ref="B3:D3"/>
    <mergeCell ref="A5:A6"/>
    <mergeCell ref="B5:B6"/>
    <mergeCell ref="C5:C6"/>
    <mergeCell ref="D5:D6"/>
    <mergeCell ref="B16:B17"/>
    <mergeCell ref="C16:C17"/>
    <mergeCell ref="B7:B10"/>
    <mergeCell ref="C7:C10"/>
    <mergeCell ref="B11:B15"/>
    <mergeCell ref="C11:C15"/>
    <mergeCell ref="B23:B27"/>
    <mergeCell ref="C23:C27"/>
    <mergeCell ref="B28:B33"/>
    <mergeCell ref="C28:C33"/>
    <mergeCell ref="B18:B22"/>
    <mergeCell ref="C18:C22"/>
    <mergeCell ref="B43:B47"/>
    <mergeCell ref="C43:C47"/>
    <mergeCell ref="B34:B37"/>
    <mergeCell ref="C34:C37"/>
    <mergeCell ref="B38:B42"/>
    <mergeCell ref="C38:C4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GT129"/>
  <sheetViews>
    <sheetView topLeftCell="B1" zoomScale="80" zoomScaleNormal="130" workbookViewId="0">
      <pane xSplit="16" ySplit="3" topLeftCell="FR4" activePane="bottomRight" state="frozen"/>
      <selection activeCell="B1" sqref="B1"/>
      <selection pane="topRight" activeCell="Q1" sqref="Q1"/>
      <selection pane="bottomLeft" activeCell="B4" sqref="B4"/>
      <selection pane="bottomRight" activeCell="S15" sqref="S15"/>
    </sheetView>
  </sheetViews>
  <sheetFormatPr defaultColWidth="12.1640625" defaultRowHeight="15.5" x14ac:dyDescent="0.35"/>
  <cols>
    <col min="1" max="1" width="2.1640625" style="56" customWidth="1"/>
    <col min="2" max="2" width="8.75" style="51" customWidth="1"/>
    <col min="3" max="3" width="5.5" style="22" bestFit="1" customWidth="1"/>
    <col min="4" max="4" width="31.4140625" style="227" customWidth="1"/>
    <col min="5" max="6" width="10.83203125" style="57" bestFit="1" customWidth="1"/>
    <col min="7" max="7" width="6.33203125" style="57" bestFit="1" customWidth="1"/>
    <col min="8" max="9" width="10.83203125" style="57" bestFit="1" customWidth="1"/>
    <col min="10" max="10" width="6.08203125" style="22" customWidth="1"/>
    <col min="11" max="11" width="9.4140625" style="54" bestFit="1" customWidth="1"/>
    <col min="12" max="12" width="13.83203125" style="55" hidden="1" customWidth="1"/>
    <col min="13" max="13" width="13.75" style="55" hidden="1" customWidth="1"/>
    <col min="14" max="14" width="9" style="22" hidden="1" customWidth="1"/>
    <col min="15" max="15" width="8.5" style="22" bestFit="1" customWidth="1"/>
    <col min="16" max="16" width="12.4140625" style="22" customWidth="1"/>
    <col min="17" max="17" width="9.5" style="54" bestFit="1" customWidth="1"/>
    <col min="18" max="18" width="9.4140625" style="54" bestFit="1" customWidth="1"/>
    <col min="19" max="19" width="14.6640625" style="54" customWidth="1"/>
    <col min="20" max="20" width="6.75" style="54" customWidth="1"/>
    <col min="21" max="27" width="4.9140625" style="56" hidden="1" customWidth="1"/>
    <col min="28" max="28" width="5.33203125" style="56" hidden="1" customWidth="1"/>
    <col min="29" max="34" width="4.9140625" style="56" hidden="1" customWidth="1"/>
    <col min="35" max="35" width="5.33203125" style="56" hidden="1" customWidth="1"/>
    <col min="36" max="41" width="4.9140625" style="56" hidden="1" customWidth="1"/>
    <col min="42" max="42" width="5.33203125" style="56" hidden="1" customWidth="1"/>
    <col min="43" max="44" width="4.9140625" style="56" hidden="1" customWidth="1"/>
    <col min="45" max="45" width="5.6640625" style="56" hidden="1" customWidth="1"/>
    <col min="46" max="46" width="6.6640625" style="56" hidden="1" customWidth="1"/>
    <col min="47" max="48" width="4.9140625" style="56" hidden="1" customWidth="1"/>
    <col min="49" max="49" width="5.33203125" style="56" hidden="1" customWidth="1"/>
    <col min="50" max="55" width="4.9140625" style="56" hidden="1" customWidth="1"/>
    <col min="56" max="56" width="5.33203125" style="56" hidden="1" customWidth="1"/>
    <col min="57" max="62" width="4.9140625" style="56" hidden="1" customWidth="1"/>
    <col min="63" max="63" width="5.33203125" style="56" hidden="1" customWidth="1"/>
    <col min="64" max="69" width="4.9140625" style="56" hidden="1" customWidth="1"/>
    <col min="70" max="70" width="5.33203125" style="56" hidden="1" customWidth="1"/>
    <col min="71" max="76" width="4.9140625" style="56" hidden="1" customWidth="1"/>
    <col min="77" max="77" width="5.33203125" style="56" hidden="1" customWidth="1"/>
    <col min="78" max="109" width="4.9140625" style="56" hidden="1" customWidth="1"/>
    <col min="110" max="110" width="4.9140625" style="56" bestFit="1" customWidth="1"/>
    <col min="111" max="130" width="4.5" style="56" bestFit="1" customWidth="1"/>
    <col min="131" max="131" width="4.9140625" style="56" bestFit="1" customWidth="1"/>
    <col min="132" max="132" width="5.5" style="56" bestFit="1" customWidth="1"/>
    <col min="133" max="151" width="4.5" style="56" bestFit="1" customWidth="1"/>
    <col min="152" max="152" width="4.9140625" style="56" bestFit="1" customWidth="1"/>
    <col min="153" max="153" width="4.5" style="56" bestFit="1" customWidth="1"/>
    <col min="154" max="154" width="5.08203125" style="56" bestFit="1" customWidth="1"/>
    <col min="155" max="158" width="4.5" style="56" bestFit="1" customWidth="1"/>
    <col min="159" max="159" width="4.9140625" style="56" bestFit="1" customWidth="1"/>
    <col min="160" max="160" width="4.5" style="56" bestFit="1" customWidth="1"/>
    <col min="161" max="161" width="5.08203125" style="56" bestFit="1" customWidth="1"/>
    <col min="162" max="163" width="4.5" style="56" bestFit="1" customWidth="1"/>
    <col min="164" max="164" width="5.5" style="56" bestFit="1" customWidth="1"/>
    <col min="165" max="165" width="4.5" style="56" bestFit="1" customWidth="1"/>
    <col min="166" max="169" width="5.5" style="56" bestFit="1" customWidth="1"/>
    <col min="170" max="170" width="4.5" style="56" bestFit="1" customWidth="1"/>
    <col min="171" max="171" width="5.5" style="56" bestFit="1" customWidth="1"/>
    <col min="172" max="172" width="5.6640625" style="56" bestFit="1" customWidth="1"/>
    <col min="173" max="173" width="5" style="56" bestFit="1" customWidth="1"/>
    <col min="174" max="174" width="4.83203125" style="56" bestFit="1" customWidth="1"/>
    <col min="175" max="175" width="5.1640625" style="56" bestFit="1" customWidth="1"/>
    <col min="176" max="176" width="4.6640625" style="56" bestFit="1" customWidth="1"/>
    <col min="177" max="177" width="4.83203125" style="56" bestFit="1" customWidth="1"/>
    <col min="178" max="178" width="5.6640625" style="56" bestFit="1" customWidth="1"/>
    <col min="179" max="179" width="4.6640625" style="56" bestFit="1" customWidth="1"/>
    <col min="180" max="180" width="4.9140625" style="56" bestFit="1" customWidth="1"/>
    <col min="181" max="181" width="4.5" style="56" bestFit="1" customWidth="1"/>
    <col min="182" max="182" width="5.25" style="56" bestFit="1" customWidth="1"/>
    <col min="183" max="183" width="4.6640625" style="56" bestFit="1" customWidth="1"/>
    <col min="184" max="184" width="5.25" style="56" bestFit="1" customWidth="1"/>
    <col min="185" max="186" width="4.5" style="56" bestFit="1" customWidth="1"/>
    <col min="187" max="187" width="4.9140625" style="56" bestFit="1" customWidth="1"/>
    <col min="188" max="188" width="4.5" style="56" bestFit="1" customWidth="1"/>
    <col min="189" max="189" width="5.08203125" style="56" bestFit="1" customWidth="1"/>
    <col min="190" max="193" width="4.5" style="56" bestFit="1" customWidth="1"/>
    <col min="194" max="194" width="4.9140625" style="56" bestFit="1" customWidth="1"/>
    <col min="195" max="195" width="4.5" style="56" bestFit="1" customWidth="1"/>
    <col min="196" max="196" width="5.08203125" style="56" bestFit="1" customWidth="1"/>
    <col min="197" max="200" width="4.5" style="56" bestFit="1" customWidth="1"/>
    <col min="201" max="201" width="4.9140625" style="56" bestFit="1" customWidth="1"/>
    <col min="202" max="202" width="4.5" style="56" bestFit="1" customWidth="1"/>
    <col min="203" max="16384" width="12.1640625" style="56"/>
  </cols>
  <sheetData>
    <row r="1" spans="2:202" x14ac:dyDescent="0.35">
      <c r="C1" s="52" t="s">
        <v>10</v>
      </c>
      <c r="D1" s="223">
        <f>'Construction DASHBOARD'!B6</f>
        <v>45912</v>
      </c>
      <c r="E1" s="121"/>
      <c r="F1" s="121"/>
      <c r="G1" s="121"/>
      <c r="H1" s="121"/>
      <c r="I1" s="121"/>
      <c r="U1" s="169"/>
    </row>
    <row r="2" spans="2:202" s="22" customFormat="1" ht="72" customHeight="1" x14ac:dyDescent="0.3">
      <c r="B2" s="587" t="s">
        <v>96</v>
      </c>
      <c r="C2" s="588" t="s">
        <v>97</v>
      </c>
      <c r="D2" s="589" t="s">
        <v>98</v>
      </c>
      <c r="E2" s="586" t="s">
        <v>306</v>
      </c>
      <c r="F2" s="586" t="s">
        <v>307</v>
      </c>
      <c r="G2" s="578" t="s">
        <v>431</v>
      </c>
      <c r="H2" s="586" t="s">
        <v>426</v>
      </c>
      <c r="I2" s="586" t="s">
        <v>427</v>
      </c>
      <c r="J2" s="588" t="s">
        <v>3</v>
      </c>
      <c r="K2" s="590" t="s">
        <v>1</v>
      </c>
      <c r="L2" s="585" t="s">
        <v>100</v>
      </c>
      <c r="M2" s="576" t="s">
        <v>403</v>
      </c>
      <c r="N2" s="586" t="s">
        <v>102</v>
      </c>
      <c r="O2" s="586" t="s">
        <v>103</v>
      </c>
      <c r="P2" s="586" t="s">
        <v>255</v>
      </c>
      <c r="Q2" s="590" t="s">
        <v>104</v>
      </c>
      <c r="R2" s="590" t="s">
        <v>105</v>
      </c>
      <c r="S2" s="591" t="s">
        <v>254</v>
      </c>
      <c r="T2" s="582" t="s">
        <v>408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  <c r="ER2" s="59">
        <v>45876</v>
      </c>
      <c r="ES2" s="59">
        <v>45877</v>
      </c>
      <c r="ET2" s="59">
        <v>45878</v>
      </c>
      <c r="EU2" s="59">
        <v>45879</v>
      </c>
      <c r="EV2" s="59">
        <v>45880</v>
      </c>
      <c r="EW2" s="59">
        <v>45881</v>
      </c>
      <c r="EX2" s="59">
        <v>45882</v>
      </c>
      <c r="EY2" s="59">
        <v>45883</v>
      </c>
      <c r="EZ2" s="59">
        <v>45884</v>
      </c>
      <c r="FA2" s="59">
        <v>45885</v>
      </c>
      <c r="FB2" s="59">
        <v>45886</v>
      </c>
      <c r="FC2" s="59">
        <v>45887</v>
      </c>
      <c r="FD2" s="59">
        <v>45888</v>
      </c>
      <c r="FE2" s="59">
        <v>45889</v>
      </c>
      <c r="FF2" s="59">
        <v>45890</v>
      </c>
      <c r="FG2" s="59">
        <v>45891</v>
      </c>
      <c r="FH2" s="59">
        <v>45892</v>
      </c>
      <c r="FI2" s="59">
        <v>45893</v>
      </c>
      <c r="FJ2" s="59">
        <v>45894</v>
      </c>
      <c r="FK2" s="59">
        <v>45895</v>
      </c>
      <c r="FL2" s="59">
        <v>45896</v>
      </c>
      <c r="FM2" s="59">
        <v>45897</v>
      </c>
      <c r="FN2" s="59">
        <v>45898</v>
      </c>
      <c r="FO2" s="59">
        <v>45899</v>
      </c>
      <c r="FP2" s="59">
        <v>45900</v>
      </c>
      <c r="FQ2" s="59">
        <v>45901</v>
      </c>
      <c r="FR2" s="59">
        <v>45902</v>
      </c>
      <c r="FS2" s="59">
        <v>45903</v>
      </c>
      <c r="FT2" s="59">
        <v>45904</v>
      </c>
      <c r="FU2" s="59">
        <v>45905</v>
      </c>
      <c r="FV2" s="59">
        <v>45906</v>
      </c>
      <c r="FW2" s="59">
        <v>45907</v>
      </c>
      <c r="FX2" s="59">
        <v>45908</v>
      </c>
      <c r="FY2" s="59">
        <v>45909</v>
      </c>
      <c r="FZ2" s="59">
        <v>45910</v>
      </c>
      <c r="GA2" s="59">
        <v>45911</v>
      </c>
      <c r="GB2" s="59">
        <v>45912</v>
      </c>
      <c r="GC2" s="59">
        <v>45913</v>
      </c>
      <c r="GD2" s="59">
        <v>45914</v>
      </c>
      <c r="GE2" s="59">
        <v>45915</v>
      </c>
      <c r="GF2" s="59">
        <v>45916</v>
      </c>
      <c r="GG2" s="59">
        <v>45917</v>
      </c>
      <c r="GH2" s="59">
        <v>45918</v>
      </c>
      <c r="GI2" s="59">
        <v>45919</v>
      </c>
      <c r="GJ2" s="59">
        <v>45920</v>
      </c>
      <c r="GK2" s="59">
        <v>45921</v>
      </c>
      <c r="GL2" s="59">
        <v>45922</v>
      </c>
      <c r="GM2" s="59">
        <v>45923</v>
      </c>
      <c r="GN2" s="59">
        <v>45924</v>
      </c>
      <c r="GO2" s="59">
        <v>45925</v>
      </c>
      <c r="GP2" s="59">
        <v>45926</v>
      </c>
      <c r="GQ2" s="59">
        <v>45927</v>
      </c>
      <c r="GR2" s="59">
        <v>45928</v>
      </c>
      <c r="GS2" s="59">
        <v>45929</v>
      </c>
      <c r="GT2" s="59">
        <v>45930</v>
      </c>
    </row>
    <row r="3" spans="2:202" s="22" customFormat="1" ht="24" customHeight="1" x14ac:dyDescent="0.3">
      <c r="B3" s="587"/>
      <c r="C3" s="588"/>
      <c r="D3" s="589"/>
      <c r="E3" s="586"/>
      <c r="F3" s="586"/>
      <c r="G3" s="579"/>
      <c r="H3" s="586"/>
      <c r="I3" s="586"/>
      <c r="J3" s="588"/>
      <c r="K3" s="590"/>
      <c r="L3" s="585"/>
      <c r="M3" s="577"/>
      <c r="N3" s="586"/>
      <c r="O3" s="586"/>
      <c r="P3" s="586"/>
      <c r="Q3" s="590"/>
      <c r="R3" s="590"/>
      <c r="S3" s="591"/>
      <c r="T3" s="582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R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  <c r="EL3" s="58" t="str">
        <f t="shared" si="2"/>
        <v>Fri</v>
      </c>
      <c r="EM3" s="58" t="str">
        <f t="shared" si="2"/>
        <v>Sat</v>
      </c>
      <c r="EN3" s="58" t="str">
        <f t="shared" si="2"/>
        <v>Sun</v>
      </c>
      <c r="EO3" s="58" t="str">
        <f t="shared" si="2"/>
        <v>Mon</v>
      </c>
      <c r="EP3" s="58" t="str">
        <f t="shared" si="2"/>
        <v>Tue</v>
      </c>
      <c r="EQ3" s="58" t="str">
        <f t="shared" si="2"/>
        <v>Wed</v>
      </c>
      <c r="ER3" s="58" t="str">
        <f t="shared" si="2"/>
        <v>Thu</v>
      </c>
      <c r="ES3" s="58" t="str">
        <f t="shared" ref="ES3:FP3" si="3">TEXT(ES2,"ddd")</f>
        <v>Fri</v>
      </c>
      <c r="ET3" s="58" t="str">
        <f t="shared" si="3"/>
        <v>Sat</v>
      </c>
      <c r="EU3" s="58" t="str">
        <f t="shared" si="3"/>
        <v>Sun</v>
      </c>
      <c r="EV3" s="58" t="str">
        <f t="shared" si="3"/>
        <v>Mon</v>
      </c>
      <c r="EW3" s="58" t="str">
        <f t="shared" si="3"/>
        <v>Tue</v>
      </c>
      <c r="EX3" s="58" t="str">
        <f t="shared" si="3"/>
        <v>Wed</v>
      </c>
      <c r="EY3" s="58" t="str">
        <f t="shared" si="3"/>
        <v>Thu</v>
      </c>
      <c r="EZ3" s="58" t="str">
        <f t="shared" si="3"/>
        <v>Fri</v>
      </c>
      <c r="FA3" s="58" t="str">
        <f t="shared" si="3"/>
        <v>Sat</v>
      </c>
      <c r="FB3" s="58" t="str">
        <f t="shared" si="3"/>
        <v>Sun</v>
      </c>
      <c r="FC3" s="58" t="str">
        <f t="shared" si="3"/>
        <v>Mon</v>
      </c>
      <c r="FD3" s="58" t="str">
        <f t="shared" si="3"/>
        <v>Tue</v>
      </c>
      <c r="FE3" s="58" t="str">
        <f t="shared" si="3"/>
        <v>Wed</v>
      </c>
      <c r="FF3" s="58" t="str">
        <f t="shared" si="3"/>
        <v>Thu</v>
      </c>
      <c r="FG3" s="58" t="str">
        <f t="shared" si="3"/>
        <v>Fri</v>
      </c>
      <c r="FH3" s="58" t="str">
        <f t="shared" si="3"/>
        <v>Sat</v>
      </c>
      <c r="FI3" s="58" t="str">
        <f t="shared" si="3"/>
        <v>Sun</v>
      </c>
      <c r="FJ3" s="58" t="str">
        <f t="shared" si="3"/>
        <v>Mon</v>
      </c>
      <c r="FK3" s="58" t="str">
        <f t="shared" si="3"/>
        <v>Tue</v>
      </c>
      <c r="FL3" s="58" t="str">
        <f t="shared" si="3"/>
        <v>Wed</v>
      </c>
      <c r="FM3" s="58" t="str">
        <f t="shared" si="3"/>
        <v>Thu</v>
      </c>
      <c r="FN3" s="58" t="str">
        <f t="shared" si="3"/>
        <v>Fri</v>
      </c>
      <c r="FO3" s="58" t="str">
        <f t="shared" si="3"/>
        <v>Sat</v>
      </c>
      <c r="FP3" s="58" t="str">
        <f t="shared" si="3"/>
        <v>Sun</v>
      </c>
      <c r="FQ3" s="58" t="str">
        <f t="shared" ref="FQ3:GI3" si="4">TEXT(FQ2,"ddd")</f>
        <v>Mon</v>
      </c>
      <c r="FR3" s="58" t="str">
        <f t="shared" si="4"/>
        <v>Tue</v>
      </c>
      <c r="FS3" s="58" t="str">
        <f t="shared" si="4"/>
        <v>Wed</v>
      </c>
      <c r="FT3" s="58" t="str">
        <f t="shared" si="4"/>
        <v>Thu</v>
      </c>
      <c r="FU3" s="58" t="str">
        <f t="shared" si="4"/>
        <v>Fri</v>
      </c>
      <c r="FV3" s="58" t="str">
        <f t="shared" si="4"/>
        <v>Sat</v>
      </c>
      <c r="FW3" s="58" t="str">
        <f t="shared" si="4"/>
        <v>Sun</v>
      </c>
      <c r="FX3" s="58" t="str">
        <f t="shared" si="4"/>
        <v>Mon</v>
      </c>
      <c r="FY3" s="58" t="str">
        <f t="shared" si="4"/>
        <v>Tue</v>
      </c>
      <c r="FZ3" s="332" t="str">
        <f t="shared" si="4"/>
        <v>Wed</v>
      </c>
      <c r="GA3" s="332" t="str">
        <f t="shared" si="4"/>
        <v>Thu</v>
      </c>
      <c r="GB3" s="332" t="str">
        <f t="shared" si="4"/>
        <v>Fri</v>
      </c>
      <c r="GC3" s="332" t="str">
        <f t="shared" si="4"/>
        <v>Sat</v>
      </c>
      <c r="GD3" s="58" t="str">
        <f t="shared" si="4"/>
        <v>Sun</v>
      </c>
      <c r="GE3" s="58" t="str">
        <f t="shared" si="4"/>
        <v>Mon</v>
      </c>
      <c r="GF3" s="58" t="str">
        <f t="shared" si="4"/>
        <v>Tue</v>
      </c>
      <c r="GG3" s="58" t="str">
        <f t="shared" si="4"/>
        <v>Wed</v>
      </c>
      <c r="GH3" s="58" t="str">
        <f t="shared" si="4"/>
        <v>Thu</v>
      </c>
      <c r="GI3" s="58" t="str">
        <f t="shared" si="4"/>
        <v>Fri</v>
      </c>
      <c r="GJ3" s="58" t="str">
        <f t="shared" ref="GJ3:GT3" si="5">TEXT(GJ2,"ddd")</f>
        <v>Sat</v>
      </c>
      <c r="GK3" s="58" t="str">
        <f t="shared" si="5"/>
        <v>Sun</v>
      </c>
      <c r="GL3" s="58" t="str">
        <f t="shared" si="5"/>
        <v>Mon</v>
      </c>
      <c r="GM3" s="58" t="str">
        <f t="shared" si="5"/>
        <v>Tue</v>
      </c>
      <c r="GN3" s="58" t="str">
        <f t="shared" si="5"/>
        <v>Wed</v>
      </c>
      <c r="GO3" s="58" t="str">
        <f t="shared" si="5"/>
        <v>Thu</v>
      </c>
      <c r="GP3" s="58" t="str">
        <f t="shared" si="5"/>
        <v>Fri</v>
      </c>
      <c r="GQ3" s="58" t="str">
        <f t="shared" si="5"/>
        <v>Sat</v>
      </c>
      <c r="GR3" s="58" t="str">
        <f t="shared" si="5"/>
        <v>Sun</v>
      </c>
      <c r="GS3" s="58" t="str">
        <f t="shared" si="5"/>
        <v>Mon</v>
      </c>
      <c r="GT3" s="58" t="str">
        <f t="shared" si="5"/>
        <v>Tue</v>
      </c>
    </row>
    <row r="4" spans="2:202" s="23" customFormat="1" x14ac:dyDescent="0.3">
      <c r="B4" s="584" t="s">
        <v>106</v>
      </c>
      <c r="C4" s="60">
        <v>1</v>
      </c>
      <c r="D4" s="224" t="s">
        <v>404</v>
      </c>
      <c r="E4" s="197">
        <v>45750</v>
      </c>
      <c r="F4" s="197">
        <v>45870</v>
      </c>
      <c r="G4" s="198">
        <f>F4-E4</f>
        <v>120</v>
      </c>
      <c r="H4" s="197">
        <v>45754</v>
      </c>
      <c r="I4" s="197">
        <v>45870</v>
      </c>
      <c r="J4" s="199" t="s">
        <v>5</v>
      </c>
      <c r="K4" s="200">
        <v>1033</v>
      </c>
      <c r="L4" s="201">
        <v>45754</v>
      </c>
      <c r="M4" s="201">
        <v>45796</v>
      </c>
      <c r="N4" s="198">
        <f t="shared" ref="N4:N27" si="6">IF(OR(M4="",L4=""),"",INT(M4-L4+1))</f>
        <v>43</v>
      </c>
      <c r="O4" s="202">
        <f t="shared" ref="O4:O27" si="7">IFERROR(K4/N4,"-")</f>
        <v>24.023255813953487</v>
      </c>
      <c r="P4" s="203">
        <f>Q4/K4</f>
        <v>0.92181026137463695</v>
      </c>
      <c r="Q4" s="204">
        <f>S4</f>
        <v>952.23</v>
      </c>
      <c r="R4" s="204">
        <f t="shared" ref="R4:R27" si="8">K4-Q4</f>
        <v>80.769999999999982</v>
      </c>
      <c r="S4" s="157">
        <f t="shared" ref="S4:S35" si="9">SUM(U4:XFD4)</f>
        <v>952.23</v>
      </c>
      <c r="T4" s="157">
        <f>SUM(U4:EK4)</f>
        <v>877.2</v>
      </c>
      <c r="U4" s="148">
        <v>0</v>
      </c>
      <c r="V4" s="148">
        <v>0</v>
      </c>
      <c r="W4" s="148"/>
      <c r="X4" s="148"/>
      <c r="Y4" s="148"/>
      <c r="Z4" s="152">
        <v>1.5</v>
      </c>
      <c r="AA4" s="152">
        <v>3.5</v>
      </c>
      <c r="AB4" s="152">
        <v>4</v>
      </c>
      <c r="AC4" s="152">
        <v>4</v>
      </c>
      <c r="AD4" s="152">
        <v>4</v>
      </c>
      <c r="AE4" s="152">
        <v>4</v>
      </c>
      <c r="AF4" s="152">
        <v>3</v>
      </c>
      <c r="AG4" s="152">
        <v>2</v>
      </c>
      <c r="AH4" s="152"/>
      <c r="AI4" s="152">
        <v>10</v>
      </c>
      <c r="AJ4" s="152">
        <v>20</v>
      </c>
      <c r="AK4" s="152">
        <v>20</v>
      </c>
      <c r="AL4" s="152">
        <v>20</v>
      </c>
      <c r="AM4" s="152">
        <v>21</v>
      </c>
      <c r="AN4" s="152">
        <v>40</v>
      </c>
      <c r="AO4" s="152">
        <v>40</v>
      </c>
      <c r="AP4" s="152">
        <v>40</v>
      </c>
      <c r="AQ4" s="152">
        <v>38</v>
      </c>
      <c r="AR4" s="152"/>
      <c r="AS4" s="152"/>
      <c r="AT4" s="152"/>
      <c r="AU4" s="149"/>
      <c r="AV4" s="149"/>
      <c r="AW4" s="149"/>
      <c r="AX4" s="149"/>
      <c r="AY4" s="149"/>
      <c r="AZ4" s="149"/>
      <c r="BA4" s="149"/>
      <c r="BB4" s="149"/>
      <c r="BC4" s="149">
        <v>5</v>
      </c>
      <c r="BD4" s="149">
        <v>10</v>
      </c>
      <c r="BE4" s="149">
        <v>10</v>
      </c>
      <c r="BF4" s="149">
        <v>10</v>
      </c>
      <c r="BG4" s="149">
        <v>5</v>
      </c>
      <c r="BH4" s="149">
        <v>7</v>
      </c>
      <c r="BI4" s="149">
        <v>5</v>
      </c>
      <c r="BJ4" s="149">
        <v>0</v>
      </c>
      <c r="BK4" s="149">
        <v>0</v>
      </c>
      <c r="BL4" s="149">
        <v>7</v>
      </c>
      <c r="BM4" s="149">
        <v>0</v>
      </c>
      <c r="BN4" s="149">
        <v>17</v>
      </c>
      <c r="BO4" s="167">
        <v>19</v>
      </c>
      <c r="BP4" s="167">
        <v>24</v>
      </c>
      <c r="BQ4" s="167">
        <v>9</v>
      </c>
      <c r="BR4" s="167">
        <v>12</v>
      </c>
      <c r="BS4" s="167">
        <v>0</v>
      </c>
      <c r="BT4" s="167">
        <v>16</v>
      </c>
      <c r="BU4" s="167">
        <v>0</v>
      </c>
      <c r="BV4" s="167">
        <v>0</v>
      </c>
      <c r="BW4" s="167">
        <v>0</v>
      </c>
      <c r="BX4" s="167">
        <v>0</v>
      </c>
      <c r="BY4" s="167">
        <v>6</v>
      </c>
      <c r="BZ4" s="167">
        <v>16</v>
      </c>
      <c r="CA4" s="167">
        <v>15</v>
      </c>
      <c r="CB4" s="167">
        <v>18</v>
      </c>
      <c r="CC4" s="167">
        <v>14</v>
      </c>
      <c r="CD4" s="167">
        <v>16</v>
      </c>
      <c r="CE4" s="167">
        <v>15</v>
      </c>
      <c r="CF4" s="167">
        <v>14</v>
      </c>
      <c r="CG4" s="167">
        <v>18</v>
      </c>
      <c r="CH4" s="167">
        <v>14</v>
      </c>
      <c r="CI4" s="167">
        <v>15</v>
      </c>
      <c r="CJ4" s="167">
        <v>10</v>
      </c>
      <c r="CK4" s="167">
        <v>11</v>
      </c>
      <c r="CL4" s="167">
        <v>16</v>
      </c>
      <c r="CM4" s="167">
        <v>13</v>
      </c>
      <c r="CN4" s="167">
        <v>15</v>
      </c>
      <c r="CO4" s="167">
        <v>17</v>
      </c>
      <c r="CP4" s="167">
        <v>5</v>
      </c>
      <c r="CQ4" s="167">
        <v>14</v>
      </c>
      <c r="CR4" s="167">
        <v>16</v>
      </c>
      <c r="CS4" s="167">
        <v>13</v>
      </c>
      <c r="CT4" s="167">
        <v>13</v>
      </c>
      <c r="CU4" s="167">
        <v>11</v>
      </c>
      <c r="CV4" s="167">
        <v>7</v>
      </c>
      <c r="CW4" s="167">
        <v>5</v>
      </c>
      <c r="CX4" s="167">
        <v>5</v>
      </c>
      <c r="CY4" s="167">
        <v>5</v>
      </c>
      <c r="CZ4" s="167">
        <v>5</v>
      </c>
      <c r="DA4" s="167">
        <v>5</v>
      </c>
      <c r="DB4" s="167">
        <v>7</v>
      </c>
      <c r="DC4" s="167">
        <v>10</v>
      </c>
      <c r="DD4" s="167">
        <v>7</v>
      </c>
      <c r="DE4" s="167">
        <v>6</v>
      </c>
      <c r="DF4" s="167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3</v>
      </c>
      <c r="EI4" s="23">
        <v>0.6</v>
      </c>
      <c r="EJ4" s="23">
        <v>1.6</v>
      </c>
      <c r="EK4" s="23">
        <v>0</v>
      </c>
      <c r="EL4" s="23">
        <v>0</v>
      </c>
      <c r="EM4" s="23">
        <v>0</v>
      </c>
      <c r="EN4" s="23">
        <v>0</v>
      </c>
      <c r="EO4" s="23">
        <v>0</v>
      </c>
      <c r="EP4" s="23">
        <v>0</v>
      </c>
      <c r="EQ4" s="23">
        <v>0</v>
      </c>
      <c r="ER4" s="23">
        <v>0</v>
      </c>
      <c r="ES4" s="23">
        <v>0</v>
      </c>
      <c r="ET4" s="23">
        <v>0</v>
      </c>
      <c r="EU4" s="23">
        <v>0</v>
      </c>
      <c r="EV4" s="23">
        <v>0</v>
      </c>
      <c r="EW4" s="23">
        <v>0</v>
      </c>
      <c r="EX4" s="23">
        <v>0</v>
      </c>
      <c r="EY4" s="23">
        <v>3</v>
      </c>
      <c r="EZ4" s="23">
        <v>1</v>
      </c>
      <c r="FA4" s="23">
        <v>3</v>
      </c>
      <c r="FB4" s="23">
        <v>1</v>
      </c>
      <c r="FC4" s="23">
        <v>0</v>
      </c>
      <c r="FD4" s="23">
        <v>30</v>
      </c>
      <c r="FE4" s="23">
        <v>20</v>
      </c>
      <c r="FF4" s="23">
        <v>3</v>
      </c>
      <c r="FG4" s="23">
        <v>1.03</v>
      </c>
      <c r="FH4" s="23">
        <v>1</v>
      </c>
      <c r="FI4" s="23">
        <v>1</v>
      </c>
      <c r="FJ4" s="23">
        <v>1</v>
      </c>
      <c r="FK4" s="23">
        <v>1</v>
      </c>
      <c r="FL4" s="23">
        <v>1</v>
      </c>
      <c r="FM4" s="23">
        <v>1</v>
      </c>
      <c r="FN4" s="23">
        <v>1</v>
      </c>
      <c r="FO4" s="23">
        <v>1</v>
      </c>
      <c r="FP4" s="23">
        <v>1</v>
      </c>
      <c r="FQ4" s="23">
        <v>0</v>
      </c>
      <c r="FR4" s="23">
        <v>0</v>
      </c>
      <c r="FS4" s="23">
        <v>0</v>
      </c>
      <c r="FT4" s="23">
        <v>0</v>
      </c>
      <c r="FU4" s="23">
        <v>0</v>
      </c>
      <c r="FV4" s="23">
        <v>1</v>
      </c>
      <c r="FW4" s="23">
        <v>1</v>
      </c>
      <c r="FX4" s="23">
        <v>1</v>
      </c>
      <c r="FY4" s="23">
        <v>1</v>
      </c>
      <c r="FZ4" s="23">
        <v>0</v>
      </c>
      <c r="GA4" s="23">
        <v>0</v>
      </c>
      <c r="GB4" s="23">
        <v>0</v>
      </c>
    </row>
    <row r="5" spans="2:202" s="23" customFormat="1" x14ac:dyDescent="0.3">
      <c r="B5" s="584"/>
      <c r="C5" s="60">
        <v>2</v>
      </c>
      <c r="D5" s="224" t="s">
        <v>405</v>
      </c>
      <c r="E5" s="197">
        <v>45750</v>
      </c>
      <c r="F5" s="197">
        <v>45870</v>
      </c>
      <c r="G5" s="198">
        <f>F5-E5</f>
        <v>120</v>
      </c>
      <c r="H5" s="197">
        <v>45754</v>
      </c>
      <c r="I5" s="197">
        <v>45870</v>
      </c>
      <c r="J5" s="199" t="s">
        <v>5</v>
      </c>
      <c r="K5" s="200">
        <v>1033</v>
      </c>
      <c r="L5" s="201">
        <v>45754</v>
      </c>
      <c r="M5" s="201">
        <v>45796</v>
      </c>
      <c r="N5" s="198">
        <f t="shared" si="6"/>
        <v>43</v>
      </c>
      <c r="O5" s="202">
        <f t="shared" si="7"/>
        <v>24.023255813953487</v>
      </c>
      <c r="P5" s="203">
        <f>Q5/K5</f>
        <v>0.9185188770571151</v>
      </c>
      <c r="Q5" s="204">
        <f>S5</f>
        <v>948.82999999999993</v>
      </c>
      <c r="R5" s="204">
        <f t="shared" si="8"/>
        <v>84.170000000000073</v>
      </c>
      <c r="S5" s="157">
        <f t="shared" si="9"/>
        <v>948.82999999999993</v>
      </c>
      <c r="T5" s="157">
        <f>SUM(U5:EK5)</f>
        <v>872</v>
      </c>
      <c r="U5" s="148"/>
      <c r="V5" s="148"/>
      <c r="W5" s="148"/>
      <c r="X5" s="148"/>
      <c r="Y5" s="148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>
        <v>10</v>
      </c>
      <c r="AS5" s="152">
        <v>10</v>
      </c>
      <c r="AT5" s="152">
        <v>10</v>
      </c>
      <c r="AU5" s="149">
        <v>10</v>
      </c>
      <c r="AV5" s="149">
        <v>12</v>
      </c>
      <c r="AW5" s="149">
        <v>13</v>
      </c>
      <c r="AX5" s="149">
        <v>10</v>
      </c>
      <c r="AY5" s="149">
        <v>12</v>
      </c>
      <c r="AZ5" s="149">
        <v>11</v>
      </c>
      <c r="BA5" s="149">
        <v>20</v>
      </c>
      <c r="BB5" s="149">
        <v>14</v>
      </c>
      <c r="BC5" s="149">
        <v>16</v>
      </c>
      <c r="BD5" s="149">
        <v>10</v>
      </c>
      <c r="BE5" s="149">
        <v>6</v>
      </c>
      <c r="BF5" s="149">
        <v>10</v>
      </c>
      <c r="BG5" s="149">
        <v>5</v>
      </c>
      <c r="BH5" s="149">
        <v>7</v>
      </c>
      <c r="BI5" s="149">
        <v>5</v>
      </c>
      <c r="BJ5" s="149">
        <v>7</v>
      </c>
      <c r="BK5" s="149">
        <v>7</v>
      </c>
      <c r="BL5" s="149">
        <v>7</v>
      </c>
      <c r="BM5" s="149">
        <v>12</v>
      </c>
      <c r="BN5" s="149">
        <v>17</v>
      </c>
      <c r="BO5" s="167">
        <v>19</v>
      </c>
      <c r="BP5" s="167">
        <v>24</v>
      </c>
      <c r="BQ5" s="167">
        <v>9</v>
      </c>
      <c r="BR5" s="167">
        <v>12</v>
      </c>
      <c r="BS5" s="167">
        <v>18</v>
      </c>
      <c r="BT5" s="167">
        <v>16</v>
      </c>
      <c r="BU5" s="167">
        <v>15</v>
      </c>
      <c r="BV5" s="167">
        <v>23</v>
      </c>
      <c r="BW5" s="167">
        <v>22</v>
      </c>
      <c r="BX5" s="167">
        <v>20</v>
      </c>
      <c r="BY5" s="167">
        <v>18</v>
      </c>
      <c r="BZ5" s="167">
        <v>16</v>
      </c>
      <c r="CA5" s="167">
        <v>15</v>
      </c>
      <c r="CB5" s="167">
        <v>18</v>
      </c>
      <c r="CC5" s="167">
        <v>14</v>
      </c>
      <c r="CD5" s="167">
        <v>16</v>
      </c>
      <c r="CE5" s="167">
        <v>15</v>
      </c>
      <c r="CF5" s="167">
        <v>14</v>
      </c>
      <c r="CG5" s="167">
        <v>18</v>
      </c>
      <c r="CH5" s="167">
        <v>14</v>
      </c>
      <c r="CI5" s="167">
        <v>15</v>
      </c>
      <c r="CJ5" s="167">
        <v>10</v>
      </c>
      <c r="CK5" s="167">
        <v>11</v>
      </c>
      <c r="CL5" s="167">
        <v>16</v>
      </c>
      <c r="CM5" s="167">
        <v>13</v>
      </c>
      <c r="CN5" s="167">
        <v>15</v>
      </c>
      <c r="CO5" s="167">
        <v>17</v>
      </c>
      <c r="CP5" s="167">
        <v>5</v>
      </c>
      <c r="CQ5" s="167">
        <v>14</v>
      </c>
      <c r="CR5" s="167">
        <v>16</v>
      </c>
      <c r="CS5" s="167">
        <v>13</v>
      </c>
      <c r="CT5" s="167">
        <v>13</v>
      </c>
      <c r="CU5" s="167">
        <v>11</v>
      </c>
      <c r="CV5" s="167">
        <v>7</v>
      </c>
      <c r="CW5" s="167">
        <v>5</v>
      </c>
      <c r="CX5" s="167">
        <v>5</v>
      </c>
      <c r="CY5" s="167">
        <v>5</v>
      </c>
      <c r="CZ5" s="167">
        <v>5</v>
      </c>
      <c r="DA5" s="167">
        <v>5</v>
      </c>
      <c r="DB5" s="167">
        <v>7</v>
      </c>
      <c r="DC5" s="167">
        <v>10</v>
      </c>
      <c r="DD5" s="167">
        <v>7</v>
      </c>
      <c r="DE5" s="167">
        <v>6</v>
      </c>
      <c r="DF5" s="167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  <c r="EI5" s="23">
        <v>0</v>
      </c>
      <c r="EJ5" s="23">
        <v>0</v>
      </c>
      <c r="EK5" s="23">
        <v>0</v>
      </c>
      <c r="EL5" s="23">
        <v>0</v>
      </c>
      <c r="EM5" s="23">
        <v>0</v>
      </c>
      <c r="EN5" s="23">
        <v>0</v>
      </c>
      <c r="EO5" s="23">
        <v>1.8</v>
      </c>
      <c r="EP5" s="23">
        <v>0</v>
      </c>
      <c r="EQ5" s="23">
        <v>0</v>
      </c>
      <c r="ER5" s="23">
        <v>0</v>
      </c>
      <c r="ES5" s="23">
        <v>0</v>
      </c>
      <c r="ET5" s="23">
        <v>0</v>
      </c>
      <c r="EU5" s="23">
        <v>0</v>
      </c>
      <c r="EV5" s="23">
        <v>0</v>
      </c>
      <c r="EW5" s="23">
        <v>0</v>
      </c>
      <c r="EX5" s="23">
        <v>0</v>
      </c>
      <c r="EY5" s="23">
        <v>3</v>
      </c>
      <c r="EZ5" s="23">
        <v>1</v>
      </c>
      <c r="FA5" s="23">
        <v>3</v>
      </c>
      <c r="FB5" s="23">
        <v>1</v>
      </c>
      <c r="FC5" s="23">
        <v>0</v>
      </c>
      <c r="FD5" s="23">
        <v>30</v>
      </c>
      <c r="FE5" s="23">
        <v>20</v>
      </c>
      <c r="FF5" s="23">
        <v>3</v>
      </c>
      <c r="FG5" s="23">
        <v>1.03</v>
      </c>
      <c r="FH5" s="23">
        <v>1</v>
      </c>
      <c r="FI5" s="23">
        <v>1</v>
      </c>
      <c r="FJ5" s="23">
        <v>1</v>
      </c>
      <c r="FK5" s="23">
        <v>1</v>
      </c>
      <c r="FL5" s="23">
        <v>1</v>
      </c>
      <c r="FM5" s="23">
        <v>1</v>
      </c>
      <c r="FN5" s="23">
        <v>1</v>
      </c>
      <c r="FO5" s="23">
        <v>1</v>
      </c>
      <c r="FP5" s="23">
        <v>1</v>
      </c>
      <c r="FQ5" s="23">
        <v>0</v>
      </c>
      <c r="FR5" s="23">
        <v>0</v>
      </c>
      <c r="FS5" s="23">
        <v>0</v>
      </c>
      <c r="FT5" s="23">
        <v>0</v>
      </c>
      <c r="FU5" s="23">
        <v>0</v>
      </c>
      <c r="FV5" s="23">
        <v>1</v>
      </c>
      <c r="FW5" s="23">
        <v>1</v>
      </c>
      <c r="FX5" s="23">
        <v>1</v>
      </c>
      <c r="FY5" s="23">
        <v>1</v>
      </c>
      <c r="FZ5" s="23">
        <v>0</v>
      </c>
      <c r="GA5" s="23">
        <v>0</v>
      </c>
      <c r="GB5" s="23">
        <v>0</v>
      </c>
    </row>
    <row r="6" spans="2:202" ht="19.5" customHeight="1" x14ac:dyDescent="0.35">
      <c r="B6" s="584" t="s">
        <v>19</v>
      </c>
      <c r="C6" s="60">
        <v>3</v>
      </c>
      <c r="D6" s="225" t="s">
        <v>310</v>
      </c>
      <c r="E6" s="197">
        <v>45700</v>
      </c>
      <c r="F6" s="197">
        <v>45709</v>
      </c>
      <c r="G6" s="198">
        <f t="shared" ref="G6:G27" si="10">F6-E6</f>
        <v>9</v>
      </c>
      <c r="H6" s="197">
        <v>45700</v>
      </c>
      <c r="I6" s="197">
        <v>45709</v>
      </c>
      <c r="J6" s="199" t="s">
        <v>256</v>
      </c>
      <c r="K6" s="200">
        <v>1</v>
      </c>
      <c r="L6" s="201">
        <v>45700</v>
      </c>
      <c r="M6" s="201">
        <v>45710</v>
      </c>
      <c r="N6" s="198">
        <f t="shared" si="6"/>
        <v>11</v>
      </c>
      <c r="O6" s="202">
        <f t="shared" si="7"/>
        <v>9.0909090909090912E-2</v>
      </c>
      <c r="P6" s="205">
        <f>IFERROR(SUMIF($U$2:$AT$2,"&lt;="&amp;$D$1,U6:BN6)/K6,"-")</f>
        <v>1</v>
      </c>
      <c r="Q6" s="204">
        <f>SUMIF($U$2:$CC$2,"&lt;="&amp;$D$1,U6:CC6)</f>
        <v>1</v>
      </c>
      <c r="R6" s="204">
        <f t="shared" si="8"/>
        <v>0</v>
      </c>
      <c r="S6" s="157">
        <f t="shared" si="9"/>
        <v>1</v>
      </c>
      <c r="T6" s="157">
        <f t="shared" ref="T6:T10" si="11">SUM(U6:EK6)</f>
        <v>1</v>
      </c>
      <c r="U6" s="156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  <c r="EF6" s="23">
        <v>0</v>
      </c>
      <c r="EG6" s="23">
        <v>0</v>
      </c>
      <c r="EH6" s="23">
        <v>0</v>
      </c>
      <c r="EI6" s="23">
        <v>0</v>
      </c>
      <c r="EJ6" s="56">
        <v>0</v>
      </c>
      <c r="EK6" s="23">
        <v>0</v>
      </c>
      <c r="EL6" s="23">
        <v>0</v>
      </c>
      <c r="EM6" s="23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  <c r="FG6" s="56">
        <v>0</v>
      </c>
      <c r="FH6" s="56">
        <v>0</v>
      </c>
      <c r="FI6" s="56">
        <v>0</v>
      </c>
      <c r="FJ6" s="56">
        <v>0</v>
      </c>
      <c r="FK6" s="56">
        <v>0</v>
      </c>
      <c r="FL6" s="56">
        <v>0</v>
      </c>
      <c r="FM6" s="56">
        <v>0</v>
      </c>
      <c r="FN6" s="23">
        <v>0</v>
      </c>
      <c r="FO6" s="56">
        <v>0</v>
      </c>
      <c r="FP6" s="56">
        <v>0</v>
      </c>
      <c r="FQ6" s="56">
        <v>0</v>
      </c>
      <c r="FR6" s="56">
        <v>0</v>
      </c>
      <c r="FS6" s="56">
        <v>0</v>
      </c>
      <c r="FT6" s="56">
        <v>0</v>
      </c>
      <c r="FU6" s="56">
        <v>0</v>
      </c>
      <c r="FV6" s="56">
        <v>0</v>
      </c>
      <c r="FW6" s="56">
        <v>0</v>
      </c>
      <c r="FX6" s="56">
        <v>0</v>
      </c>
      <c r="FY6" s="56">
        <v>0</v>
      </c>
      <c r="FZ6" s="56">
        <v>0</v>
      </c>
      <c r="GA6" s="56">
        <v>0</v>
      </c>
      <c r="GB6" s="56">
        <v>0</v>
      </c>
    </row>
    <row r="7" spans="2:202" x14ac:dyDescent="0.35">
      <c r="B7" s="584"/>
      <c r="C7" s="60">
        <v>4</v>
      </c>
      <c r="D7" s="225" t="s">
        <v>108</v>
      </c>
      <c r="E7" s="197">
        <v>45711</v>
      </c>
      <c r="F7" s="197">
        <v>45730</v>
      </c>
      <c r="G7" s="198">
        <f t="shared" si="10"/>
        <v>19</v>
      </c>
      <c r="H7" s="197">
        <v>45711</v>
      </c>
      <c r="I7" s="197">
        <v>45730</v>
      </c>
      <c r="J7" s="199" t="s">
        <v>256</v>
      </c>
      <c r="K7" s="200">
        <v>1</v>
      </c>
      <c r="L7" s="201">
        <v>45703</v>
      </c>
      <c r="M7" s="201">
        <v>45730</v>
      </c>
      <c r="N7" s="198">
        <f t="shared" si="6"/>
        <v>28</v>
      </c>
      <c r="O7" s="202">
        <f t="shared" si="7"/>
        <v>3.5714285714285712E-2</v>
      </c>
      <c r="P7" s="205">
        <f>IFERROR(SUMIF($U$2:$AT$2,"&lt;="&amp;$D$1,U7:BN7)/K7,"-")</f>
        <v>1</v>
      </c>
      <c r="Q7" s="204">
        <f>SUMIF($U$2:$CC$2,"&lt;="&amp;$D$1,U7:CC7)</f>
        <v>1</v>
      </c>
      <c r="R7" s="204">
        <f t="shared" si="8"/>
        <v>0</v>
      </c>
      <c r="S7" s="157">
        <f t="shared" si="9"/>
        <v>1</v>
      </c>
      <c r="T7" s="157">
        <f t="shared" si="11"/>
        <v>1</v>
      </c>
      <c r="U7" s="156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  <c r="EF7" s="23">
        <v>0</v>
      </c>
      <c r="EG7" s="23">
        <v>0</v>
      </c>
      <c r="EH7" s="23">
        <v>0</v>
      </c>
      <c r="EI7" s="23">
        <v>0</v>
      </c>
      <c r="EJ7" s="56">
        <v>0</v>
      </c>
      <c r="EK7" s="23">
        <v>0</v>
      </c>
      <c r="EL7" s="23">
        <v>0</v>
      </c>
      <c r="EM7" s="23">
        <v>0</v>
      </c>
      <c r="EN7" s="56">
        <v>0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6">
        <v>0</v>
      </c>
      <c r="EW7" s="56">
        <v>0</v>
      </c>
      <c r="EX7" s="56">
        <v>0</v>
      </c>
      <c r="EY7" s="56">
        <v>0</v>
      </c>
      <c r="EZ7" s="56">
        <v>0</v>
      </c>
      <c r="FA7" s="56">
        <v>0</v>
      </c>
      <c r="FB7" s="56">
        <v>0</v>
      </c>
      <c r="FC7" s="56">
        <v>0</v>
      </c>
      <c r="FD7" s="56">
        <v>0</v>
      </c>
      <c r="FE7" s="56">
        <v>0</v>
      </c>
      <c r="FF7" s="56">
        <v>0</v>
      </c>
      <c r="FG7" s="56">
        <v>0</v>
      </c>
      <c r="FH7" s="56">
        <v>0</v>
      </c>
      <c r="FI7" s="56">
        <v>0</v>
      </c>
      <c r="FJ7" s="56">
        <v>0</v>
      </c>
      <c r="FK7" s="56">
        <v>0</v>
      </c>
      <c r="FL7" s="56">
        <v>0</v>
      </c>
      <c r="FM7" s="56">
        <v>0</v>
      </c>
      <c r="FN7" s="23">
        <v>0</v>
      </c>
      <c r="FO7" s="56">
        <v>0</v>
      </c>
      <c r="FP7" s="56">
        <v>0</v>
      </c>
      <c r="FQ7" s="56">
        <v>0</v>
      </c>
      <c r="FR7" s="56">
        <v>0</v>
      </c>
      <c r="FS7" s="56">
        <v>0</v>
      </c>
      <c r="FT7" s="56">
        <v>0</v>
      </c>
      <c r="FU7" s="56">
        <v>0</v>
      </c>
      <c r="FV7" s="56">
        <v>0</v>
      </c>
      <c r="FW7" s="56">
        <v>0</v>
      </c>
      <c r="FX7" s="56">
        <v>0</v>
      </c>
      <c r="FY7" s="56">
        <v>0</v>
      </c>
      <c r="FZ7" s="56">
        <v>0</v>
      </c>
      <c r="GA7" s="56">
        <v>0</v>
      </c>
      <c r="GB7" s="56">
        <v>0</v>
      </c>
    </row>
    <row r="8" spans="2:202" x14ac:dyDescent="0.35">
      <c r="B8" s="584"/>
      <c r="C8" s="60">
        <v>5</v>
      </c>
      <c r="D8" s="225" t="s">
        <v>311</v>
      </c>
      <c r="E8" s="197">
        <v>45703</v>
      </c>
      <c r="F8" s="197">
        <v>45762</v>
      </c>
      <c r="G8" s="198">
        <f t="shared" si="10"/>
        <v>59</v>
      </c>
      <c r="H8" s="197">
        <v>45703</v>
      </c>
      <c r="I8" s="197">
        <v>45776</v>
      </c>
      <c r="J8" s="199" t="s">
        <v>315</v>
      </c>
      <c r="K8" s="200">
        <v>79</v>
      </c>
      <c r="L8" s="201">
        <v>45711</v>
      </c>
      <c r="M8" s="201">
        <v>45778</v>
      </c>
      <c r="N8" s="198">
        <f t="shared" si="6"/>
        <v>68</v>
      </c>
      <c r="O8" s="202">
        <f t="shared" si="7"/>
        <v>1.161764705882353</v>
      </c>
      <c r="P8" s="205">
        <f>Q8/K8</f>
        <v>1</v>
      </c>
      <c r="Q8" s="204">
        <f>SUMIF($U$2:$CC$2,"&lt;="&amp;$D$1,U8:CC8)</f>
        <v>79</v>
      </c>
      <c r="R8" s="204">
        <f t="shared" si="8"/>
        <v>0</v>
      </c>
      <c r="S8" s="157">
        <f t="shared" si="9"/>
        <v>79</v>
      </c>
      <c r="T8" s="157">
        <f t="shared" si="11"/>
        <v>79</v>
      </c>
      <c r="U8" s="156">
        <v>52</v>
      </c>
      <c r="V8" s="156">
        <v>2</v>
      </c>
      <c r="W8" s="156">
        <v>2</v>
      </c>
      <c r="X8" s="156">
        <v>2</v>
      </c>
      <c r="Y8" s="156">
        <v>2</v>
      </c>
      <c r="Z8" s="156">
        <v>2</v>
      </c>
      <c r="AA8" s="156">
        <v>1</v>
      </c>
      <c r="AB8" s="156">
        <v>1</v>
      </c>
      <c r="AC8" s="156">
        <v>1</v>
      </c>
      <c r="AD8" s="156">
        <v>1</v>
      </c>
      <c r="AE8" s="156">
        <v>1</v>
      </c>
      <c r="AF8" s="156">
        <v>1</v>
      </c>
      <c r="AG8" s="156"/>
      <c r="AH8" s="156">
        <v>1</v>
      </c>
      <c r="AI8" s="156">
        <v>1</v>
      </c>
      <c r="AJ8" s="156"/>
      <c r="AK8" s="156"/>
      <c r="AL8" s="156">
        <v>1</v>
      </c>
      <c r="AM8" s="156">
        <v>1</v>
      </c>
      <c r="AN8" s="156">
        <v>1</v>
      </c>
      <c r="AO8" s="156">
        <v>1</v>
      </c>
      <c r="AP8" s="156">
        <v>1</v>
      </c>
      <c r="AQ8" s="156"/>
      <c r="AR8" s="154"/>
      <c r="AS8" s="156">
        <v>1</v>
      </c>
      <c r="AT8" s="156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56">
        <v>0</v>
      </c>
      <c r="EK8" s="23">
        <v>0</v>
      </c>
      <c r="EL8" s="23">
        <v>0</v>
      </c>
      <c r="EM8" s="23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  <c r="FG8" s="56">
        <v>0</v>
      </c>
      <c r="FH8" s="56">
        <v>0</v>
      </c>
      <c r="FI8" s="56">
        <v>0</v>
      </c>
      <c r="FJ8" s="56">
        <v>0</v>
      </c>
      <c r="FK8" s="56">
        <v>0</v>
      </c>
      <c r="FL8" s="56">
        <v>0</v>
      </c>
      <c r="FM8" s="56">
        <v>0</v>
      </c>
      <c r="FN8" s="23">
        <v>0</v>
      </c>
      <c r="FO8" s="56">
        <v>0</v>
      </c>
      <c r="FP8" s="56">
        <v>0</v>
      </c>
      <c r="FQ8" s="56">
        <v>0</v>
      </c>
      <c r="FR8" s="56">
        <v>0</v>
      </c>
      <c r="FS8" s="56">
        <v>0</v>
      </c>
      <c r="FT8" s="56">
        <v>0</v>
      </c>
      <c r="FU8" s="56">
        <v>0</v>
      </c>
      <c r="FV8" s="56">
        <v>0</v>
      </c>
      <c r="FW8" s="56">
        <v>0</v>
      </c>
      <c r="FX8" s="56">
        <v>0</v>
      </c>
      <c r="FY8" s="56">
        <v>0</v>
      </c>
      <c r="FZ8" s="56">
        <v>0</v>
      </c>
      <c r="GA8" s="56">
        <v>0</v>
      </c>
      <c r="GB8" s="56">
        <v>0</v>
      </c>
    </row>
    <row r="9" spans="2:202" x14ac:dyDescent="0.35">
      <c r="B9" s="584"/>
      <c r="C9" s="60">
        <v>6</v>
      </c>
      <c r="D9" s="225" t="s">
        <v>312</v>
      </c>
      <c r="E9" s="197">
        <v>45749</v>
      </c>
      <c r="F9" s="197">
        <v>45760</v>
      </c>
      <c r="G9" s="198">
        <f t="shared" si="10"/>
        <v>11</v>
      </c>
      <c r="H9" s="197">
        <v>45753</v>
      </c>
      <c r="I9" s="197">
        <v>45757</v>
      </c>
      <c r="J9" s="199" t="s">
        <v>256</v>
      </c>
      <c r="K9" s="200">
        <v>36</v>
      </c>
      <c r="L9" s="201">
        <v>45753</v>
      </c>
      <c r="M9" s="201">
        <v>45757</v>
      </c>
      <c r="N9" s="198">
        <f t="shared" si="6"/>
        <v>5</v>
      </c>
      <c r="O9" s="202">
        <f t="shared" si="7"/>
        <v>7.2</v>
      </c>
      <c r="P9" s="205">
        <f>IFERROR(SUMIF($U$2:$AT$2,"&lt;="&amp;$D$1,U9:BN9)/K9,"-")</f>
        <v>1</v>
      </c>
      <c r="Q9" s="204">
        <f>SUMIF($U$2:$CC$2,"&lt;="&amp;$D$1,U9:CC9)</f>
        <v>36</v>
      </c>
      <c r="R9" s="204">
        <f t="shared" si="8"/>
        <v>0</v>
      </c>
      <c r="S9" s="157">
        <f t="shared" si="9"/>
        <v>36</v>
      </c>
      <c r="T9" s="157">
        <f t="shared" si="11"/>
        <v>36</v>
      </c>
      <c r="U9" s="66">
        <v>0</v>
      </c>
      <c r="V9" s="66">
        <v>0</v>
      </c>
      <c r="W9" s="66"/>
      <c r="X9" s="66"/>
      <c r="Y9" s="155">
        <v>4</v>
      </c>
      <c r="Z9" s="155">
        <v>8</v>
      </c>
      <c r="AA9" s="155">
        <v>8</v>
      </c>
      <c r="AB9" s="155">
        <v>10</v>
      </c>
      <c r="AC9" s="155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56">
        <v>0</v>
      </c>
      <c r="EK9" s="23">
        <v>0</v>
      </c>
      <c r="EL9" s="23">
        <v>0</v>
      </c>
      <c r="EM9" s="23">
        <v>0</v>
      </c>
      <c r="EN9" s="56">
        <v>0</v>
      </c>
      <c r="EO9" s="56">
        <v>0</v>
      </c>
      <c r="EP9" s="56">
        <v>0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6">
        <v>0</v>
      </c>
      <c r="EW9" s="56">
        <v>0</v>
      </c>
      <c r="EX9" s="56">
        <v>0</v>
      </c>
      <c r="EY9" s="56">
        <v>0</v>
      </c>
      <c r="EZ9" s="56">
        <v>0</v>
      </c>
      <c r="FA9" s="56">
        <v>0</v>
      </c>
      <c r="FB9" s="56">
        <v>0</v>
      </c>
      <c r="FC9" s="56">
        <v>0</v>
      </c>
      <c r="FD9" s="56">
        <v>0</v>
      </c>
      <c r="FE9" s="56">
        <v>0</v>
      </c>
      <c r="FF9" s="56">
        <v>0</v>
      </c>
      <c r="FG9" s="56">
        <v>0</v>
      </c>
      <c r="FH9" s="56">
        <v>0</v>
      </c>
      <c r="FI9" s="56">
        <v>0</v>
      </c>
      <c r="FJ9" s="56">
        <v>0</v>
      </c>
      <c r="FK9" s="56">
        <v>0</v>
      </c>
      <c r="FL9" s="56">
        <v>0</v>
      </c>
      <c r="FM9" s="56">
        <v>0</v>
      </c>
      <c r="FN9" s="23">
        <v>0</v>
      </c>
      <c r="FO9" s="56">
        <v>0</v>
      </c>
      <c r="FP9" s="56">
        <v>0</v>
      </c>
      <c r="FQ9" s="56">
        <v>0</v>
      </c>
      <c r="FR9" s="56">
        <v>0</v>
      </c>
      <c r="FS9" s="56">
        <v>0</v>
      </c>
      <c r="FT9" s="56">
        <v>0</v>
      </c>
      <c r="FU9" s="56">
        <v>0</v>
      </c>
      <c r="FV9" s="56">
        <v>0</v>
      </c>
      <c r="FW9" s="56">
        <v>0</v>
      </c>
      <c r="FX9" s="56">
        <v>0</v>
      </c>
      <c r="FY9" s="56">
        <v>0</v>
      </c>
      <c r="FZ9" s="56">
        <v>0</v>
      </c>
      <c r="GA9" s="56">
        <v>0</v>
      </c>
      <c r="GB9" s="56">
        <v>0</v>
      </c>
    </row>
    <row r="10" spans="2:202" x14ac:dyDescent="0.35">
      <c r="B10" s="584"/>
      <c r="C10" s="60">
        <v>7</v>
      </c>
      <c r="D10" s="225" t="s">
        <v>313</v>
      </c>
      <c r="E10" s="197">
        <v>45759</v>
      </c>
      <c r="F10" s="197">
        <v>45773</v>
      </c>
      <c r="G10" s="198">
        <f t="shared" si="10"/>
        <v>14</v>
      </c>
      <c r="H10" s="197">
        <v>45806</v>
      </c>
      <c r="I10" s="197">
        <v>45811</v>
      </c>
      <c r="J10" s="199" t="s">
        <v>256</v>
      </c>
      <c r="K10" s="200">
        <v>240</v>
      </c>
      <c r="L10" s="201"/>
      <c r="M10" s="201"/>
      <c r="N10" s="198" t="str">
        <f t="shared" si="6"/>
        <v/>
      </c>
      <c r="O10" s="202" t="str">
        <f t="shared" si="7"/>
        <v>-</v>
      </c>
      <c r="P10" s="205">
        <f>Q10/K10</f>
        <v>1</v>
      </c>
      <c r="Q10" s="204">
        <f>S10</f>
        <v>240</v>
      </c>
      <c r="R10" s="204">
        <f t="shared" si="8"/>
        <v>0</v>
      </c>
      <c r="S10" s="157">
        <f t="shared" si="9"/>
        <v>240</v>
      </c>
      <c r="T10" s="157">
        <f t="shared" si="11"/>
        <v>240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>
        <v>34</v>
      </c>
      <c r="CA10" s="168">
        <v>38</v>
      </c>
      <c r="CB10" s="168">
        <v>36</v>
      </c>
      <c r="CC10" s="168">
        <v>40</v>
      </c>
      <c r="CD10" s="168"/>
      <c r="CE10" s="168"/>
      <c r="CF10" s="168"/>
      <c r="CG10" s="168">
        <v>40</v>
      </c>
      <c r="CH10" s="168">
        <v>32</v>
      </c>
      <c r="CI10" s="168">
        <v>20</v>
      </c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56">
        <v>0</v>
      </c>
      <c r="EK10" s="23">
        <v>0</v>
      </c>
      <c r="EL10" s="23">
        <v>0</v>
      </c>
      <c r="EM10" s="23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  <c r="FG10" s="56">
        <v>0</v>
      </c>
      <c r="FH10" s="56">
        <v>0</v>
      </c>
      <c r="FI10" s="56">
        <v>0</v>
      </c>
      <c r="FJ10" s="56">
        <v>0</v>
      </c>
      <c r="FK10" s="56">
        <v>0</v>
      </c>
      <c r="FL10" s="56">
        <v>0</v>
      </c>
      <c r="FM10" s="56">
        <v>0</v>
      </c>
      <c r="FN10" s="23">
        <v>0</v>
      </c>
      <c r="FO10" s="56">
        <v>0</v>
      </c>
      <c r="FP10" s="56">
        <v>0</v>
      </c>
      <c r="FQ10" s="56">
        <v>0</v>
      </c>
      <c r="FR10" s="56">
        <v>0</v>
      </c>
      <c r="FS10" s="56">
        <v>0</v>
      </c>
      <c r="FT10" s="56">
        <v>0</v>
      </c>
      <c r="FU10" s="56">
        <v>0</v>
      </c>
      <c r="FV10" s="56">
        <v>0</v>
      </c>
      <c r="FW10" s="56">
        <v>0</v>
      </c>
      <c r="FX10" s="56">
        <v>0</v>
      </c>
      <c r="FY10" s="56">
        <v>0</v>
      </c>
      <c r="FZ10" s="56">
        <v>0</v>
      </c>
      <c r="GA10" s="56">
        <v>0</v>
      </c>
      <c r="GB10" s="56">
        <v>0</v>
      </c>
    </row>
    <row r="11" spans="2:202" x14ac:dyDescent="0.35">
      <c r="B11" s="584"/>
      <c r="C11" s="60">
        <v>8</v>
      </c>
      <c r="D11" s="225" t="s">
        <v>812</v>
      </c>
      <c r="E11" s="197">
        <f>F10+28</f>
        <v>45801</v>
      </c>
      <c r="F11" s="197">
        <f>E11+G11-1</f>
        <v>45807</v>
      </c>
      <c r="G11" s="198">
        <v>7</v>
      </c>
      <c r="H11" s="197">
        <v>45824</v>
      </c>
      <c r="I11" s="197">
        <f>H11+60</f>
        <v>45884</v>
      </c>
      <c r="J11" s="199" t="s">
        <v>256</v>
      </c>
      <c r="K11" s="200">
        <v>180</v>
      </c>
      <c r="L11" s="201"/>
      <c r="M11" s="201"/>
      <c r="N11" s="198" t="str">
        <f t="shared" si="6"/>
        <v/>
      </c>
      <c r="O11" s="202" t="str">
        <f t="shared" si="7"/>
        <v>-</v>
      </c>
      <c r="P11" s="205">
        <f>Q11/K11</f>
        <v>1</v>
      </c>
      <c r="Q11" s="204">
        <f>S11</f>
        <v>180</v>
      </c>
      <c r="R11" s="204">
        <f t="shared" si="8"/>
        <v>0</v>
      </c>
      <c r="S11" s="157">
        <f t="shared" si="9"/>
        <v>180</v>
      </c>
      <c r="T11" s="157">
        <f t="shared" ref="T11:T54" si="12">SUM(U11:CB11)</f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>
        <v>3</v>
      </c>
      <c r="CW11" s="168">
        <v>4</v>
      </c>
      <c r="CX11" s="168">
        <v>4</v>
      </c>
      <c r="CY11" s="168">
        <v>4</v>
      </c>
      <c r="CZ11" s="168">
        <v>0</v>
      </c>
      <c r="DA11" s="168">
        <v>6</v>
      </c>
      <c r="DB11" s="168">
        <v>2</v>
      </c>
      <c r="DC11" s="168">
        <v>2</v>
      </c>
      <c r="DD11" s="168">
        <v>0</v>
      </c>
      <c r="DE11" s="168">
        <v>7</v>
      </c>
      <c r="DF11" s="168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  <c r="EF11" s="23">
        <v>9</v>
      </c>
      <c r="EG11" s="23">
        <v>0</v>
      </c>
      <c r="EH11" s="23">
        <v>9</v>
      </c>
      <c r="EI11" s="56">
        <v>10</v>
      </c>
      <c r="EJ11" s="56">
        <v>10</v>
      </c>
      <c r="EK11" s="23">
        <v>0</v>
      </c>
      <c r="EL11" s="23">
        <v>0</v>
      </c>
      <c r="EM11" s="23">
        <v>0</v>
      </c>
      <c r="EN11" s="56">
        <v>0</v>
      </c>
      <c r="EO11" s="56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6">
        <v>0</v>
      </c>
      <c r="EZ11" s="56">
        <v>0</v>
      </c>
      <c r="FA11" s="56">
        <v>0</v>
      </c>
      <c r="FB11" s="56">
        <v>0</v>
      </c>
      <c r="FC11" s="56">
        <v>0</v>
      </c>
      <c r="FD11" s="56">
        <v>0</v>
      </c>
      <c r="FE11" s="56">
        <v>0</v>
      </c>
      <c r="FF11" s="56">
        <v>0</v>
      </c>
      <c r="FG11" s="56">
        <v>0</v>
      </c>
      <c r="FH11" s="56">
        <v>0</v>
      </c>
      <c r="FI11" s="56">
        <v>0</v>
      </c>
      <c r="FJ11" s="56">
        <v>0</v>
      </c>
      <c r="FK11" s="56">
        <v>0</v>
      </c>
      <c r="FL11" s="56">
        <v>0</v>
      </c>
      <c r="FM11" s="56">
        <v>0</v>
      </c>
      <c r="FN11" s="23">
        <v>0</v>
      </c>
      <c r="FO11" s="56">
        <v>0</v>
      </c>
      <c r="FP11" s="56">
        <v>0</v>
      </c>
      <c r="FQ11" s="56">
        <v>0</v>
      </c>
      <c r="FR11" s="56">
        <v>0</v>
      </c>
      <c r="FS11" s="56">
        <v>0</v>
      </c>
      <c r="FT11" s="56">
        <v>0</v>
      </c>
      <c r="FU11" s="56">
        <v>0</v>
      </c>
      <c r="FV11" s="56">
        <v>0</v>
      </c>
      <c r="FW11" s="56">
        <v>0</v>
      </c>
      <c r="FX11" s="56">
        <v>0</v>
      </c>
      <c r="FY11" s="56">
        <v>0</v>
      </c>
      <c r="FZ11" s="56">
        <v>0</v>
      </c>
      <c r="GA11" s="56">
        <v>0</v>
      </c>
      <c r="GB11" s="56">
        <v>0</v>
      </c>
    </row>
    <row r="12" spans="2:202" x14ac:dyDescent="0.35">
      <c r="B12" s="584" t="s">
        <v>109</v>
      </c>
      <c r="C12" s="60">
        <v>9</v>
      </c>
      <c r="D12" s="225" t="s">
        <v>110</v>
      </c>
      <c r="E12" s="206">
        <v>45824</v>
      </c>
      <c r="F12" s="206">
        <v>45971</v>
      </c>
      <c r="G12" s="198">
        <f t="shared" si="10"/>
        <v>147</v>
      </c>
      <c r="H12" s="206">
        <v>45838</v>
      </c>
      <c r="I12" s="206">
        <v>45971</v>
      </c>
      <c r="J12" s="199" t="s">
        <v>13</v>
      </c>
      <c r="K12" s="200">
        <v>116500</v>
      </c>
      <c r="L12" s="201"/>
      <c r="M12" s="201"/>
      <c r="N12" s="198" t="str">
        <f t="shared" si="6"/>
        <v/>
      </c>
      <c r="O12" s="202" t="str">
        <f t="shared" si="7"/>
        <v>-</v>
      </c>
      <c r="P12" s="205">
        <f ca="1">Q12/K12</f>
        <v>0.2249527896995708</v>
      </c>
      <c r="Q12" s="204">
        <f ca="1">S12</f>
        <v>26207</v>
      </c>
      <c r="R12" s="204">
        <f t="shared" ca="1" si="8"/>
        <v>90293</v>
      </c>
      <c r="S12" s="65">
        <f t="shared" ca="1" si="9"/>
        <v>26207</v>
      </c>
      <c r="T12" s="157">
        <f t="shared" si="12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68"/>
      <c r="CR12" s="168"/>
      <c r="CS12" s="168"/>
      <c r="CT12" s="168"/>
      <c r="CU12" s="168"/>
      <c r="CV12" s="168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  <c r="ED12" s="56">
        <v>898</v>
      </c>
      <c r="EE12" s="56">
        <v>943</v>
      </c>
      <c r="EF12" s="23">
        <v>846</v>
      </c>
      <c r="EG12" s="23">
        <v>167</v>
      </c>
      <c r="EH12" s="23">
        <v>929</v>
      </c>
      <c r="EI12" s="56">
        <v>763</v>
      </c>
      <c r="EJ12" s="56">
        <v>596</v>
      </c>
      <c r="EK12" s="56">
        <v>976</v>
      </c>
      <c r="EL12" s="23">
        <v>953</v>
      </c>
      <c r="EM12" s="23">
        <v>405</v>
      </c>
      <c r="EN12" s="56">
        <v>335</v>
      </c>
      <c r="EO12" s="56">
        <v>536</v>
      </c>
      <c r="EP12" s="56">
        <v>162</v>
      </c>
      <c r="EQ12" s="56">
        <v>225</v>
      </c>
      <c r="ER12" s="56">
        <v>108</v>
      </c>
      <c r="ES12" s="56">
        <v>216</v>
      </c>
      <c r="ET12" s="56">
        <v>108</v>
      </c>
      <c r="EU12" s="56">
        <v>18</v>
      </c>
      <c r="EV12" s="56">
        <v>108</v>
      </c>
      <c r="EW12" s="56">
        <v>403</v>
      </c>
      <c r="EX12" s="56">
        <v>0</v>
      </c>
      <c r="EY12" s="56">
        <v>0</v>
      </c>
      <c r="EZ12" s="56">
        <v>0</v>
      </c>
      <c r="FA12" s="56">
        <v>495</v>
      </c>
      <c r="FB12" s="56">
        <v>463</v>
      </c>
      <c r="FC12" s="56">
        <v>665</v>
      </c>
      <c r="FD12" s="56">
        <v>389</v>
      </c>
      <c r="FE12" s="56">
        <v>593</v>
      </c>
      <c r="FF12" s="56">
        <v>889</v>
      </c>
      <c r="FG12" s="56">
        <v>602</v>
      </c>
      <c r="FH12" s="56">
        <v>952</v>
      </c>
      <c r="FI12" s="56">
        <v>564</v>
      </c>
      <c r="FJ12" s="56">
        <v>1095</v>
      </c>
      <c r="FK12" s="56">
        <v>1034</v>
      </c>
      <c r="FL12" s="56">
        <v>252</v>
      </c>
      <c r="FM12" s="56">
        <v>639</v>
      </c>
      <c r="FN12" s="23">
        <v>782</v>
      </c>
      <c r="FO12" s="56">
        <v>1077</v>
      </c>
      <c r="FP12" s="56">
        <v>1082</v>
      </c>
      <c r="FQ12" s="56">
        <v>564</v>
      </c>
      <c r="FR12" s="321">
        <f t="shared" ref="FR12:FW14" ca="1" si="13">SUMIF($J$6:$J$101,$J12,FR$6:FR$101)</f>
        <v>423</v>
      </c>
      <c r="FS12" s="321">
        <f t="shared" ca="1" si="13"/>
        <v>553</v>
      </c>
      <c r="FT12" s="321">
        <f t="shared" ca="1" si="13"/>
        <v>163</v>
      </c>
      <c r="FU12" s="321">
        <f t="shared" ca="1" si="13"/>
        <v>334</v>
      </c>
      <c r="FV12" s="321">
        <f t="shared" ca="1" si="13"/>
        <v>495</v>
      </c>
      <c r="FW12" s="321">
        <f t="shared" ca="1" si="13"/>
        <v>275</v>
      </c>
      <c r="FX12" s="56">
        <v>270</v>
      </c>
      <c r="FY12" s="56">
        <v>657</v>
      </c>
      <c r="FZ12" s="321">
        <f t="shared" ref="FZ12:GB15" ca="1" si="14">SUMIF($J$5:$J$100,$J12,FZ$5:FZ$100)</f>
        <v>594</v>
      </c>
      <c r="GA12" s="321">
        <f t="shared" ca="1" si="14"/>
        <v>605</v>
      </c>
      <c r="GB12" s="321">
        <f t="shared" ca="1" si="14"/>
        <v>665</v>
      </c>
    </row>
    <row r="13" spans="2:202" x14ac:dyDescent="0.35">
      <c r="B13" s="584"/>
      <c r="C13" s="60">
        <v>10</v>
      </c>
      <c r="D13" s="225" t="s">
        <v>111</v>
      </c>
      <c r="E13" s="206">
        <v>45848</v>
      </c>
      <c r="F13" s="206">
        <v>45976</v>
      </c>
      <c r="G13" s="198">
        <f t="shared" si="10"/>
        <v>128</v>
      </c>
      <c r="H13" s="206">
        <f>E13</f>
        <v>45848</v>
      </c>
      <c r="I13" s="206">
        <f>F13</f>
        <v>45976</v>
      </c>
      <c r="J13" s="199" t="s">
        <v>13</v>
      </c>
      <c r="K13" s="200">
        <v>116500</v>
      </c>
      <c r="L13" s="201"/>
      <c r="M13" s="201"/>
      <c r="N13" s="198" t="str">
        <f t="shared" si="6"/>
        <v/>
      </c>
      <c r="O13" s="202" t="str">
        <f t="shared" si="7"/>
        <v>-</v>
      </c>
      <c r="P13" s="205">
        <f>Q13/K13</f>
        <v>0.21158798283261804</v>
      </c>
      <c r="Q13" s="204">
        <f t="shared" ref="Q13" si="15">S13</f>
        <v>24650</v>
      </c>
      <c r="R13" s="204">
        <f t="shared" si="8"/>
        <v>91850</v>
      </c>
      <c r="S13" s="65">
        <v>24650</v>
      </c>
      <c r="T13" s="157">
        <f t="shared" si="12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  <c r="ED13" s="56">
        <v>245</v>
      </c>
      <c r="EE13" s="56">
        <v>574</v>
      </c>
      <c r="EF13" s="23">
        <v>15</v>
      </c>
      <c r="EG13" s="23">
        <v>0</v>
      </c>
      <c r="EH13" s="23">
        <v>0</v>
      </c>
      <c r="EI13" s="56">
        <v>0</v>
      </c>
      <c r="EJ13" s="56">
        <v>37</v>
      </c>
      <c r="EK13" s="56">
        <v>356</v>
      </c>
      <c r="EL13" s="23">
        <v>325</v>
      </c>
      <c r="EM13" s="23">
        <v>0</v>
      </c>
      <c r="EN13" s="56">
        <v>0</v>
      </c>
      <c r="EO13" s="56">
        <v>110</v>
      </c>
      <c r="EP13" s="56">
        <v>0</v>
      </c>
      <c r="EQ13" s="56">
        <v>0</v>
      </c>
      <c r="ER13" s="56">
        <v>0</v>
      </c>
      <c r="ES13" s="56">
        <v>0</v>
      </c>
      <c r="ET13" s="56">
        <v>44</v>
      </c>
      <c r="EU13" s="56">
        <v>0</v>
      </c>
      <c r="EV13" s="56">
        <v>401</v>
      </c>
      <c r="EW13" s="56">
        <v>267</v>
      </c>
      <c r="EX13" s="56">
        <v>876</v>
      </c>
      <c r="EY13" s="56">
        <v>260</v>
      </c>
      <c r="EZ13" s="56">
        <v>0</v>
      </c>
      <c r="FA13" s="56">
        <v>467</v>
      </c>
      <c r="FB13" s="56">
        <v>238</v>
      </c>
      <c r="FC13" s="56">
        <v>825</v>
      </c>
      <c r="FD13" s="56">
        <v>402</v>
      </c>
      <c r="FE13" s="56">
        <v>570</v>
      </c>
      <c r="FF13" s="56">
        <v>704</v>
      </c>
      <c r="FG13" s="56">
        <v>854</v>
      </c>
      <c r="FH13" s="56">
        <v>1065</v>
      </c>
      <c r="FI13" s="56">
        <v>896</v>
      </c>
      <c r="FJ13" s="56">
        <v>1008</v>
      </c>
      <c r="FK13" s="56">
        <v>1144</v>
      </c>
      <c r="FL13" s="56">
        <v>458</v>
      </c>
      <c r="FM13" s="56">
        <v>1314</v>
      </c>
      <c r="FN13" s="23">
        <v>534</v>
      </c>
      <c r="FO13" s="56">
        <v>243</v>
      </c>
      <c r="FP13" s="56">
        <v>235</v>
      </c>
      <c r="FQ13" s="56">
        <v>180</v>
      </c>
      <c r="FR13" s="321">
        <f t="shared" ca="1" si="13"/>
        <v>605</v>
      </c>
      <c r="FS13" s="321">
        <f t="shared" ca="1" si="13"/>
        <v>735</v>
      </c>
      <c r="FT13" s="321">
        <f t="shared" ca="1" si="13"/>
        <v>395</v>
      </c>
      <c r="FU13" s="321">
        <f t="shared" ca="1" si="13"/>
        <v>0</v>
      </c>
      <c r="FV13" s="321">
        <f t="shared" ca="1" si="13"/>
        <v>89</v>
      </c>
      <c r="FW13" s="321">
        <f t="shared" ca="1" si="13"/>
        <v>200</v>
      </c>
      <c r="FX13" s="56">
        <v>640</v>
      </c>
      <c r="FY13" s="56">
        <v>927</v>
      </c>
      <c r="FZ13" s="321">
        <f t="shared" ca="1" si="14"/>
        <v>725</v>
      </c>
      <c r="GA13" s="321">
        <f t="shared" ca="1" si="14"/>
        <v>741</v>
      </c>
      <c r="GB13" s="321">
        <f t="shared" ca="1" si="14"/>
        <v>1084</v>
      </c>
    </row>
    <row r="14" spans="2:202" x14ac:dyDescent="0.35">
      <c r="B14" s="584"/>
      <c r="C14" s="60">
        <v>11</v>
      </c>
      <c r="D14" s="225" t="s">
        <v>112</v>
      </c>
      <c r="E14" s="206">
        <v>45858</v>
      </c>
      <c r="F14" s="206">
        <v>45986</v>
      </c>
      <c r="G14" s="198">
        <f t="shared" si="10"/>
        <v>128</v>
      </c>
      <c r="H14" s="206">
        <f t="shared" ref="H14:I20" si="16">E14</f>
        <v>45858</v>
      </c>
      <c r="I14" s="206">
        <f t="shared" ref="I14:I15" si="17">F14</f>
        <v>45986</v>
      </c>
      <c r="J14" s="199" t="s">
        <v>13</v>
      </c>
      <c r="K14" s="200">
        <v>116500</v>
      </c>
      <c r="L14" s="201"/>
      <c r="M14" s="201"/>
      <c r="N14" s="198" t="str">
        <f t="shared" si="6"/>
        <v/>
      </c>
      <c r="O14" s="202" t="str">
        <f t="shared" si="7"/>
        <v>-</v>
      </c>
      <c r="P14" s="205">
        <f t="shared" ref="P14:P33" si="18">IFERROR(SUMIF($U$2:$AT$2,"&lt;="&amp;$D$1,U14:BN14)/K14,"-")</f>
        <v>0</v>
      </c>
      <c r="Q14" s="204">
        <f>S14</f>
        <v>18175</v>
      </c>
      <c r="R14" s="204">
        <f t="shared" si="8"/>
        <v>98325</v>
      </c>
      <c r="S14" s="65">
        <v>18175</v>
      </c>
      <c r="T14" s="157">
        <f t="shared" si="12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  <c r="ED14" s="56">
        <v>27</v>
      </c>
      <c r="EE14" s="56">
        <v>31</v>
      </c>
      <c r="EF14" s="23">
        <v>86</v>
      </c>
      <c r="EG14" s="23">
        <v>29</v>
      </c>
      <c r="EH14" s="23">
        <v>103</v>
      </c>
      <c r="EI14" s="56">
        <v>106</v>
      </c>
      <c r="EJ14" s="56">
        <v>92</v>
      </c>
      <c r="EK14" s="56">
        <v>56</v>
      </c>
      <c r="EL14" s="23">
        <v>61</v>
      </c>
      <c r="EM14" s="23">
        <v>109</v>
      </c>
      <c r="EN14" s="56">
        <v>143</v>
      </c>
      <c r="EO14" s="56">
        <v>0</v>
      </c>
      <c r="EP14" s="56">
        <v>151</v>
      </c>
      <c r="EQ14" s="56">
        <v>156</v>
      </c>
      <c r="ER14" s="56">
        <v>188</v>
      </c>
      <c r="ES14" s="56">
        <v>250</v>
      </c>
      <c r="ET14" s="56">
        <v>249</v>
      </c>
      <c r="EU14" s="56">
        <v>379</v>
      </c>
      <c r="EV14" s="56">
        <v>359</v>
      </c>
      <c r="EW14" s="56">
        <v>347</v>
      </c>
      <c r="EX14" s="56">
        <v>451</v>
      </c>
      <c r="EY14" s="56">
        <v>282</v>
      </c>
      <c r="EZ14" s="56">
        <v>0</v>
      </c>
      <c r="FA14" s="56">
        <v>509</v>
      </c>
      <c r="FB14" s="56">
        <v>268</v>
      </c>
      <c r="FC14" s="56">
        <v>166</v>
      </c>
      <c r="FD14" s="56">
        <v>510</v>
      </c>
      <c r="FE14" s="56">
        <v>749</v>
      </c>
      <c r="FF14" s="56">
        <v>750</v>
      </c>
      <c r="FG14" s="56">
        <v>862</v>
      </c>
      <c r="FH14" s="56">
        <v>790</v>
      </c>
      <c r="FI14" s="56">
        <v>924</v>
      </c>
      <c r="FJ14" s="56">
        <v>664</v>
      </c>
      <c r="FK14" s="56">
        <v>579</v>
      </c>
      <c r="FL14" s="56">
        <v>397</v>
      </c>
      <c r="FM14" s="56">
        <v>1127</v>
      </c>
      <c r="FN14" s="23">
        <v>682</v>
      </c>
      <c r="FO14" s="56">
        <v>471</v>
      </c>
      <c r="FP14" s="56">
        <v>385</v>
      </c>
      <c r="FQ14" s="56">
        <v>339</v>
      </c>
      <c r="FR14" s="321">
        <f t="shared" ca="1" si="13"/>
        <v>500</v>
      </c>
      <c r="FS14" s="321">
        <f t="shared" ca="1" si="13"/>
        <v>195</v>
      </c>
      <c r="FT14" s="321">
        <f t="shared" ca="1" si="13"/>
        <v>834</v>
      </c>
      <c r="FU14" s="321">
        <f t="shared" ca="1" si="13"/>
        <v>440</v>
      </c>
      <c r="FV14" s="321">
        <f t="shared" ca="1" si="13"/>
        <v>277</v>
      </c>
      <c r="FW14" s="321">
        <f t="shared" ca="1" si="13"/>
        <v>73</v>
      </c>
      <c r="FX14" s="56">
        <v>345</v>
      </c>
      <c r="FY14" s="56">
        <v>66</v>
      </c>
      <c r="FZ14" s="321">
        <f t="shared" ca="1" si="14"/>
        <v>1011</v>
      </c>
      <c r="GA14" s="321">
        <f t="shared" ca="1" si="14"/>
        <v>166</v>
      </c>
      <c r="GB14" s="321">
        <f t="shared" ca="1" si="14"/>
        <v>406</v>
      </c>
    </row>
    <row r="15" spans="2:202" x14ac:dyDescent="0.35">
      <c r="B15" s="584"/>
      <c r="C15" s="60">
        <v>12</v>
      </c>
      <c r="D15" s="225" t="s">
        <v>113</v>
      </c>
      <c r="E15" s="206">
        <v>45863</v>
      </c>
      <c r="F15" s="206">
        <v>45995</v>
      </c>
      <c r="G15" s="198">
        <f t="shared" si="10"/>
        <v>132</v>
      </c>
      <c r="H15" s="206">
        <f t="shared" si="16"/>
        <v>45863</v>
      </c>
      <c r="I15" s="206">
        <f t="shared" si="17"/>
        <v>45995</v>
      </c>
      <c r="J15" s="199" t="s">
        <v>13</v>
      </c>
      <c r="K15" s="200">
        <v>116500</v>
      </c>
      <c r="L15" s="201"/>
      <c r="M15" s="201"/>
      <c r="N15" s="198" t="str">
        <f t="shared" si="6"/>
        <v/>
      </c>
      <c r="O15" s="202" t="str">
        <f t="shared" si="7"/>
        <v>-</v>
      </c>
      <c r="P15" s="205">
        <f t="shared" si="18"/>
        <v>0</v>
      </c>
      <c r="Q15" s="204">
        <f t="shared" ref="Q15:Q40" ca="1" si="19">S15</f>
        <v>1157</v>
      </c>
      <c r="R15" s="204">
        <f t="shared" ca="1" si="8"/>
        <v>115343</v>
      </c>
      <c r="S15" s="65">
        <f t="shared" ca="1" si="9"/>
        <v>1157</v>
      </c>
      <c r="T15" s="157">
        <f t="shared" si="12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  <c r="EF15" s="23">
        <v>0</v>
      </c>
      <c r="EG15" s="23">
        <v>0</v>
      </c>
      <c r="EH15" s="23">
        <v>0</v>
      </c>
      <c r="EI15" s="56">
        <v>0</v>
      </c>
      <c r="EJ15" s="56">
        <v>0</v>
      </c>
      <c r="EK15" s="56">
        <v>0</v>
      </c>
      <c r="EL15" s="23">
        <v>0</v>
      </c>
      <c r="EM15" s="23">
        <v>0</v>
      </c>
      <c r="EN15" s="56">
        <v>0</v>
      </c>
      <c r="EO15" s="56">
        <v>0</v>
      </c>
      <c r="EP15" s="56">
        <v>0</v>
      </c>
      <c r="EQ15" s="56">
        <v>0</v>
      </c>
      <c r="ER15" s="56">
        <v>0</v>
      </c>
      <c r="ES15" s="56">
        <v>0</v>
      </c>
      <c r="ET15" s="56">
        <v>0</v>
      </c>
      <c r="EU15" s="56">
        <v>0</v>
      </c>
      <c r="EV15" s="56">
        <v>0</v>
      </c>
      <c r="EW15" s="56">
        <v>0</v>
      </c>
      <c r="EX15" s="56">
        <v>0</v>
      </c>
      <c r="EY15" s="56">
        <v>0</v>
      </c>
      <c r="EZ15" s="56">
        <v>0</v>
      </c>
      <c r="FA15" s="56">
        <v>0</v>
      </c>
      <c r="FB15" s="56">
        <v>0</v>
      </c>
      <c r="FC15" s="56">
        <v>0</v>
      </c>
      <c r="FD15" s="56">
        <v>22</v>
      </c>
      <c r="FE15" s="56">
        <v>0</v>
      </c>
      <c r="FF15" s="56">
        <v>0</v>
      </c>
      <c r="FG15" s="56">
        <v>0</v>
      </c>
      <c r="FH15" s="56">
        <v>0</v>
      </c>
      <c r="FI15" s="56">
        <v>0</v>
      </c>
      <c r="FJ15" s="56">
        <v>132</v>
      </c>
      <c r="FK15" s="56">
        <v>129</v>
      </c>
      <c r="FL15" s="56">
        <v>0</v>
      </c>
      <c r="FM15" s="56">
        <v>0</v>
      </c>
      <c r="FN15" s="23">
        <v>0</v>
      </c>
      <c r="FO15" s="56">
        <v>93</v>
      </c>
      <c r="FP15" s="56">
        <v>349</v>
      </c>
      <c r="FQ15" s="56">
        <v>432</v>
      </c>
      <c r="FR15" s="321">
        <f t="shared" ref="FR15:FW15" ca="1" si="20">SUMIF($J$6:$J$99,$J15,FR$6:FR$99)</f>
        <v>315</v>
      </c>
      <c r="FS15" s="321">
        <f t="shared" ca="1" si="20"/>
        <v>549</v>
      </c>
      <c r="FT15" s="321">
        <f t="shared" ca="1" si="20"/>
        <v>0</v>
      </c>
      <c r="FU15" s="321">
        <f t="shared" ca="1" si="20"/>
        <v>143</v>
      </c>
      <c r="FV15" s="321">
        <f t="shared" ca="1" si="20"/>
        <v>1379</v>
      </c>
      <c r="FW15" s="321">
        <f t="shared" ca="1" si="20"/>
        <v>664</v>
      </c>
      <c r="FX15" s="56">
        <v>450</v>
      </c>
      <c r="FY15" s="56">
        <v>490</v>
      </c>
      <c r="FZ15" s="321">
        <f t="shared" ca="1" si="14"/>
        <v>305</v>
      </c>
      <c r="GA15" s="321">
        <f t="shared" ca="1" si="14"/>
        <v>163</v>
      </c>
      <c r="GB15" s="321">
        <f t="shared" ca="1" si="14"/>
        <v>200</v>
      </c>
    </row>
    <row r="16" spans="2:202" ht="18.5" customHeight="1" x14ac:dyDescent="0.35">
      <c r="B16" s="584" t="s">
        <v>114</v>
      </c>
      <c r="C16" s="60">
        <v>13</v>
      </c>
      <c r="D16" s="225" t="s">
        <v>120</v>
      </c>
      <c r="E16" s="206">
        <v>45821</v>
      </c>
      <c r="F16" s="206">
        <v>45923</v>
      </c>
      <c r="G16" s="198">
        <f t="shared" si="10"/>
        <v>102</v>
      </c>
      <c r="H16" s="206">
        <f t="shared" si="16"/>
        <v>45821</v>
      </c>
      <c r="I16" s="206">
        <f t="shared" si="16"/>
        <v>45923</v>
      </c>
      <c r="J16" s="199" t="s">
        <v>2</v>
      </c>
      <c r="K16" s="200">
        <v>26</v>
      </c>
      <c r="L16" s="201"/>
      <c r="M16" s="201"/>
      <c r="N16" s="198" t="str">
        <f t="shared" si="6"/>
        <v/>
      </c>
      <c r="O16" s="202" t="str">
        <f t="shared" si="7"/>
        <v>-</v>
      </c>
      <c r="P16" s="205">
        <f t="shared" si="18"/>
        <v>0</v>
      </c>
      <c r="Q16" s="204">
        <f t="shared" si="19"/>
        <v>3</v>
      </c>
      <c r="R16" s="204">
        <f t="shared" si="8"/>
        <v>23</v>
      </c>
      <c r="S16" s="65">
        <f t="shared" si="9"/>
        <v>3</v>
      </c>
      <c r="T16" s="157">
        <f t="shared" si="12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  <c r="EF16" s="23">
        <v>0</v>
      </c>
      <c r="EG16" s="23">
        <v>0</v>
      </c>
      <c r="EH16" s="23">
        <v>0</v>
      </c>
      <c r="EI16" s="56">
        <v>0</v>
      </c>
      <c r="EJ16" s="56">
        <v>0</v>
      </c>
      <c r="EK16" s="56">
        <v>0</v>
      </c>
      <c r="EL16" s="23">
        <v>0</v>
      </c>
      <c r="EM16" s="23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3</v>
      </c>
      <c r="FE16" s="56">
        <v>0</v>
      </c>
      <c r="FF16" s="56">
        <v>0</v>
      </c>
      <c r="FG16" s="56">
        <v>0</v>
      </c>
      <c r="FH16" s="56">
        <v>0</v>
      </c>
      <c r="FI16" s="56">
        <v>0</v>
      </c>
      <c r="FJ16" s="56">
        <v>0</v>
      </c>
      <c r="FK16" s="56">
        <v>0</v>
      </c>
      <c r="FL16" s="56">
        <v>0</v>
      </c>
      <c r="FM16" s="56">
        <v>0</v>
      </c>
      <c r="FN16" s="23">
        <v>0</v>
      </c>
      <c r="FO16" s="56">
        <v>0</v>
      </c>
      <c r="FP16" s="56">
        <v>0</v>
      </c>
      <c r="FQ16" s="56">
        <v>0</v>
      </c>
      <c r="FR16" s="56">
        <v>0</v>
      </c>
      <c r="FS16" s="56">
        <v>0</v>
      </c>
      <c r="FT16" s="56">
        <v>0</v>
      </c>
      <c r="FU16" s="56">
        <v>0</v>
      </c>
      <c r="FV16" s="56">
        <v>0</v>
      </c>
      <c r="FW16" s="56">
        <v>0</v>
      </c>
      <c r="FX16" s="56">
        <v>0</v>
      </c>
      <c r="FY16" s="56">
        <v>0</v>
      </c>
      <c r="FZ16" s="352">
        <v>0</v>
      </c>
      <c r="GA16" s="352">
        <v>0</v>
      </c>
      <c r="GB16" s="352">
        <v>0</v>
      </c>
    </row>
    <row r="17" spans="2:184" x14ac:dyDescent="0.35">
      <c r="B17" s="584"/>
      <c r="C17" s="60">
        <v>14</v>
      </c>
      <c r="D17" s="225" t="s">
        <v>121</v>
      </c>
      <c r="E17" s="206">
        <v>45840</v>
      </c>
      <c r="F17" s="206">
        <f>F16+6</f>
        <v>45929</v>
      </c>
      <c r="G17" s="198">
        <f t="shared" si="10"/>
        <v>89</v>
      </c>
      <c r="H17" s="206">
        <f t="shared" si="16"/>
        <v>45840</v>
      </c>
      <c r="I17" s="206">
        <f t="shared" si="16"/>
        <v>45929</v>
      </c>
      <c r="J17" s="199" t="s">
        <v>2</v>
      </c>
      <c r="K17" s="200">
        <v>26</v>
      </c>
      <c r="L17" s="201"/>
      <c r="M17" s="201"/>
      <c r="N17" s="198" t="str">
        <f t="shared" si="6"/>
        <v/>
      </c>
      <c r="O17" s="202" t="str">
        <f t="shared" si="7"/>
        <v>-</v>
      </c>
      <c r="P17" s="205">
        <f t="shared" si="18"/>
        <v>0</v>
      </c>
      <c r="Q17" s="204">
        <f t="shared" si="19"/>
        <v>0</v>
      </c>
      <c r="R17" s="204">
        <f t="shared" si="8"/>
        <v>26</v>
      </c>
      <c r="S17" s="65">
        <f t="shared" si="9"/>
        <v>0</v>
      </c>
      <c r="T17" s="157">
        <f t="shared" si="12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  <c r="EF17" s="23">
        <v>0</v>
      </c>
      <c r="EG17" s="23">
        <v>0</v>
      </c>
      <c r="EH17" s="23">
        <v>0</v>
      </c>
      <c r="EI17" s="56">
        <v>0</v>
      </c>
      <c r="EJ17" s="56">
        <v>0</v>
      </c>
      <c r="EK17" s="56">
        <v>0</v>
      </c>
      <c r="EL17" s="23">
        <v>0</v>
      </c>
      <c r="EM17" s="23">
        <v>0</v>
      </c>
      <c r="EN17" s="56">
        <v>0</v>
      </c>
      <c r="EO17" s="56">
        <v>0</v>
      </c>
      <c r="EP17" s="56">
        <v>0</v>
      </c>
      <c r="EQ17" s="56">
        <v>0</v>
      </c>
      <c r="ER17" s="56">
        <v>0</v>
      </c>
      <c r="ES17" s="56">
        <v>0</v>
      </c>
      <c r="ET17" s="56">
        <v>0</v>
      </c>
      <c r="EU17" s="56">
        <v>0</v>
      </c>
      <c r="EV17" s="56">
        <v>0</v>
      </c>
      <c r="EW17" s="56">
        <v>0</v>
      </c>
      <c r="EX17" s="56">
        <v>0</v>
      </c>
      <c r="EY17" s="56">
        <v>0</v>
      </c>
      <c r="EZ17" s="56">
        <v>0</v>
      </c>
      <c r="FA17" s="56">
        <v>0</v>
      </c>
      <c r="FB17" s="56">
        <v>0</v>
      </c>
      <c r="FC17" s="56">
        <v>0</v>
      </c>
      <c r="FD17" s="56">
        <v>0</v>
      </c>
      <c r="FE17" s="56">
        <v>0</v>
      </c>
      <c r="FF17" s="56">
        <v>0</v>
      </c>
      <c r="FG17" s="56">
        <v>0</v>
      </c>
      <c r="FH17" s="56">
        <v>0</v>
      </c>
      <c r="FI17" s="56">
        <v>0</v>
      </c>
      <c r="FJ17" s="56">
        <v>0</v>
      </c>
      <c r="FK17" s="56">
        <v>0</v>
      </c>
      <c r="FL17" s="56">
        <v>0</v>
      </c>
      <c r="FM17" s="56">
        <v>0</v>
      </c>
      <c r="FN17" s="23">
        <v>0</v>
      </c>
      <c r="FO17" s="56">
        <v>0</v>
      </c>
      <c r="FP17" s="56">
        <v>0</v>
      </c>
      <c r="FQ17" s="56">
        <v>0</v>
      </c>
      <c r="FR17" s="56">
        <v>0</v>
      </c>
      <c r="FS17" s="56">
        <v>0</v>
      </c>
      <c r="FT17" s="56">
        <v>0</v>
      </c>
      <c r="FU17" s="56">
        <v>0</v>
      </c>
      <c r="FV17" s="56">
        <v>0</v>
      </c>
      <c r="FW17" s="56">
        <v>0</v>
      </c>
      <c r="FX17" s="56">
        <v>0</v>
      </c>
      <c r="FY17" s="56">
        <v>0</v>
      </c>
      <c r="FZ17" s="56">
        <v>0</v>
      </c>
      <c r="GA17" s="56">
        <v>0</v>
      </c>
      <c r="GB17" s="56">
        <v>0</v>
      </c>
    </row>
    <row r="18" spans="2:184" x14ac:dyDescent="0.35">
      <c r="B18" s="584"/>
      <c r="C18" s="60">
        <v>15</v>
      </c>
      <c r="D18" s="225" t="s">
        <v>122</v>
      </c>
      <c r="E18" s="206">
        <f>E17+7</f>
        <v>45847</v>
      </c>
      <c r="F18" s="206">
        <f>F17+7</f>
        <v>45936</v>
      </c>
      <c r="G18" s="198">
        <f t="shared" si="10"/>
        <v>89</v>
      </c>
      <c r="H18" s="206">
        <f t="shared" si="16"/>
        <v>45847</v>
      </c>
      <c r="I18" s="206">
        <f t="shared" si="16"/>
        <v>45936</v>
      </c>
      <c r="J18" s="199" t="s">
        <v>2</v>
      </c>
      <c r="K18" s="200">
        <v>26</v>
      </c>
      <c r="L18" s="201"/>
      <c r="M18" s="201"/>
      <c r="N18" s="198" t="str">
        <f t="shared" si="6"/>
        <v/>
      </c>
      <c r="O18" s="202" t="str">
        <f t="shared" si="7"/>
        <v>-</v>
      </c>
      <c r="P18" s="205">
        <f t="shared" si="18"/>
        <v>0</v>
      </c>
      <c r="Q18" s="204">
        <f t="shared" si="19"/>
        <v>0</v>
      </c>
      <c r="R18" s="204">
        <f t="shared" si="8"/>
        <v>26</v>
      </c>
      <c r="S18" s="65">
        <f t="shared" si="9"/>
        <v>0</v>
      </c>
      <c r="T18" s="157">
        <f t="shared" si="12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  <c r="EF18" s="23">
        <v>0</v>
      </c>
      <c r="EG18" s="23">
        <v>0</v>
      </c>
      <c r="EH18" s="23">
        <v>0</v>
      </c>
      <c r="EI18" s="56">
        <v>0</v>
      </c>
      <c r="EJ18" s="56">
        <v>0</v>
      </c>
      <c r="EK18" s="56">
        <v>0</v>
      </c>
      <c r="EL18" s="23">
        <v>0</v>
      </c>
      <c r="EM18" s="23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  <c r="FG18" s="56">
        <v>0</v>
      </c>
      <c r="FH18" s="56">
        <v>0</v>
      </c>
      <c r="FI18" s="56">
        <v>0</v>
      </c>
      <c r="FJ18" s="56">
        <v>0</v>
      </c>
      <c r="FK18" s="56">
        <v>0</v>
      </c>
      <c r="FL18" s="56">
        <v>0</v>
      </c>
      <c r="FM18" s="56">
        <v>0</v>
      </c>
      <c r="FN18" s="23">
        <v>0</v>
      </c>
      <c r="FO18" s="56">
        <v>0</v>
      </c>
      <c r="FP18" s="56">
        <v>0</v>
      </c>
      <c r="FQ18" s="56">
        <v>0</v>
      </c>
      <c r="FR18" s="56">
        <v>0</v>
      </c>
      <c r="FS18" s="56">
        <v>0</v>
      </c>
      <c r="FT18" s="56">
        <v>0</v>
      </c>
      <c r="FU18" s="56">
        <v>0</v>
      </c>
      <c r="FV18" s="56">
        <v>0</v>
      </c>
      <c r="FW18" s="56">
        <v>0</v>
      </c>
      <c r="FX18" s="56">
        <v>0</v>
      </c>
      <c r="FY18" s="56">
        <v>0</v>
      </c>
      <c r="FZ18" s="56">
        <v>0</v>
      </c>
      <c r="GA18" s="56">
        <v>0</v>
      </c>
      <c r="GB18" s="56">
        <v>0</v>
      </c>
    </row>
    <row r="19" spans="2:184" x14ac:dyDescent="0.35">
      <c r="B19" s="584"/>
      <c r="C19" s="60">
        <v>16</v>
      </c>
      <c r="D19" s="225" t="s">
        <v>123</v>
      </c>
      <c r="E19" s="206">
        <f>E18+15</f>
        <v>45862</v>
      </c>
      <c r="F19" s="206">
        <f>F18+15</f>
        <v>45951</v>
      </c>
      <c r="G19" s="198">
        <f t="shared" si="10"/>
        <v>89</v>
      </c>
      <c r="H19" s="206">
        <f t="shared" si="16"/>
        <v>45862</v>
      </c>
      <c r="I19" s="206">
        <f t="shared" si="16"/>
        <v>45951</v>
      </c>
      <c r="J19" s="199" t="s">
        <v>2</v>
      </c>
      <c r="K19" s="200">
        <v>26</v>
      </c>
      <c r="L19" s="201"/>
      <c r="M19" s="201"/>
      <c r="N19" s="198" t="str">
        <f t="shared" si="6"/>
        <v/>
      </c>
      <c r="O19" s="202" t="str">
        <f t="shared" si="7"/>
        <v>-</v>
      </c>
      <c r="P19" s="205">
        <f t="shared" si="18"/>
        <v>0</v>
      </c>
      <c r="Q19" s="204">
        <f t="shared" si="19"/>
        <v>0</v>
      </c>
      <c r="R19" s="204">
        <f t="shared" si="8"/>
        <v>26</v>
      </c>
      <c r="S19" s="65">
        <f t="shared" si="9"/>
        <v>0</v>
      </c>
      <c r="T19" s="157">
        <f t="shared" si="12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  <c r="EF19" s="23">
        <v>0</v>
      </c>
      <c r="EG19" s="23">
        <v>0</v>
      </c>
      <c r="EH19" s="23">
        <v>0</v>
      </c>
      <c r="EI19" s="56">
        <v>0</v>
      </c>
      <c r="EJ19" s="56">
        <v>0</v>
      </c>
      <c r="EK19" s="56">
        <v>0</v>
      </c>
      <c r="EL19" s="23">
        <v>0</v>
      </c>
      <c r="EM19" s="23">
        <v>0</v>
      </c>
      <c r="EN19" s="56">
        <v>0</v>
      </c>
      <c r="EO19" s="56">
        <v>0</v>
      </c>
      <c r="EP19" s="56">
        <v>0</v>
      </c>
      <c r="EQ19" s="56">
        <v>0</v>
      </c>
      <c r="ER19" s="56">
        <v>0</v>
      </c>
      <c r="ES19" s="56">
        <v>0</v>
      </c>
      <c r="ET19" s="56">
        <v>0</v>
      </c>
      <c r="EU19" s="56">
        <v>0</v>
      </c>
      <c r="EV19" s="56">
        <v>0</v>
      </c>
      <c r="EW19" s="56">
        <v>0</v>
      </c>
      <c r="EX19" s="56">
        <v>0</v>
      </c>
      <c r="EY19" s="56">
        <v>0</v>
      </c>
      <c r="EZ19" s="56">
        <v>0</v>
      </c>
      <c r="FA19" s="56">
        <v>0</v>
      </c>
      <c r="FB19" s="56">
        <v>0</v>
      </c>
      <c r="FC19" s="56">
        <v>0</v>
      </c>
      <c r="FD19" s="56">
        <v>0</v>
      </c>
      <c r="FE19" s="56">
        <v>0</v>
      </c>
      <c r="FF19" s="56">
        <v>0</v>
      </c>
      <c r="FG19" s="56">
        <v>0</v>
      </c>
      <c r="FH19" s="56">
        <v>0</v>
      </c>
      <c r="FI19" s="56">
        <v>0</v>
      </c>
      <c r="FJ19" s="56">
        <v>0</v>
      </c>
      <c r="FK19" s="56">
        <v>0</v>
      </c>
      <c r="FL19" s="56">
        <v>0</v>
      </c>
      <c r="FM19" s="56">
        <v>0</v>
      </c>
      <c r="FN19" s="23">
        <v>0</v>
      </c>
      <c r="FO19" s="56">
        <v>0</v>
      </c>
      <c r="FP19" s="56">
        <v>0</v>
      </c>
      <c r="FQ19" s="56">
        <v>0</v>
      </c>
      <c r="FR19" s="56">
        <v>0</v>
      </c>
      <c r="FS19" s="56">
        <v>0</v>
      </c>
      <c r="FT19" s="56">
        <v>0</v>
      </c>
      <c r="FU19" s="56">
        <v>0</v>
      </c>
      <c r="FV19" s="56">
        <v>0</v>
      </c>
      <c r="FW19" s="56">
        <v>0</v>
      </c>
      <c r="FX19" s="56">
        <v>0</v>
      </c>
      <c r="FY19" s="56">
        <v>0</v>
      </c>
      <c r="FZ19" s="56">
        <v>0</v>
      </c>
      <c r="GA19" s="56">
        <v>0</v>
      </c>
      <c r="GB19" s="56">
        <v>0</v>
      </c>
    </row>
    <row r="20" spans="2:184" x14ac:dyDescent="0.35">
      <c r="B20" s="584"/>
      <c r="C20" s="60">
        <v>17</v>
      </c>
      <c r="D20" s="225" t="s">
        <v>124</v>
      </c>
      <c r="E20" s="206">
        <f>E19+21</f>
        <v>45883</v>
      </c>
      <c r="F20" s="206">
        <f>F19+21</f>
        <v>45972</v>
      </c>
      <c r="G20" s="198">
        <f t="shared" si="10"/>
        <v>89</v>
      </c>
      <c r="H20" s="206">
        <f t="shared" si="16"/>
        <v>45883</v>
      </c>
      <c r="I20" s="206">
        <f t="shared" si="16"/>
        <v>45972</v>
      </c>
      <c r="J20" s="199" t="s">
        <v>2</v>
      </c>
      <c r="K20" s="200">
        <v>26</v>
      </c>
      <c r="L20" s="201"/>
      <c r="M20" s="201"/>
      <c r="N20" s="198" t="str">
        <f t="shared" si="6"/>
        <v/>
      </c>
      <c r="O20" s="202" t="str">
        <f t="shared" si="7"/>
        <v>-</v>
      </c>
      <c r="P20" s="205">
        <f t="shared" si="18"/>
        <v>0</v>
      </c>
      <c r="Q20" s="204">
        <f t="shared" si="19"/>
        <v>0</v>
      </c>
      <c r="R20" s="204">
        <f t="shared" si="8"/>
        <v>26</v>
      </c>
      <c r="S20" s="65">
        <f t="shared" si="9"/>
        <v>0</v>
      </c>
      <c r="T20" s="157">
        <f t="shared" si="12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  <c r="EF20" s="23">
        <v>0</v>
      </c>
      <c r="EG20" s="23">
        <v>0</v>
      </c>
      <c r="EH20" s="23">
        <v>0</v>
      </c>
      <c r="EI20" s="56">
        <v>0</v>
      </c>
      <c r="EJ20" s="56">
        <v>0</v>
      </c>
      <c r="EK20" s="56">
        <v>0</v>
      </c>
      <c r="EL20" s="23">
        <v>0</v>
      </c>
      <c r="EM20" s="23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  <c r="FG20" s="56">
        <v>0</v>
      </c>
      <c r="FH20" s="56">
        <v>0</v>
      </c>
      <c r="FI20" s="56">
        <v>0</v>
      </c>
      <c r="FJ20" s="56">
        <v>0</v>
      </c>
      <c r="FK20" s="56">
        <v>0</v>
      </c>
      <c r="FL20" s="56">
        <v>0</v>
      </c>
      <c r="FM20" s="56">
        <v>0</v>
      </c>
      <c r="FN20" s="23">
        <v>0</v>
      </c>
      <c r="FO20" s="56">
        <v>0</v>
      </c>
      <c r="FP20" s="56">
        <v>0</v>
      </c>
      <c r="FQ20" s="56">
        <v>0</v>
      </c>
      <c r="FR20" s="56">
        <v>0</v>
      </c>
      <c r="FS20" s="56">
        <v>0</v>
      </c>
      <c r="FT20" s="56">
        <v>0</v>
      </c>
      <c r="FU20" s="56">
        <v>0</v>
      </c>
      <c r="FV20" s="56">
        <v>0</v>
      </c>
      <c r="FW20" s="56">
        <v>0</v>
      </c>
      <c r="FX20" s="56">
        <v>0</v>
      </c>
      <c r="FY20" s="56">
        <v>0</v>
      </c>
      <c r="FZ20" s="56">
        <v>0</v>
      </c>
      <c r="GA20" s="56">
        <v>0</v>
      </c>
      <c r="GB20" s="56">
        <v>0</v>
      </c>
    </row>
    <row r="21" spans="2:184" ht="16" customHeight="1" x14ac:dyDescent="0.35">
      <c r="B21" s="584"/>
      <c r="C21" s="60">
        <v>18</v>
      </c>
      <c r="D21" s="225" t="s">
        <v>126</v>
      </c>
      <c r="E21" s="206">
        <v>45838</v>
      </c>
      <c r="F21" s="206">
        <v>45925</v>
      </c>
      <c r="G21" s="198">
        <f t="shared" si="10"/>
        <v>87</v>
      </c>
      <c r="H21" s="206">
        <f t="shared" ref="H21:H27" si="21">E21</f>
        <v>45838</v>
      </c>
      <c r="I21" s="206">
        <f t="shared" ref="I21:I27" si="22">F21</f>
        <v>45925</v>
      </c>
      <c r="J21" s="199" t="s">
        <v>2</v>
      </c>
      <c r="K21" s="200">
        <v>26</v>
      </c>
      <c r="L21" s="201"/>
      <c r="M21" s="201"/>
      <c r="N21" s="198" t="str">
        <f t="shared" si="6"/>
        <v/>
      </c>
      <c r="O21" s="202" t="str">
        <f t="shared" si="7"/>
        <v>-</v>
      </c>
      <c r="P21" s="205">
        <f t="shared" si="18"/>
        <v>0</v>
      </c>
      <c r="Q21" s="204">
        <f t="shared" si="19"/>
        <v>0</v>
      </c>
      <c r="R21" s="204">
        <f t="shared" si="8"/>
        <v>26</v>
      </c>
      <c r="S21" s="65">
        <f t="shared" si="9"/>
        <v>0</v>
      </c>
      <c r="T21" s="157">
        <f t="shared" si="12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  <c r="EF21" s="23">
        <v>0</v>
      </c>
      <c r="EG21" s="23">
        <v>0</v>
      </c>
      <c r="EH21" s="23">
        <v>0</v>
      </c>
      <c r="EI21" s="56">
        <v>0</v>
      </c>
      <c r="EJ21" s="56">
        <v>0</v>
      </c>
      <c r="EK21" s="56">
        <v>0</v>
      </c>
      <c r="EL21" s="23">
        <v>0</v>
      </c>
      <c r="EM21" s="23">
        <v>0</v>
      </c>
      <c r="EN21" s="56">
        <v>0</v>
      </c>
      <c r="EO21" s="56">
        <v>0</v>
      </c>
      <c r="EP21" s="56">
        <v>0</v>
      </c>
      <c r="EQ21" s="56">
        <v>0</v>
      </c>
      <c r="ER21" s="56">
        <v>0</v>
      </c>
      <c r="ES21" s="56">
        <v>0</v>
      </c>
      <c r="ET21" s="56">
        <v>0</v>
      </c>
      <c r="EU21" s="56">
        <v>0</v>
      </c>
      <c r="EV21" s="56">
        <v>0</v>
      </c>
      <c r="EW21" s="56">
        <v>0</v>
      </c>
      <c r="EX21" s="56">
        <v>0</v>
      </c>
      <c r="EY21" s="56">
        <v>0</v>
      </c>
      <c r="EZ21" s="56">
        <v>0</v>
      </c>
      <c r="FA21" s="56">
        <v>0</v>
      </c>
      <c r="FB21" s="56">
        <v>0</v>
      </c>
      <c r="FC21" s="56">
        <v>0</v>
      </c>
      <c r="FD21" s="56">
        <v>0</v>
      </c>
      <c r="FE21" s="56">
        <v>0</v>
      </c>
      <c r="FF21" s="56">
        <v>0</v>
      </c>
      <c r="FG21" s="56">
        <v>0</v>
      </c>
      <c r="FH21" s="56">
        <v>0</v>
      </c>
      <c r="FI21" s="56">
        <v>0</v>
      </c>
      <c r="FJ21" s="56">
        <v>0</v>
      </c>
      <c r="FK21" s="56">
        <v>0</v>
      </c>
      <c r="FL21" s="56">
        <v>0</v>
      </c>
      <c r="FM21" s="56">
        <v>0</v>
      </c>
      <c r="FN21" s="23">
        <v>0</v>
      </c>
      <c r="FO21" s="56">
        <v>0</v>
      </c>
      <c r="FP21" s="56">
        <v>0</v>
      </c>
      <c r="FQ21" s="56">
        <v>0</v>
      </c>
      <c r="FR21" s="56">
        <v>0</v>
      </c>
      <c r="FS21" s="56">
        <v>0</v>
      </c>
      <c r="FT21" s="56">
        <v>0</v>
      </c>
      <c r="FU21" s="56">
        <v>0</v>
      </c>
      <c r="FV21" s="56">
        <v>0</v>
      </c>
      <c r="FW21" s="56">
        <v>0</v>
      </c>
      <c r="FX21" s="56">
        <v>0</v>
      </c>
      <c r="FY21" s="56">
        <v>0</v>
      </c>
      <c r="FZ21" s="56">
        <v>0</v>
      </c>
      <c r="GA21" s="56">
        <v>0</v>
      </c>
      <c r="GB21" s="56">
        <v>0</v>
      </c>
    </row>
    <row r="22" spans="2:184" x14ac:dyDescent="0.35">
      <c r="B22" s="584"/>
      <c r="C22" s="60">
        <v>19</v>
      </c>
      <c r="D22" s="225" t="s">
        <v>127</v>
      </c>
      <c r="E22" s="206">
        <f>E21+2</f>
        <v>45840</v>
      </c>
      <c r="F22" s="206">
        <f>F21+2</f>
        <v>45927</v>
      </c>
      <c r="G22" s="198">
        <f t="shared" si="10"/>
        <v>87</v>
      </c>
      <c r="H22" s="206">
        <f t="shared" si="21"/>
        <v>45840</v>
      </c>
      <c r="I22" s="206">
        <f t="shared" si="22"/>
        <v>45927</v>
      </c>
      <c r="J22" s="199" t="s">
        <v>2</v>
      </c>
      <c r="K22" s="200">
        <v>26</v>
      </c>
      <c r="L22" s="201"/>
      <c r="M22" s="201"/>
      <c r="N22" s="198" t="str">
        <f t="shared" si="6"/>
        <v/>
      </c>
      <c r="O22" s="202" t="str">
        <f t="shared" si="7"/>
        <v>-</v>
      </c>
      <c r="P22" s="205">
        <f t="shared" si="18"/>
        <v>0</v>
      </c>
      <c r="Q22" s="204">
        <f t="shared" si="19"/>
        <v>0</v>
      </c>
      <c r="R22" s="204">
        <f t="shared" si="8"/>
        <v>26</v>
      </c>
      <c r="S22" s="65">
        <f t="shared" si="9"/>
        <v>0</v>
      </c>
      <c r="T22" s="157">
        <f t="shared" si="12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  <c r="EF22" s="23">
        <v>0</v>
      </c>
      <c r="EG22" s="23">
        <v>0</v>
      </c>
      <c r="EH22" s="23">
        <v>0</v>
      </c>
      <c r="EI22" s="56">
        <v>0</v>
      </c>
      <c r="EJ22" s="56">
        <v>0</v>
      </c>
      <c r="EK22" s="56">
        <v>0</v>
      </c>
      <c r="EL22" s="23">
        <v>0</v>
      </c>
      <c r="EM22" s="23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  <c r="FG22" s="56">
        <v>0</v>
      </c>
      <c r="FH22" s="56">
        <v>0</v>
      </c>
      <c r="FI22" s="56">
        <v>0</v>
      </c>
      <c r="FJ22" s="56">
        <v>0</v>
      </c>
      <c r="FK22" s="56">
        <v>0</v>
      </c>
      <c r="FL22" s="56">
        <v>0</v>
      </c>
      <c r="FM22" s="56">
        <v>0</v>
      </c>
      <c r="FN22" s="23">
        <v>0</v>
      </c>
      <c r="FO22" s="56">
        <v>0</v>
      </c>
      <c r="FP22" s="56">
        <v>0</v>
      </c>
      <c r="FQ22" s="56">
        <v>0</v>
      </c>
      <c r="FR22" s="56">
        <v>0</v>
      </c>
      <c r="FS22" s="56">
        <v>0</v>
      </c>
      <c r="FT22" s="56">
        <v>0</v>
      </c>
      <c r="FU22" s="56">
        <v>0</v>
      </c>
      <c r="FV22" s="56">
        <v>0</v>
      </c>
      <c r="FW22" s="56">
        <v>0</v>
      </c>
      <c r="FX22" s="56">
        <v>0</v>
      </c>
      <c r="FY22" s="56">
        <v>0</v>
      </c>
      <c r="FZ22" s="56">
        <v>0</v>
      </c>
      <c r="GA22" s="56">
        <v>0</v>
      </c>
      <c r="GB22" s="56">
        <v>0</v>
      </c>
    </row>
    <row r="23" spans="2:184" ht="19.5" customHeight="1" x14ac:dyDescent="0.35">
      <c r="B23" s="584"/>
      <c r="C23" s="60">
        <v>20</v>
      </c>
      <c r="D23" s="225" t="s">
        <v>128</v>
      </c>
      <c r="E23" s="206">
        <f t="shared" ref="E23:F25" si="23">E22+7</f>
        <v>45847</v>
      </c>
      <c r="F23" s="206">
        <f t="shared" si="23"/>
        <v>45934</v>
      </c>
      <c r="G23" s="198">
        <f t="shared" si="10"/>
        <v>87</v>
      </c>
      <c r="H23" s="206">
        <f t="shared" si="21"/>
        <v>45847</v>
      </c>
      <c r="I23" s="206">
        <f t="shared" si="22"/>
        <v>45934</v>
      </c>
      <c r="J23" s="199" t="s">
        <v>2</v>
      </c>
      <c r="K23" s="200">
        <v>26</v>
      </c>
      <c r="L23" s="201"/>
      <c r="M23" s="201"/>
      <c r="N23" s="198" t="str">
        <f t="shared" si="6"/>
        <v/>
      </c>
      <c r="O23" s="202" t="str">
        <f t="shared" si="7"/>
        <v>-</v>
      </c>
      <c r="P23" s="205">
        <f t="shared" si="18"/>
        <v>0</v>
      </c>
      <c r="Q23" s="204">
        <f t="shared" si="19"/>
        <v>0</v>
      </c>
      <c r="R23" s="204">
        <f t="shared" si="8"/>
        <v>26</v>
      </c>
      <c r="S23" s="65">
        <f t="shared" si="9"/>
        <v>0</v>
      </c>
      <c r="T23" s="157">
        <f t="shared" si="12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  <c r="EF23" s="23">
        <v>0</v>
      </c>
      <c r="EG23" s="23">
        <v>0</v>
      </c>
      <c r="EH23" s="23">
        <v>0</v>
      </c>
      <c r="EI23" s="56">
        <v>0</v>
      </c>
      <c r="EJ23" s="56">
        <v>0</v>
      </c>
      <c r="EK23" s="56">
        <v>0</v>
      </c>
      <c r="EL23" s="23">
        <v>0</v>
      </c>
      <c r="EM23" s="23">
        <v>0</v>
      </c>
      <c r="EN23" s="56">
        <v>0</v>
      </c>
      <c r="EO23" s="56">
        <v>0</v>
      </c>
      <c r="EP23" s="56">
        <v>0</v>
      </c>
      <c r="EQ23" s="56">
        <v>0</v>
      </c>
      <c r="ER23" s="56">
        <v>0</v>
      </c>
      <c r="ES23" s="56">
        <v>0</v>
      </c>
      <c r="ET23" s="56">
        <v>0</v>
      </c>
      <c r="EU23" s="56">
        <v>0</v>
      </c>
      <c r="EV23" s="56">
        <v>0</v>
      </c>
      <c r="EW23" s="56">
        <v>0</v>
      </c>
      <c r="EX23" s="56">
        <v>0</v>
      </c>
      <c r="EY23" s="56">
        <v>0</v>
      </c>
      <c r="EZ23" s="56">
        <v>0</v>
      </c>
      <c r="FA23" s="56">
        <v>0</v>
      </c>
      <c r="FB23" s="56">
        <v>0</v>
      </c>
      <c r="FC23" s="56">
        <v>0</v>
      </c>
      <c r="FD23" s="56">
        <v>0</v>
      </c>
      <c r="FE23" s="56">
        <v>0</v>
      </c>
      <c r="FF23" s="56">
        <v>0</v>
      </c>
      <c r="FG23" s="56">
        <v>0</v>
      </c>
      <c r="FH23" s="56">
        <v>0</v>
      </c>
      <c r="FI23" s="56">
        <v>0</v>
      </c>
      <c r="FJ23" s="56">
        <v>0</v>
      </c>
      <c r="FK23" s="56">
        <v>0</v>
      </c>
      <c r="FL23" s="56">
        <v>0</v>
      </c>
      <c r="FM23" s="56">
        <v>0</v>
      </c>
      <c r="FN23" s="23">
        <v>0</v>
      </c>
      <c r="FO23" s="56">
        <v>0</v>
      </c>
      <c r="FP23" s="56">
        <v>0</v>
      </c>
      <c r="FQ23" s="56">
        <v>0</v>
      </c>
      <c r="FR23" s="56">
        <v>0</v>
      </c>
      <c r="FS23" s="56">
        <v>0</v>
      </c>
      <c r="FT23" s="56">
        <v>0</v>
      </c>
      <c r="FU23" s="56">
        <v>0</v>
      </c>
      <c r="FV23" s="56">
        <v>0</v>
      </c>
      <c r="FW23" s="56">
        <v>0</v>
      </c>
      <c r="FX23" s="56">
        <v>0</v>
      </c>
      <c r="FY23" s="56">
        <v>0</v>
      </c>
      <c r="FZ23" s="56">
        <v>0</v>
      </c>
      <c r="GA23" s="56">
        <v>0</v>
      </c>
      <c r="GB23" s="56">
        <v>0</v>
      </c>
    </row>
    <row r="24" spans="2:184" ht="18" customHeight="1" x14ac:dyDescent="0.35">
      <c r="B24" s="584"/>
      <c r="C24" s="60">
        <v>21</v>
      </c>
      <c r="D24" s="225" t="s">
        <v>129</v>
      </c>
      <c r="E24" s="206">
        <f t="shared" si="23"/>
        <v>45854</v>
      </c>
      <c r="F24" s="206">
        <f t="shared" si="23"/>
        <v>45941</v>
      </c>
      <c r="G24" s="198">
        <f t="shared" si="10"/>
        <v>87</v>
      </c>
      <c r="H24" s="206">
        <f t="shared" si="21"/>
        <v>45854</v>
      </c>
      <c r="I24" s="206">
        <f t="shared" si="22"/>
        <v>45941</v>
      </c>
      <c r="J24" s="199" t="s">
        <v>2</v>
      </c>
      <c r="K24" s="200">
        <v>26</v>
      </c>
      <c r="L24" s="201"/>
      <c r="M24" s="201"/>
      <c r="N24" s="198" t="str">
        <f t="shared" si="6"/>
        <v/>
      </c>
      <c r="O24" s="202" t="str">
        <f t="shared" si="7"/>
        <v>-</v>
      </c>
      <c r="P24" s="205">
        <f t="shared" si="18"/>
        <v>0</v>
      </c>
      <c r="Q24" s="204">
        <f t="shared" si="19"/>
        <v>0</v>
      </c>
      <c r="R24" s="204">
        <f t="shared" si="8"/>
        <v>26</v>
      </c>
      <c r="S24" s="65">
        <f t="shared" si="9"/>
        <v>0</v>
      </c>
      <c r="T24" s="157">
        <f t="shared" si="12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  <c r="EF24" s="23">
        <v>0</v>
      </c>
      <c r="EG24" s="23">
        <v>0</v>
      </c>
      <c r="EH24" s="23">
        <v>0</v>
      </c>
      <c r="EI24" s="56">
        <v>0</v>
      </c>
      <c r="EJ24" s="56">
        <v>0</v>
      </c>
      <c r="EK24" s="56">
        <v>0</v>
      </c>
      <c r="EL24" s="23">
        <v>0</v>
      </c>
      <c r="EM24" s="23">
        <v>0</v>
      </c>
      <c r="EN24" s="56">
        <v>0</v>
      </c>
      <c r="EO24" s="56">
        <v>0</v>
      </c>
      <c r="EP24" s="56">
        <v>0</v>
      </c>
      <c r="EQ24" s="56">
        <v>0</v>
      </c>
      <c r="ER24" s="56">
        <v>0</v>
      </c>
      <c r="ES24" s="56">
        <v>0</v>
      </c>
      <c r="ET24" s="56">
        <v>0</v>
      </c>
      <c r="EU24" s="56">
        <v>0</v>
      </c>
      <c r="EV24" s="56">
        <v>0</v>
      </c>
      <c r="EW24" s="56">
        <v>0</v>
      </c>
      <c r="EX24" s="56">
        <v>0</v>
      </c>
      <c r="EY24" s="56">
        <v>0</v>
      </c>
      <c r="EZ24" s="56">
        <v>0</v>
      </c>
      <c r="FA24" s="56">
        <v>0</v>
      </c>
      <c r="FB24" s="56">
        <v>0</v>
      </c>
      <c r="FC24" s="56">
        <v>0</v>
      </c>
      <c r="FD24" s="56">
        <v>0</v>
      </c>
      <c r="FE24" s="56">
        <v>0</v>
      </c>
      <c r="FF24" s="56">
        <v>0</v>
      </c>
      <c r="FG24" s="56">
        <v>0</v>
      </c>
      <c r="FH24" s="56">
        <v>0</v>
      </c>
      <c r="FI24" s="56">
        <v>0</v>
      </c>
      <c r="FJ24" s="56">
        <v>0</v>
      </c>
      <c r="FK24" s="56">
        <v>0</v>
      </c>
      <c r="FL24" s="56">
        <v>0</v>
      </c>
      <c r="FM24" s="56">
        <v>0</v>
      </c>
      <c r="FN24" s="23">
        <v>0</v>
      </c>
      <c r="FO24" s="56">
        <v>0</v>
      </c>
      <c r="FP24" s="56">
        <v>0</v>
      </c>
      <c r="FQ24" s="56">
        <v>0</v>
      </c>
      <c r="FR24" s="56">
        <v>0</v>
      </c>
      <c r="FS24" s="56">
        <v>0</v>
      </c>
      <c r="FT24" s="56">
        <v>0</v>
      </c>
      <c r="FU24" s="56">
        <v>0</v>
      </c>
      <c r="FV24" s="56">
        <v>0</v>
      </c>
      <c r="FW24" s="56">
        <v>0</v>
      </c>
      <c r="FX24" s="56">
        <v>0</v>
      </c>
      <c r="FY24" s="56">
        <v>0</v>
      </c>
      <c r="FZ24" s="56">
        <v>0</v>
      </c>
      <c r="GA24" s="56">
        <v>0</v>
      </c>
      <c r="GB24" s="56">
        <v>0</v>
      </c>
    </row>
    <row r="25" spans="2:184" ht="31" x14ac:dyDescent="0.35">
      <c r="B25" s="584"/>
      <c r="C25" s="60">
        <v>22</v>
      </c>
      <c r="D25" s="225" t="s">
        <v>130</v>
      </c>
      <c r="E25" s="206">
        <f t="shared" si="23"/>
        <v>45861</v>
      </c>
      <c r="F25" s="206">
        <f t="shared" si="23"/>
        <v>45948</v>
      </c>
      <c r="G25" s="198">
        <f t="shared" si="10"/>
        <v>87</v>
      </c>
      <c r="H25" s="206">
        <f t="shared" si="21"/>
        <v>45861</v>
      </c>
      <c r="I25" s="206">
        <f t="shared" si="22"/>
        <v>45948</v>
      </c>
      <c r="J25" s="199" t="s">
        <v>2</v>
      </c>
      <c r="K25" s="200">
        <v>26</v>
      </c>
      <c r="L25" s="201"/>
      <c r="M25" s="201"/>
      <c r="N25" s="198" t="str">
        <f t="shared" si="6"/>
        <v/>
      </c>
      <c r="O25" s="202" t="str">
        <f t="shared" si="7"/>
        <v>-</v>
      </c>
      <c r="P25" s="205">
        <f t="shared" si="18"/>
        <v>0</v>
      </c>
      <c r="Q25" s="204">
        <f t="shared" si="19"/>
        <v>0</v>
      </c>
      <c r="R25" s="204">
        <f t="shared" si="8"/>
        <v>26</v>
      </c>
      <c r="S25" s="65">
        <f t="shared" si="9"/>
        <v>0</v>
      </c>
      <c r="T25" s="157">
        <f t="shared" si="12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  <c r="EF25" s="23">
        <v>0</v>
      </c>
      <c r="EG25" s="23">
        <v>0</v>
      </c>
      <c r="EH25" s="23">
        <v>0</v>
      </c>
      <c r="EI25" s="56">
        <v>0</v>
      </c>
      <c r="EJ25" s="56">
        <v>0</v>
      </c>
      <c r="EK25" s="56">
        <v>0</v>
      </c>
      <c r="EL25" s="23">
        <v>0</v>
      </c>
      <c r="EM25" s="23">
        <v>0</v>
      </c>
      <c r="EN25" s="56">
        <v>0</v>
      </c>
      <c r="EO25" s="56">
        <v>0</v>
      </c>
      <c r="EP25" s="56">
        <v>0</v>
      </c>
      <c r="EQ25" s="56">
        <v>0</v>
      </c>
      <c r="ER25" s="56">
        <v>0</v>
      </c>
      <c r="ES25" s="56">
        <v>0</v>
      </c>
      <c r="ET25" s="56">
        <v>0</v>
      </c>
      <c r="EU25" s="56">
        <v>0</v>
      </c>
      <c r="EV25" s="56">
        <v>0</v>
      </c>
      <c r="EW25" s="56">
        <v>0</v>
      </c>
      <c r="EX25" s="56">
        <v>0</v>
      </c>
      <c r="EY25" s="56">
        <v>0</v>
      </c>
      <c r="EZ25" s="56">
        <v>0</v>
      </c>
      <c r="FA25" s="56">
        <v>0</v>
      </c>
      <c r="FB25" s="56">
        <v>0</v>
      </c>
      <c r="FC25" s="56">
        <v>0</v>
      </c>
      <c r="FD25" s="56">
        <v>0</v>
      </c>
      <c r="FE25" s="56">
        <v>0</v>
      </c>
      <c r="FF25" s="56">
        <v>0</v>
      </c>
      <c r="FG25" s="56">
        <v>0</v>
      </c>
      <c r="FH25" s="56">
        <v>0</v>
      </c>
      <c r="FI25" s="56">
        <v>0</v>
      </c>
      <c r="FJ25" s="56">
        <v>0</v>
      </c>
      <c r="FK25" s="56">
        <v>0</v>
      </c>
      <c r="FL25" s="56">
        <v>0</v>
      </c>
      <c r="FM25" s="56">
        <v>0</v>
      </c>
      <c r="FN25" s="23">
        <v>0</v>
      </c>
      <c r="FO25" s="56">
        <v>0</v>
      </c>
      <c r="FP25" s="56">
        <v>0</v>
      </c>
      <c r="FQ25" s="56">
        <v>0</v>
      </c>
      <c r="FR25" s="56">
        <v>0</v>
      </c>
      <c r="FS25" s="56">
        <v>0</v>
      </c>
      <c r="FT25" s="56">
        <v>0</v>
      </c>
      <c r="FU25" s="56">
        <v>0</v>
      </c>
      <c r="FV25" s="56">
        <v>0</v>
      </c>
      <c r="FW25" s="56">
        <v>0</v>
      </c>
      <c r="FX25" s="56">
        <v>0</v>
      </c>
      <c r="FY25" s="56">
        <v>0</v>
      </c>
      <c r="FZ25" s="56">
        <v>0</v>
      </c>
      <c r="GA25" s="56">
        <v>0</v>
      </c>
      <c r="GB25" s="56">
        <v>0</v>
      </c>
    </row>
    <row r="26" spans="2:184" x14ac:dyDescent="0.35">
      <c r="B26" s="584"/>
      <c r="C26" s="60">
        <v>23</v>
      </c>
      <c r="D26" s="230" t="s">
        <v>131</v>
      </c>
      <c r="E26" s="206">
        <f>E25+15</f>
        <v>45876</v>
      </c>
      <c r="F26" s="206">
        <f>F25+15</f>
        <v>45963</v>
      </c>
      <c r="G26" s="198">
        <f t="shared" si="10"/>
        <v>87</v>
      </c>
      <c r="H26" s="206">
        <f t="shared" si="21"/>
        <v>45876</v>
      </c>
      <c r="I26" s="206">
        <f>F26</f>
        <v>45963</v>
      </c>
      <c r="J26" s="199" t="s">
        <v>2</v>
      </c>
      <c r="K26" s="200">
        <v>26</v>
      </c>
      <c r="L26" s="201"/>
      <c r="M26" s="201"/>
      <c r="N26" s="198" t="str">
        <f t="shared" si="6"/>
        <v/>
      </c>
      <c r="O26" s="202" t="str">
        <f t="shared" si="7"/>
        <v>-</v>
      </c>
      <c r="P26" s="205">
        <f t="shared" si="18"/>
        <v>0</v>
      </c>
      <c r="Q26" s="204">
        <f t="shared" si="19"/>
        <v>0</v>
      </c>
      <c r="R26" s="204">
        <f t="shared" si="8"/>
        <v>26</v>
      </c>
      <c r="S26" s="65">
        <f t="shared" si="9"/>
        <v>0</v>
      </c>
      <c r="T26" s="157">
        <f t="shared" si="12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  <c r="EF26" s="23">
        <v>0</v>
      </c>
      <c r="EG26" s="23">
        <v>0</v>
      </c>
      <c r="EH26" s="23">
        <v>0</v>
      </c>
      <c r="EI26" s="56">
        <v>0</v>
      </c>
      <c r="EJ26" s="56">
        <v>0</v>
      </c>
      <c r="EK26" s="56">
        <v>0</v>
      </c>
      <c r="EL26" s="23">
        <v>0</v>
      </c>
      <c r="EM26" s="23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  <c r="FG26" s="56">
        <v>0</v>
      </c>
      <c r="FH26" s="56">
        <v>0</v>
      </c>
      <c r="FI26" s="56">
        <v>0</v>
      </c>
      <c r="FJ26" s="56">
        <v>0</v>
      </c>
      <c r="FK26" s="56">
        <v>0</v>
      </c>
      <c r="FL26" s="56">
        <v>0</v>
      </c>
      <c r="FM26" s="56">
        <v>0</v>
      </c>
      <c r="FN26" s="23">
        <v>0</v>
      </c>
      <c r="FO26" s="56">
        <v>0</v>
      </c>
      <c r="FP26" s="56">
        <v>0</v>
      </c>
      <c r="FQ26" s="56">
        <v>0</v>
      </c>
      <c r="FR26" s="56">
        <v>0</v>
      </c>
      <c r="FS26" s="56">
        <v>0</v>
      </c>
      <c r="FT26" s="56">
        <v>0</v>
      </c>
      <c r="FU26" s="56">
        <v>0</v>
      </c>
      <c r="FV26" s="56">
        <v>0</v>
      </c>
      <c r="FW26" s="56">
        <v>0</v>
      </c>
      <c r="FX26" s="56">
        <v>0</v>
      </c>
      <c r="FY26" s="56">
        <v>0</v>
      </c>
      <c r="FZ26" s="56">
        <v>0</v>
      </c>
      <c r="GA26" s="56">
        <v>0</v>
      </c>
      <c r="GB26" s="56">
        <v>0</v>
      </c>
    </row>
    <row r="27" spans="2:184" x14ac:dyDescent="0.35">
      <c r="B27" s="584"/>
      <c r="C27" s="228">
        <v>24</v>
      </c>
      <c r="D27" s="232" t="s">
        <v>132</v>
      </c>
      <c r="E27" s="229">
        <f>F27-30</f>
        <v>45942</v>
      </c>
      <c r="F27" s="206">
        <v>45972</v>
      </c>
      <c r="G27" s="198">
        <f t="shared" si="10"/>
        <v>30</v>
      </c>
      <c r="H27" s="206">
        <f t="shared" si="21"/>
        <v>45942</v>
      </c>
      <c r="I27" s="206">
        <f t="shared" si="22"/>
        <v>45972</v>
      </c>
      <c r="J27" s="199" t="s">
        <v>2</v>
      </c>
      <c r="K27" s="200">
        <v>26</v>
      </c>
      <c r="L27" s="201"/>
      <c r="M27" s="201"/>
      <c r="N27" s="198" t="str">
        <f t="shared" si="6"/>
        <v/>
      </c>
      <c r="O27" s="202" t="str">
        <f t="shared" si="7"/>
        <v>-</v>
      </c>
      <c r="P27" s="205">
        <f t="shared" si="18"/>
        <v>0</v>
      </c>
      <c r="Q27" s="204">
        <f t="shared" si="19"/>
        <v>0</v>
      </c>
      <c r="R27" s="204">
        <f t="shared" si="8"/>
        <v>26</v>
      </c>
      <c r="S27" s="65">
        <f t="shared" si="9"/>
        <v>0</v>
      </c>
      <c r="T27" s="157">
        <f t="shared" si="12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  <c r="EF27" s="23">
        <v>0</v>
      </c>
      <c r="EG27" s="23">
        <v>0</v>
      </c>
      <c r="EH27" s="23">
        <v>0</v>
      </c>
      <c r="EI27" s="56">
        <v>0</v>
      </c>
      <c r="EJ27" s="56">
        <v>0</v>
      </c>
      <c r="EK27" s="56">
        <v>0</v>
      </c>
      <c r="EL27" s="23">
        <v>0</v>
      </c>
      <c r="EM27" s="23">
        <v>0</v>
      </c>
      <c r="EN27" s="56">
        <v>0</v>
      </c>
      <c r="EO27" s="56">
        <v>0</v>
      </c>
      <c r="EP27" s="56">
        <v>0</v>
      </c>
      <c r="EQ27" s="56">
        <v>0</v>
      </c>
      <c r="ER27" s="56">
        <v>0</v>
      </c>
      <c r="ES27" s="56">
        <v>0</v>
      </c>
      <c r="ET27" s="56">
        <v>0</v>
      </c>
      <c r="EU27" s="56">
        <v>0</v>
      </c>
      <c r="EV27" s="56">
        <v>0</v>
      </c>
      <c r="EW27" s="56">
        <v>0</v>
      </c>
      <c r="EX27" s="56">
        <v>0</v>
      </c>
      <c r="EY27" s="56">
        <v>0</v>
      </c>
      <c r="EZ27" s="56">
        <v>0</v>
      </c>
      <c r="FA27" s="56">
        <v>0</v>
      </c>
      <c r="FB27" s="56">
        <v>0</v>
      </c>
      <c r="FC27" s="56">
        <v>0</v>
      </c>
      <c r="FD27" s="56">
        <v>0</v>
      </c>
      <c r="FE27" s="56">
        <v>0</v>
      </c>
      <c r="FF27" s="56">
        <v>0</v>
      </c>
      <c r="FG27" s="56">
        <v>0</v>
      </c>
      <c r="FH27" s="56">
        <v>0</v>
      </c>
      <c r="FI27" s="56">
        <v>0</v>
      </c>
      <c r="FJ27" s="56">
        <v>0</v>
      </c>
      <c r="FK27" s="56">
        <v>0</v>
      </c>
      <c r="FL27" s="56">
        <v>0</v>
      </c>
      <c r="FM27" s="56">
        <v>0</v>
      </c>
      <c r="FN27" s="23">
        <v>0</v>
      </c>
      <c r="FO27" s="56">
        <v>0</v>
      </c>
      <c r="FP27" s="56">
        <v>0</v>
      </c>
      <c r="FQ27" s="56">
        <v>0</v>
      </c>
      <c r="FR27" s="56">
        <v>0</v>
      </c>
      <c r="FS27" s="56">
        <v>0</v>
      </c>
      <c r="FT27" s="56">
        <v>0</v>
      </c>
      <c r="FU27" s="56">
        <v>0</v>
      </c>
      <c r="FV27" s="56">
        <v>0</v>
      </c>
      <c r="FW27" s="56">
        <v>0</v>
      </c>
      <c r="FX27" s="56">
        <v>0</v>
      </c>
      <c r="FY27" s="56">
        <v>0</v>
      </c>
      <c r="FZ27" s="56">
        <v>0</v>
      </c>
      <c r="GA27" s="56">
        <v>0</v>
      </c>
      <c r="GB27" s="56">
        <v>0</v>
      </c>
    </row>
    <row r="28" spans="2:184" x14ac:dyDescent="0.35">
      <c r="B28" s="580" t="s">
        <v>152</v>
      </c>
      <c r="C28" s="228">
        <v>49</v>
      </c>
      <c r="D28" s="232" t="s">
        <v>159</v>
      </c>
      <c r="E28" s="229">
        <v>45858</v>
      </c>
      <c r="F28" s="206">
        <v>45945</v>
      </c>
      <c r="G28" s="198">
        <f t="shared" ref="G28:G91" si="24">F28-E28</f>
        <v>87</v>
      </c>
      <c r="H28" s="206">
        <f>E28</f>
        <v>45858</v>
      </c>
      <c r="I28" s="206">
        <f>F28</f>
        <v>45945</v>
      </c>
      <c r="J28" s="199" t="s">
        <v>154</v>
      </c>
      <c r="K28" s="200"/>
      <c r="L28" s="201"/>
      <c r="M28" s="201"/>
      <c r="N28" s="198" t="str">
        <f t="shared" ref="N28:N42" si="25">IF(OR(M28="",L28=""),"",INT(M28-L28+1))</f>
        <v/>
      </c>
      <c r="O28" s="202" t="str">
        <f t="shared" ref="O28:O42" si="26">IFERROR(K28/N28,"-")</f>
        <v>-</v>
      </c>
      <c r="P28" s="205" t="str">
        <f t="shared" si="18"/>
        <v>-</v>
      </c>
      <c r="Q28" s="204">
        <f t="shared" si="19"/>
        <v>0</v>
      </c>
      <c r="R28" s="204">
        <f t="shared" ref="R28:R42" si="27">K28-Q28</f>
        <v>0</v>
      </c>
      <c r="S28" s="65">
        <f t="shared" si="9"/>
        <v>0</v>
      </c>
      <c r="T28" s="157">
        <f t="shared" si="12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  <c r="EF28" s="23">
        <v>0</v>
      </c>
      <c r="EG28" s="23">
        <v>0</v>
      </c>
      <c r="EH28" s="23">
        <v>0</v>
      </c>
      <c r="EI28" s="56">
        <v>0</v>
      </c>
      <c r="EJ28" s="56">
        <v>0</v>
      </c>
      <c r="EK28" s="56">
        <v>0</v>
      </c>
      <c r="EL28" s="23">
        <v>0</v>
      </c>
      <c r="EM28" s="23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  <c r="FG28" s="56">
        <v>0</v>
      </c>
      <c r="FH28" s="56">
        <v>0</v>
      </c>
      <c r="FI28" s="56">
        <v>0</v>
      </c>
      <c r="FJ28" s="56">
        <v>0</v>
      </c>
      <c r="FK28" s="56">
        <v>0</v>
      </c>
      <c r="FL28" s="56">
        <v>0</v>
      </c>
      <c r="FM28" s="56">
        <v>0</v>
      </c>
      <c r="FN28" s="23">
        <v>0</v>
      </c>
      <c r="FO28" s="56">
        <v>0</v>
      </c>
      <c r="FP28" s="56">
        <v>0</v>
      </c>
      <c r="FQ28" s="56">
        <v>0</v>
      </c>
      <c r="FR28" s="56">
        <v>0</v>
      </c>
      <c r="FS28" s="56">
        <v>0</v>
      </c>
      <c r="FT28" s="56">
        <v>0</v>
      </c>
      <c r="FU28" s="56">
        <v>0</v>
      </c>
      <c r="FV28" s="56">
        <v>0</v>
      </c>
      <c r="FW28" s="56">
        <v>0</v>
      </c>
      <c r="FX28" s="56">
        <v>0</v>
      </c>
      <c r="FY28" s="56">
        <v>0</v>
      </c>
      <c r="FZ28" s="56">
        <v>0</v>
      </c>
      <c r="GA28" s="56">
        <v>0</v>
      </c>
      <c r="GB28" s="56">
        <v>0</v>
      </c>
    </row>
    <row r="29" spans="2:184" x14ac:dyDescent="0.35">
      <c r="B29" s="581"/>
      <c r="C29" s="228">
        <v>50</v>
      </c>
      <c r="D29" s="232" t="s">
        <v>160</v>
      </c>
      <c r="E29" s="229">
        <v>45863</v>
      </c>
      <c r="F29" s="206">
        <v>45950</v>
      </c>
      <c r="G29" s="198">
        <f t="shared" si="24"/>
        <v>87</v>
      </c>
      <c r="H29" s="206">
        <f t="shared" ref="H29:H33" si="28">E29</f>
        <v>45863</v>
      </c>
      <c r="I29" s="206">
        <f t="shared" ref="I29:I33" si="29">F29</f>
        <v>45950</v>
      </c>
      <c r="J29" s="199" t="s">
        <v>154</v>
      </c>
      <c r="K29" s="200"/>
      <c r="L29" s="201"/>
      <c r="M29" s="201"/>
      <c r="N29" s="198" t="str">
        <f t="shared" si="25"/>
        <v/>
      </c>
      <c r="O29" s="202" t="str">
        <f t="shared" si="26"/>
        <v>-</v>
      </c>
      <c r="P29" s="205" t="str">
        <f t="shared" si="18"/>
        <v>-</v>
      </c>
      <c r="Q29" s="204">
        <f t="shared" si="19"/>
        <v>0</v>
      </c>
      <c r="R29" s="204">
        <f t="shared" si="27"/>
        <v>0</v>
      </c>
      <c r="S29" s="65">
        <f t="shared" si="9"/>
        <v>0</v>
      </c>
      <c r="T29" s="157">
        <f t="shared" si="12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  <c r="EF29" s="23">
        <v>0</v>
      </c>
      <c r="EG29" s="23">
        <v>0</v>
      </c>
      <c r="EH29" s="23">
        <v>0</v>
      </c>
      <c r="EI29" s="56">
        <v>0</v>
      </c>
      <c r="EJ29" s="56">
        <v>0</v>
      </c>
      <c r="EK29" s="56">
        <v>0</v>
      </c>
      <c r="EL29" s="23">
        <v>0</v>
      </c>
      <c r="EM29" s="23">
        <v>0</v>
      </c>
      <c r="EN29" s="56">
        <v>0</v>
      </c>
      <c r="EO29" s="56">
        <v>0</v>
      </c>
      <c r="EP29" s="56">
        <v>0</v>
      </c>
      <c r="EQ29" s="56">
        <v>0</v>
      </c>
      <c r="ER29" s="56">
        <v>0</v>
      </c>
      <c r="ES29" s="56">
        <v>0</v>
      </c>
      <c r="ET29" s="56">
        <v>0</v>
      </c>
      <c r="EU29" s="56">
        <v>0</v>
      </c>
      <c r="EV29" s="56">
        <v>0</v>
      </c>
      <c r="EW29" s="56">
        <v>0</v>
      </c>
      <c r="EX29" s="56">
        <v>0</v>
      </c>
      <c r="EY29" s="56">
        <v>0</v>
      </c>
      <c r="EZ29" s="56">
        <v>0</v>
      </c>
      <c r="FA29" s="56">
        <v>0</v>
      </c>
      <c r="FB29" s="56">
        <v>0</v>
      </c>
      <c r="FC29" s="56">
        <v>0</v>
      </c>
      <c r="FD29" s="56">
        <v>0</v>
      </c>
      <c r="FE29" s="56">
        <v>0</v>
      </c>
      <c r="FF29" s="56">
        <v>0</v>
      </c>
      <c r="FG29" s="56">
        <v>0</v>
      </c>
      <c r="FH29" s="56">
        <v>0</v>
      </c>
      <c r="FI29" s="56">
        <v>0</v>
      </c>
      <c r="FJ29" s="56">
        <v>0</v>
      </c>
      <c r="FK29" s="56">
        <v>0</v>
      </c>
      <c r="FL29" s="56">
        <v>0</v>
      </c>
      <c r="FM29" s="56">
        <v>0</v>
      </c>
      <c r="FN29" s="23">
        <v>0</v>
      </c>
      <c r="FO29" s="56">
        <v>0</v>
      </c>
      <c r="FP29" s="56">
        <v>0</v>
      </c>
      <c r="FQ29" s="56">
        <v>0</v>
      </c>
      <c r="FR29" s="56">
        <v>0</v>
      </c>
      <c r="FS29" s="56">
        <v>0</v>
      </c>
      <c r="FT29" s="56">
        <v>0</v>
      </c>
      <c r="FU29" s="56">
        <v>0</v>
      </c>
      <c r="FV29" s="56">
        <v>0</v>
      </c>
      <c r="FW29" s="56">
        <v>0</v>
      </c>
      <c r="FX29" s="56">
        <v>0</v>
      </c>
      <c r="FY29" s="56">
        <v>0</v>
      </c>
      <c r="FZ29" s="56">
        <v>0</v>
      </c>
      <c r="GA29" s="56">
        <v>0</v>
      </c>
      <c r="GB29" s="56">
        <v>0</v>
      </c>
    </row>
    <row r="30" spans="2:184" x14ac:dyDescent="0.35">
      <c r="B30" s="581"/>
      <c r="C30" s="228">
        <v>51</v>
      </c>
      <c r="D30" s="232" t="s">
        <v>161</v>
      </c>
      <c r="E30" s="229">
        <v>45966</v>
      </c>
      <c r="F30" s="206">
        <v>46001</v>
      </c>
      <c r="G30" s="198">
        <f t="shared" si="24"/>
        <v>35</v>
      </c>
      <c r="H30" s="206">
        <f t="shared" si="28"/>
        <v>45966</v>
      </c>
      <c r="I30" s="206">
        <f t="shared" si="29"/>
        <v>46001</v>
      </c>
      <c r="J30" s="199" t="s">
        <v>154</v>
      </c>
      <c r="K30" s="200"/>
      <c r="L30" s="201"/>
      <c r="M30" s="201"/>
      <c r="N30" s="198" t="str">
        <f t="shared" si="25"/>
        <v/>
      </c>
      <c r="O30" s="202" t="str">
        <f t="shared" si="26"/>
        <v>-</v>
      </c>
      <c r="P30" s="205" t="str">
        <f t="shared" si="18"/>
        <v>-</v>
      </c>
      <c r="Q30" s="204">
        <f t="shared" si="19"/>
        <v>0</v>
      </c>
      <c r="R30" s="204">
        <f t="shared" si="27"/>
        <v>0</v>
      </c>
      <c r="S30" s="65">
        <f t="shared" si="9"/>
        <v>0</v>
      </c>
      <c r="T30" s="157">
        <f t="shared" si="12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  <c r="EF30" s="23">
        <v>0</v>
      </c>
      <c r="EG30" s="23">
        <v>0</v>
      </c>
      <c r="EH30" s="23">
        <v>0</v>
      </c>
      <c r="EI30" s="56">
        <v>0</v>
      </c>
      <c r="EJ30" s="56">
        <v>0</v>
      </c>
      <c r="EK30" s="56">
        <v>0</v>
      </c>
      <c r="EL30" s="23">
        <v>0</v>
      </c>
      <c r="EM30" s="23">
        <v>0</v>
      </c>
      <c r="EN30" s="56">
        <v>0</v>
      </c>
      <c r="EO30" s="56">
        <v>0</v>
      </c>
      <c r="EP30" s="56">
        <v>0</v>
      </c>
      <c r="EQ30" s="56">
        <v>0</v>
      </c>
      <c r="ER30" s="56">
        <v>0</v>
      </c>
      <c r="ES30" s="56">
        <v>0</v>
      </c>
      <c r="ET30" s="56">
        <v>0</v>
      </c>
      <c r="EU30" s="56">
        <v>0</v>
      </c>
      <c r="EV30" s="56">
        <v>0</v>
      </c>
      <c r="EW30" s="56">
        <v>0</v>
      </c>
      <c r="EX30" s="56">
        <v>0</v>
      </c>
      <c r="EY30" s="56">
        <v>0</v>
      </c>
      <c r="EZ30" s="56">
        <v>0</v>
      </c>
      <c r="FA30" s="56">
        <v>0</v>
      </c>
      <c r="FB30" s="56">
        <v>0</v>
      </c>
      <c r="FC30" s="56">
        <v>0</v>
      </c>
      <c r="FD30" s="56">
        <v>0</v>
      </c>
      <c r="FE30" s="56">
        <v>0</v>
      </c>
      <c r="FF30" s="56">
        <v>0</v>
      </c>
      <c r="FG30" s="56">
        <v>0</v>
      </c>
      <c r="FH30" s="56">
        <v>0</v>
      </c>
      <c r="FI30" s="56">
        <v>0</v>
      </c>
      <c r="FJ30" s="56">
        <v>0</v>
      </c>
      <c r="FK30" s="56">
        <v>0</v>
      </c>
      <c r="FL30" s="56">
        <v>0</v>
      </c>
      <c r="FM30" s="56">
        <v>0</v>
      </c>
      <c r="FN30" s="23">
        <v>0</v>
      </c>
      <c r="FO30" s="56">
        <v>0</v>
      </c>
      <c r="FP30" s="56">
        <v>0</v>
      </c>
      <c r="FQ30" s="56">
        <v>0</v>
      </c>
      <c r="FR30" s="56">
        <v>0</v>
      </c>
      <c r="FS30" s="56">
        <v>0</v>
      </c>
      <c r="FT30" s="56">
        <v>0</v>
      </c>
      <c r="FU30" s="56">
        <v>0</v>
      </c>
      <c r="FV30" s="56">
        <v>0</v>
      </c>
      <c r="FW30" s="56">
        <v>0</v>
      </c>
      <c r="FX30" s="56">
        <v>0</v>
      </c>
      <c r="FY30" s="56">
        <v>0</v>
      </c>
      <c r="FZ30" s="56">
        <v>0</v>
      </c>
      <c r="GA30" s="56">
        <v>0</v>
      </c>
      <c r="GB30" s="56">
        <v>0</v>
      </c>
    </row>
    <row r="31" spans="2:184" x14ac:dyDescent="0.35">
      <c r="B31" s="581"/>
      <c r="C31" s="228">
        <v>52</v>
      </c>
      <c r="D31" s="232" t="s">
        <v>162</v>
      </c>
      <c r="E31" s="229">
        <v>45981</v>
      </c>
      <c r="F31" s="206">
        <v>46009</v>
      </c>
      <c r="G31" s="198">
        <f t="shared" si="24"/>
        <v>28</v>
      </c>
      <c r="H31" s="206">
        <f t="shared" si="28"/>
        <v>45981</v>
      </c>
      <c r="I31" s="206">
        <f t="shared" si="29"/>
        <v>46009</v>
      </c>
      <c r="J31" s="199" t="s">
        <v>154</v>
      </c>
      <c r="K31" s="200"/>
      <c r="L31" s="201"/>
      <c r="M31" s="201"/>
      <c r="N31" s="198" t="str">
        <f t="shared" si="25"/>
        <v/>
      </c>
      <c r="O31" s="202" t="str">
        <f t="shared" si="26"/>
        <v>-</v>
      </c>
      <c r="P31" s="205" t="str">
        <f t="shared" si="18"/>
        <v>-</v>
      </c>
      <c r="Q31" s="204">
        <f t="shared" si="19"/>
        <v>0</v>
      </c>
      <c r="R31" s="204">
        <f t="shared" si="27"/>
        <v>0</v>
      </c>
      <c r="S31" s="65">
        <f t="shared" si="9"/>
        <v>0</v>
      </c>
      <c r="T31" s="157">
        <f t="shared" si="12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8"/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  <c r="EF31" s="23">
        <v>0</v>
      </c>
      <c r="EG31" s="23">
        <v>0</v>
      </c>
      <c r="EH31" s="23">
        <v>0</v>
      </c>
      <c r="EI31" s="56">
        <v>0</v>
      </c>
      <c r="EJ31" s="56">
        <v>0</v>
      </c>
      <c r="EK31" s="56">
        <v>0</v>
      </c>
      <c r="EL31" s="23">
        <v>0</v>
      </c>
      <c r="EM31" s="23">
        <v>0</v>
      </c>
      <c r="EN31" s="56">
        <v>0</v>
      </c>
      <c r="EO31" s="56">
        <v>0</v>
      </c>
      <c r="EP31" s="56">
        <v>0</v>
      </c>
      <c r="EQ31" s="56">
        <v>0</v>
      </c>
      <c r="ER31" s="56">
        <v>0</v>
      </c>
      <c r="ES31" s="56">
        <v>0</v>
      </c>
      <c r="ET31" s="56">
        <v>0</v>
      </c>
      <c r="EU31" s="56">
        <v>0</v>
      </c>
      <c r="EV31" s="56">
        <v>0</v>
      </c>
      <c r="EW31" s="56">
        <v>0</v>
      </c>
      <c r="EX31" s="56">
        <v>0</v>
      </c>
      <c r="EY31" s="56">
        <v>0</v>
      </c>
      <c r="EZ31" s="56">
        <v>0</v>
      </c>
      <c r="FA31" s="56">
        <v>0</v>
      </c>
      <c r="FB31" s="56">
        <v>0</v>
      </c>
      <c r="FC31" s="56">
        <v>0</v>
      </c>
      <c r="FD31" s="56">
        <v>0</v>
      </c>
      <c r="FE31" s="56">
        <v>0</v>
      </c>
      <c r="FF31" s="56">
        <v>0</v>
      </c>
      <c r="FG31" s="56">
        <v>0</v>
      </c>
      <c r="FH31" s="56">
        <v>0</v>
      </c>
      <c r="FI31" s="56">
        <v>0</v>
      </c>
      <c r="FJ31" s="56">
        <v>0</v>
      </c>
      <c r="FK31" s="56">
        <v>0</v>
      </c>
      <c r="FL31" s="56">
        <v>0</v>
      </c>
      <c r="FM31" s="56">
        <v>0</v>
      </c>
      <c r="FN31" s="23">
        <v>0</v>
      </c>
      <c r="FO31" s="56">
        <v>0</v>
      </c>
      <c r="FP31" s="56">
        <v>0</v>
      </c>
      <c r="FQ31" s="56">
        <v>0</v>
      </c>
      <c r="FR31" s="56">
        <v>0</v>
      </c>
      <c r="FS31" s="56">
        <v>0</v>
      </c>
      <c r="FT31" s="56">
        <v>0</v>
      </c>
      <c r="FU31" s="56">
        <v>0</v>
      </c>
      <c r="FV31" s="56">
        <v>0</v>
      </c>
      <c r="FW31" s="56">
        <v>0</v>
      </c>
      <c r="FX31" s="56">
        <v>0</v>
      </c>
      <c r="FY31" s="56">
        <v>0</v>
      </c>
      <c r="FZ31" s="56">
        <v>0</v>
      </c>
      <c r="GA31" s="56">
        <v>0</v>
      </c>
      <c r="GB31" s="56">
        <v>0</v>
      </c>
    </row>
    <row r="32" spans="2:184" ht="31" x14ac:dyDescent="0.35">
      <c r="B32" s="581"/>
      <c r="C32" s="60">
        <v>53</v>
      </c>
      <c r="D32" s="231" t="s">
        <v>163</v>
      </c>
      <c r="E32" s="206">
        <v>45971</v>
      </c>
      <c r="F32" s="206">
        <v>46006</v>
      </c>
      <c r="G32" s="198">
        <f t="shared" si="24"/>
        <v>35</v>
      </c>
      <c r="H32" s="206">
        <f t="shared" si="28"/>
        <v>45971</v>
      </c>
      <c r="I32" s="206">
        <f t="shared" si="29"/>
        <v>46006</v>
      </c>
      <c r="J32" s="199" t="s">
        <v>154</v>
      </c>
      <c r="K32" s="200"/>
      <c r="L32" s="201"/>
      <c r="M32" s="201"/>
      <c r="N32" s="198" t="str">
        <f t="shared" si="25"/>
        <v/>
      </c>
      <c r="O32" s="202" t="str">
        <f t="shared" si="26"/>
        <v>-</v>
      </c>
      <c r="P32" s="205" t="str">
        <f t="shared" si="18"/>
        <v>-</v>
      </c>
      <c r="Q32" s="204">
        <f t="shared" si="19"/>
        <v>0</v>
      </c>
      <c r="R32" s="204">
        <f t="shared" si="27"/>
        <v>0</v>
      </c>
      <c r="S32" s="65">
        <f t="shared" si="9"/>
        <v>0</v>
      </c>
      <c r="T32" s="157">
        <f t="shared" si="12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68"/>
      <c r="CR32" s="168"/>
      <c r="CS32" s="168"/>
      <c r="CT32" s="168"/>
      <c r="CU32" s="168"/>
      <c r="CV32" s="168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  <c r="EF32" s="23">
        <v>0</v>
      </c>
      <c r="EG32" s="23">
        <v>0</v>
      </c>
      <c r="EH32" s="23">
        <v>0</v>
      </c>
      <c r="EI32" s="56">
        <v>0</v>
      </c>
      <c r="EJ32" s="56">
        <v>0</v>
      </c>
      <c r="EK32" s="56">
        <v>0</v>
      </c>
      <c r="EL32" s="23">
        <v>0</v>
      </c>
      <c r="EM32" s="23">
        <v>0</v>
      </c>
      <c r="EN32" s="56">
        <v>0</v>
      </c>
      <c r="EO32" s="56">
        <v>0</v>
      </c>
      <c r="EP32" s="56">
        <v>0</v>
      </c>
      <c r="EQ32" s="56">
        <v>0</v>
      </c>
      <c r="ER32" s="56">
        <v>0</v>
      </c>
      <c r="ES32" s="56">
        <v>0</v>
      </c>
      <c r="ET32" s="56">
        <v>0</v>
      </c>
      <c r="EU32" s="56">
        <v>0</v>
      </c>
      <c r="EV32" s="56">
        <v>0</v>
      </c>
      <c r="EW32" s="56">
        <v>0</v>
      </c>
      <c r="EX32" s="56">
        <v>0</v>
      </c>
      <c r="EY32" s="56">
        <v>0</v>
      </c>
      <c r="EZ32" s="56">
        <v>0</v>
      </c>
      <c r="FA32" s="56">
        <v>0</v>
      </c>
      <c r="FB32" s="56">
        <v>0</v>
      </c>
      <c r="FC32" s="56">
        <v>0</v>
      </c>
      <c r="FD32" s="56">
        <v>0</v>
      </c>
      <c r="FE32" s="56">
        <v>0</v>
      </c>
      <c r="FF32" s="56">
        <v>0</v>
      </c>
      <c r="FG32" s="56">
        <v>0</v>
      </c>
      <c r="FH32" s="56">
        <v>0</v>
      </c>
      <c r="FI32" s="56">
        <v>0</v>
      </c>
      <c r="FJ32" s="56">
        <v>0</v>
      </c>
      <c r="FK32" s="56">
        <v>0</v>
      </c>
      <c r="FL32" s="56">
        <v>0</v>
      </c>
      <c r="FM32" s="56">
        <v>0</v>
      </c>
      <c r="FN32" s="23">
        <v>0</v>
      </c>
      <c r="FO32" s="56">
        <v>0</v>
      </c>
      <c r="FP32" s="56">
        <v>0</v>
      </c>
      <c r="FQ32" s="56">
        <v>0</v>
      </c>
      <c r="FR32" s="56">
        <v>0</v>
      </c>
      <c r="FS32" s="56">
        <v>0</v>
      </c>
      <c r="FT32" s="56">
        <v>0</v>
      </c>
      <c r="FU32" s="56">
        <v>0</v>
      </c>
      <c r="FV32" s="56">
        <v>0</v>
      </c>
      <c r="FW32" s="56">
        <v>0</v>
      </c>
      <c r="FX32" s="56">
        <v>0</v>
      </c>
      <c r="FY32" s="56">
        <v>0</v>
      </c>
      <c r="FZ32" s="56">
        <v>0</v>
      </c>
      <c r="GA32" s="56">
        <v>0</v>
      </c>
      <c r="GB32" s="56">
        <v>0</v>
      </c>
    </row>
    <row r="33" spans="2:184" ht="19.5" customHeight="1" x14ac:dyDescent="0.35">
      <c r="B33" s="581"/>
      <c r="C33" s="60">
        <v>54</v>
      </c>
      <c r="D33" s="225" t="s">
        <v>164</v>
      </c>
      <c r="E33" s="206">
        <v>45996</v>
      </c>
      <c r="F33" s="206">
        <v>46008</v>
      </c>
      <c r="G33" s="198">
        <f t="shared" si="24"/>
        <v>12</v>
      </c>
      <c r="H33" s="206">
        <f t="shared" si="28"/>
        <v>45996</v>
      </c>
      <c r="I33" s="206">
        <f t="shared" si="29"/>
        <v>46008</v>
      </c>
      <c r="J33" s="199" t="s">
        <v>154</v>
      </c>
      <c r="K33" s="200"/>
      <c r="L33" s="201"/>
      <c r="M33" s="201"/>
      <c r="N33" s="198" t="str">
        <f t="shared" si="25"/>
        <v/>
      </c>
      <c r="O33" s="202" t="str">
        <f t="shared" si="26"/>
        <v>-</v>
      </c>
      <c r="P33" s="205" t="str">
        <f t="shared" si="18"/>
        <v>-</v>
      </c>
      <c r="Q33" s="204">
        <f t="shared" si="19"/>
        <v>0</v>
      </c>
      <c r="R33" s="204">
        <f t="shared" si="27"/>
        <v>0</v>
      </c>
      <c r="S33" s="65">
        <f t="shared" si="9"/>
        <v>0</v>
      </c>
      <c r="T33" s="157">
        <f t="shared" si="12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  <c r="CR33" s="168"/>
      <c r="CS33" s="168"/>
      <c r="CT33" s="168"/>
      <c r="CU33" s="168"/>
      <c r="CV33" s="168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  <c r="EF33" s="23">
        <v>0</v>
      </c>
      <c r="EG33" s="23">
        <v>0</v>
      </c>
      <c r="EH33" s="23">
        <v>0</v>
      </c>
      <c r="EI33" s="56">
        <v>0</v>
      </c>
      <c r="EJ33" s="56">
        <v>0</v>
      </c>
      <c r="EK33" s="56">
        <v>0</v>
      </c>
      <c r="EL33" s="23">
        <v>0</v>
      </c>
      <c r="EM33" s="23">
        <v>0</v>
      </c>
      <c r="EN33" s="56">
        <v>0</v>
      </c>
      <c r="EO33" s="56">
        <v>0</v>
      </c>
      <c r="EP33" s="56">
        <v>0</v>
      </c>
      <c r="EQ33" s="56">
        <v>0</v>
      </c>
      <c r="ER33" s="56">
        <v>0</v>
      </c>
      <c r="ES33" s="56">
        <v>0</v>
      </c>
      <c r="ET33" s="56">
        <v>0</v>
      </c>
      <c r="EU33" s="56">
        <v>0</v>
      </c>
      <c r="EV33" s="56">
        <v>0</v>
      </c>
      <c r="EW33" s="56">
        <v>0</v>
      </c>
      <c r="EX33" s="56">
        <v>0</v>
      </c>
      <c r="EY33" s="56">
        <v>0</v>
      </c>
      <c r="EZ33" s="56">
        <v>0</v>
      </c>
      <c r="FA33" s="56">
        <v>0</v>
      </c>
      <c r="FB33" s="56">
        <v>0</v>
      </c>
      <c r="FC33" s="56">
        <v>0</v>
      </c>
      <c r="FD33" s="56">
        <v>0</v>
      </c>
      <c r="FE33" s="56">
        <v>0</v>
      </c>
      <c r="FF33" s="56">
        <v>0</v>
      </c>
      <c r="FG33" s="56">
        <v>0</v>
      </c>
      <c r="FH33" s="56">
        <v>0</v>
      </c>
      <c r="FI33" s="56">
        <v>0</v>
      </c>
      <c r="FJ33" s="56">
        <v>0</v>
      </c>
      <c r="FK33" s="56">
        <v>0</v>
      </c>
      <c r="FL33" s="56">
        <v>0</v>
      </c>
      <c r="FM33" s="56">
        <v>0</v>
      </c>
      <c r="FN33" s="23">
        <v>0</v>
      </c>
      <c r="FO33" s="56">
        <v>0</v>
      </c>
      <c r="FP33" s="56">
        <v>0</v>
      </c>
      <c r="FQ33" s="56">
        <v>0</v>
      </c>
      <c r="FR33" s="56">
        <v>0</v>
      </c>
      <c r="FS33" s="56">
        <v>0</v>
      </c>
      <c r="FT33" s="56">
        <v>0</v>
      </c>
      <c r="FU33" s="56">
        <v>0</v>
      </c>
      <c r="FV33" s="56">
        <v>0</v>
      </c>
      <c r="FW33" s="56">
        <v>0</v>
      </c>
      <c r="FX33" s="56">
        <v>0</v>
      </c>
      <c r="FY33" s="56">
        <v>0</v>
      </c>
      <c r="FZ33" s="56">
        <v>0</v>
      </c>
      <c r="GA33" s="56">
        <v>0</v>
      </c>
      <c r="GB33" s="56">
        <v>0</v>
      </c>
    </row>
    <row r="34" spans="2:184" ht="30.5" customHeight="1" x14ac:dyDescent="0.35">
      <c r="B34" s="581"/>
      <c r="C34" s="60">
        <v>55</v>
      </c>
      <c r="D34" s="225" t="s">
        <v>169</v>
      </c>
      <c r="E34" s="206">
        <v>45772</v>
      </c>
      <c r="F34" s="206">
        <v>45823</v>
      </c>
      <c r="G34" s="208">
        <f t="shared" si="24"/>
        <v>51</v>
      </c>
      <c r="H34" s="206">
        <v>45819</v>
      </c>
      <c r="I34" s="206">
        <f>H34+G34</f>
        <v>45870</v>
      </c>
      <c r="J34" s="199" t="s">
        <v>154</v>
      </c>
      <c r="K34" s="200">
        <v>21000</v>
      </c>
      <c r="L34" s="201"/>
      <c r="M34" s="201"/>
      <c r="N34" s="198" t="str">
        <f t="shared" si="25"/>
        <v/>
      </c>
      <c r="O34" s="202" t="str">
        <f t="shared" si="26"/>
        <v>-</v>
      </c>
      <c r="P34" s="205">
        <f>Q34/K34</f>
        <v>0.32080952380952382</v>
      </c>
      <c r="Q34" s="204">
        <f t="shared" si="19"/>
        <v>6737</v>
      </c>
      <c r="R34" s="204">
        <f t="shared" si="27"/>
        <v>14263</v>
      </c>
      <c r="S34" s="65">
        <f t="shared" si="9"/>
        <v>6737</v>
      </c>
      <c r="T34" s="157">
        <f t="shared" si="12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300</v>
      </c>
      <c r="DQ34" s="56">
        <v>250</v>
      </c>
      <c r="DR34" s="56">
        <v>250</v>
      </c>
      <c r="DS34" s="56">
        <v>250</v>
      </c>
      <c r="DT34" s="56">
        <v>300</v>
      </c>
      <c r="DU34" s="56">
        <v>300</v>
      </c>
      <c r="DV34" s="56">
        <v>300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  <c r="ED34" s="56">
        <v>327</v>
      </c>
      <c r="EE34" s="56">
        <v>0</v>
      </c>
      <c r="EF34" s="23">
        <v>0</v>
      </c>
      <c r="EG34" s="23">
        <v>0</v>
      </c>
      <c r="EH34" s="23">
        <v>0</v>
      </c>
      <c r="EI34" s="56">
        <v>0</v>
      </c>
      <c r="EJ34" s="56">
        <v>0</v>
      </c>
      <c r="EK34" s="56">
        <v>220</v>
      </c>
      <c r="EL34" s="23">
        <v>0</v>
      </c>
      <c r="EM34" s="23">
        <v>0</v>
      </c>
      <c r="EN34" s="56">
        <v>0</v>
      </c>
      <c r="EO34" s="56">
        <v>0</v>
      </c>
      <c r="EP34" s="56">
        <v>0</v>
      </c>
      <c r="EQ34" s="56">
        <v>0</v>
      </c>
      <c r="ER34" s="56">
        <v>0</v>
      </c>
      <c r="ES34" s="56">
        <v>0</v>
      </c>
      <c r="ET34" s="56">
        <v>0</v>
      </c>
      <c r="EU34" s="56">
        <v>0</v>
      </c>
      <c r="EV34" s="56">
        <v>0</v>
      </c>
      <c r="EW34" s="56">
        <v>0</v>
      </c>
      <c r="EX34" s="56">
        <v>0</v>
      </c>
      <c r="EY34" s="56">
        <v>0</v>
      </c>
      <c r="EZ34" s="56">
        <v>0</v>
      </c>
      <c r="FA34" s="56">
        <v>0</v>
      </c>
      <c r="FB34" s="56">
        <v>0</v>
      </c>
      <c r="FC34" s="56">
        <v>0</v>
      </c>
      <c r="FD34" s="56">
        <v>0</v>
      </c>
      <c r="FE34" s="56">
        <v>0</v>
      </c>
      <c r="FF34" s="56">
        <v>0</v>
      </c>
      <c r="FG34" s="56">
        <v>0</v>
      </c>
      <c r="FH34" s="56">
        <v>362</v>
      </c>
      <c r="FI34" s="56">
        <v>0</v>
      </c>
      <c r="FJ34" s="56">
        <v>0</v>
      </c>
      <c r="FK34" s="56">
        <v>100</v>
      </c>
      <c r="FL34" s="56">
        <v>0</v>
      </c>
      <c r="FM34" s="56">
        <v>400</v>
      </c>
      <c r="FN34" s="23">
        <v>0</v>
      </c>
      <c r="FO34" s="56">
        <v>100</v>
      </c>
      <c r="FP34" s="56">
        <v>138</v>
      </c>
      <c r="FQ34" s="56">
        <v>140</v>
      </c>
      <c r="FR34" s="56">
        <v>100</v>
      </c>
      <c r="FS34" s="56">
        <v>100</v>
      </c>
      <c r="FT34" s="56">
        <v>0</v>
      </c>
      <c r="FU34" s="56">
        <v>0</v>
      </c>
      <c r="FV34" s="56">
        <v>0</v>
      </c>
      <c r="FW34" s="56">
        <v>0</v>
      </c>
      <c r="FX34" s="56">
        <v>0</v>
      </c>
      <c r="FY34" s="56">
        <v>0</v>
      </c>
      <c r="FZ34" s="56">
        <v>0</v>
      </c>
      <c r="GA34" s="56">
        <v>0</v>
      </c>
      <c r="GB34" s="56">
        <v>0</v>
      </c>
    </row>
    <row r="35" spans="2:184" ht="19" customHeight="1" x14ac:dyDescent="0.35">
      <c r="B35" s="581"/>
      <c r="C35" s="60">
        <v>56</v>
      </c>
      <c r="D35" s="225" t="s">
        <v>170</v>
      </c>
      <c r="E35" s="206">
        <v>45773</v>
      </c>
      <c r="F35" s="206">
        <v>45824</v>
      </c>
      <c r="G35" s="208">
        <f t="shared" si="24"/>
        <v>51</v>
      </c>
      <c r="H35" s="206">
        <v>45820</v>
      </c>
      <c r="I35" s="206">
        <v>45871</v>
      </c>
      <c r="J35" s="199" t="s">
        <v>154</v>
      </c>
      <c r="K35" s="200">
        <v>21000</v>
      </c>
      <c r="L35" s="201"/>
      <c r="M35" s="201"/>
      <c r="N35" s="198" t="str">
        <f t="shared" si="25"/>
        <v/>
      </c>
      <c r="O35" s="202" t="str">
        <f t="shared" si="26"/>
        <v>-</v>
      </c>
      <c r="P35" s="205">
        <f t="shared" ref="P35:P37" si="30">Q35/K35</f>
        <v>0.32052380952380954</v>
      </c>
      <c r="Q35" s="204">
        <f t="shared" si="19"/>
        <v>6731</v>
      </c>
      <c r="R35" s="204">
        <f t="shared" si="27"/>
        <v>14269</v>
      </c>
      <c r="S35" s="65">
        <f t="shared" si="9"/>
        <v>6731</v>
      </c>
      <c r="T35" s="157">
        <f t="shared" si="12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  <c r="ED35" s="56">
        <v>200</v>
      </c>
      <c r="EE35" s="56">
        <v>131</v>
      </c>
      <c r="EF35" s="23">
        <v>160</v>
      </c>
      <c r="EG35" s="23">
        <v>0</v>
      </c>
      <c r="EH35" s="23">
        <v>0</v>
      </c>
      <c r="EI35" s="56">
        <v>250</v>
      </c>
      <c r="EJ35" s="56">
        <v>167</v>
      </c>
      <c r="EK35" s="56">
        <v>120</v>
      </c>
      <c r="EL35" s="23">
        <v>173</v>
      </c>
      <c r="EM35" s="23">
        <v>78</v>
      </c>
      <c r="EN35" s="56">
        <v>117</v>
      </c>
      <c r="EO35" s="56">
        <v>90</v>
      </c>
      <c r="EP35" s="56">
        <v>88</v>
      </c>
      <c r="EQ35" s="56">
        <v>82</v>
      </c>
      <c r="ER35" s="56">
        <v>92</v>
      </c>
      <c r="ES35" s="56">
        <v>105</v>
      </c>
      <c r="ET35" s="56">
        <v>225</v>
      </c>
      <c r="EU35" s="56">
        <v>105</v>
      </c>
      <c r="EV35" s="56">
        <v>100</v>
      </c>
      <c r="EW35" s="56">
        <v>0</v>
      </c>
      <c r="EX35" s="56">
        <v>208</v>
      </c>
      <c r="EY35" s="56">
        <v>205</v>
      </c>
      <c r="EZ35" s="56">
        <v>0</v>
      </c>
      <c r="FA35" s="56">
        <v>197</v>
      </c>
      <c r="FB35" s="56">
        <v>117</v>
      </c>
      <c r="FC35" s="56">
        <v>220</v>
      </c>
      <c r="FD35" s="56">
        <v>0</v>
      </c>
      <c r="FE35" s="56">
        <v>335</v>
      </c>
      <c r="FF35" s="56">
        <v>252</v>
      </c>
      <c r="FG35" s="56">
        <v>268</v>
      </c>
      <c r="FH35" s="56">
        <v>138</v>
      </c>
      <c r="FI35" s="56">
        <v>100</v>
      </c>
      <c r="FJ35" s="56">
        <v>125</v>
      </c>
      <c r="FK35" s="56">
        <v>100</v>
      </c>
      <c r="FL35" s="56">
        <v>50</v>
      </c>
      <c r="FM35" s="56">
        <v>110</v>
      </c>
      <c r="FN35" s="23">
        <v>0</v>
      </c>
      <c r="FO35" s="56">
        <v>252</v>
      </c>
      <c r="FP35" s="56">
        <v>138</v>
      </c>
      <c r="FQ35" s="123">
        <v>138</v>
      </c>
      <c r="FR35" s="123">
        <v>100</v>
      </c>
      <c r="FS35" s="123">
        <v>102</v>
      </c>
      <c r="FT35" s="123">
        <v>98</v>
      </c>
      <c r="FU35" s="123">
        <v>128</v>
      </c>
      <c r="FV35" s="123">
        <v>0</v>
      </c>
      <c r="FW35" s="123">
        <v>0</v>
      </c>
      <c r="FX35" s="56">
        <v>0</v>
      </c>
      <c r="FY35" s="56">
        <v>0</v>
      </c>
      <c r="FZ35" s="56">
        <v>0</v>
      </c>
      <c r="GA35" s="56">
        <v>108</v>
      </c>
      <c r="GB35" s="56">
        <v>0</v>
      </c>
    </row>
    <row r="36" spans="2:184" ht="18.5" customHeight="1" x14ac:dyDescent="0.35">
      <c r="B36" s="581"/>
      <c r="C36" s="60">
        <v>57</v>
      </c>
      <c r="D36" s="225" t="s">
        <v>436</v>
      </c>
      <c r="E36" s="206">
        <v>45797</v>
      </c>
      <c r="F36" s="206">
        <v>45828</v>
      </c>
      <c r="G36" s="208">
        <f t="shared" si="24"/>
        <v>31</v>
      </c>
      <c r="H36" s="206">
        <v>45833</v>
      </c>
      <c r="I36" s="206">
        <v>45874</v>
      </c>
      <c r="J36" s="199" t="s">
        <v>154</v>
      </c>
      <c r="K36" s="200">
        <v>21000</v>
      </c>
      <c r="L36" s="201"/>
      <c r="M36" s="201"/>
      <c r="N36" s="198" t="str">
        <f t="shared" si="25"/>
        <v/>
      </c>
      <c r="O36" s="202" t="str">
        <f t="shared" si="26"/>
        <v>-</v>
      </c>
      <c r="P36" s="205">
        <f t="shared" si="30"/>
        <v>6.0952380952380952E-2</v>
      </c>
      <c r="Q36" s="204">
        <f t="shared" si="19"/>
        <v>1280</v>
      </c>
      <c r="R36" s="204">
        <f t="shared" si="27"/>
        <v>19720</v>
      </c>
      <c r="S36" s="65">
        <f t="shared" ref="S36:S67" si="31">SUM(U36:XFD36)</f>
        <v>1280</v>
      </c>
      <c r="T36" s="157">
        <f t="shared" si="12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  <c r="EF36" s="23">
        <v>0</v>
      </c>
      <c r="EG36" s="23">
        <v>0</v>
      </c>
      <c r="EH36" s="23">
        <v>0</v>
      </c>
      <c r="EI36" s="56">
        <v>0</v>
      </c>
      <c r="EJ36" s="56">
        <v>0</v>
      </c>
      <c r="EK36" s="56">
        <v>0</v>
      </c>
      <c r="EL36" s="23">
        <v>0</v>
      </c>
      <c r="EM36" s="23">
        <v>0</v>
      </c>
      <c r="EN36" s="56">
        <v>0</v>
      </c>
      <c r="EO36" s="56">
        <v>0</v>
      </c>
      <c r="EP36" s="56">
        <v>0</v>
      </c>
      <c r="EQ36" s="56">
        <v>0</v>
      </c>
      <c r="ER36" s="56">
        <v>0</v>
      </c>
      <c r="ES36" s="56">
        <v>0</v>
      </c>
      <c r="ET36" s="56">
        <v>0</v>
      </c>
      <c r="EU36" s="56">
        <v>0</v>
      </c>
      <c r="EV36" s="56">
        <v>0</v>
      </c>
      <c r="EW36" s="56">
        <v>175</v>
      </c>
      <c r="EX36" s="56">
        <v>200</v>
      </c>
      <c r="EY36" s="56">
        <v>0</v>
      </c>
      <c r="EZ36" s="56">
        <v>0</v>
      </c>
      <c r="FA36" s="56">
        <v>205</v>
      </c>
      <c r="FB36" s="56">
        <v>0</v>
      </c>
      <c r="FC36" s="56">
        <v>0</v>
      </c>
      <c r="FD36" s="56">
        <v>0</v>
      </c>
      <c r="FE36" s="56">
        <v>0</v>
      </c>
      <c r="FF36" s="56">
        <v>0</v>
      </c>
      <c r="FG36" s="56">
        <v>0</v>
      </c>
      <c r="FH36" s="56">
        <v>0</v>
      </c>
      <c r="FI36" s="56">
        <v>0</v>
      </c>
      <c r="FJ36" s="56">
        <v>200</v>
      </c>
      <c r="FK36" s="56">
        <v>500</v>
      </c>
      <c r="FL36" s="56">
        <v>0</v>
      </c>
      <c r="FM36" s="56">
        <v>0</v>
      </c>
      <c r="FN36" s="23">
        <v>0</v>
      </c>
      <c r="FO36" s="56">
        <v>0</v>
      </c>
      <c r="FP36" s="56">
        <v>0</v>
      </c>
      <c r="FQ36" s="56">
        <v>0</v>
      </c>
      <c r="FR36" s="56">
        <v>0</v>
      </c>
      <c r="FS36" s="56">
        <v>0</v>
      </c>
      <c r="FT36" s="56">
        <v>0</v>
      </c>
      <c r="FU36" s="56">
        <v>0</v>
      </c>
      <c r="FV36" s="56">
        <v>0</v>
      </c>
      <c r="FW36" s="56">
        <v>0</v>
      </c>
      <c r="FX36" s="56">
        <v>0</v>
      </c>
      <c r="FY36" s="56">
        <v>0</v>
      </c>
      <c r="FZ36" s="56">
        <v>0</v>
      </c>
      <c r="GA36" s="56">
        <v>0</v>
      </c>
      <c r="GB36" s="56">
        <v>0</v>
      </c>
    </row>
    <row r="37" spans="2:184" ht="26" customHeight="1" x14ac:dyDescent="0.35">
      <c r="B37" s="581"/>
      <c r="C37" s="60">
        <v>58</v>
      </c>
      <c r="D37" s="225" t="s">
        <v>428</v>
      </c>
      <c r="E37" s="206">
        <v>45802</v>
      </c>
      <c r="F37" s="206">
        <v>45832</v>
      </c>
      <c r="G37" s="208">
        <f t="shared" si="24"/>
        <v>30</v>
      </c>
      <c r="H37" s="206">
        <v>45838</v>
      </c>
      <c r="I37" s="206">
        <v>45877</v>
      </c>
      <c r="J37" s="199" t="s">
        <v>154</v>
      </c>
      <c r="K37" s="200">
        <v>21000</v>
      </c>
      <c r="L37" s="201"/>
      <c r="M37" s="201"/>
      <c r="N37" s="198" t="str">
        <f t="shared" si="25"/>
        <v/>
      </c>
      <c r="O37" s="202" t="str">
        <f t="shared" si="26"/>
        <v>-</v>
      </c>
      <c r="P37" s="205">
        <f t="shared" si="30"/>
        <v>0</v>
      </c>
      <c r="Q37" s="204">
        <f t="shared" si="19"/>
        <v>0</v>
      </c>
      <c r="R37" s="204">
        <f t="shared" si="27"/>
        <v>21000</v>
      </c>
      <c r="S37" s="65">
        <f t="shared" si="31"/>
        <v>0</v>
      </c>
      <c r="T37" s="157">
        <f t="shared" si="12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  <c r="EF37" s="23">
        <v>0</v>
      </c>
      <c r="EG37" s="23">
        <v>0</v>
      </c>
      <c r="EH37" s="23">
        <v>0</v>
      </c>
      <c r="EI37" s="56">
        <v>0</v>
      </c>
      <c r="EJ37" s="56">
        <v>0</v>
      </c>
      <c r="EK37" s="56">
        <v>0</v>
      </c>
      <c r="EL37" s="23">
        <v>0</v>
      </c>
      <c r="EM37" s="23">
        <v>0</v>
      </c>
      <c r="EN37" s="56">
        <v>0</v>
      </c>
      <c r="EO37" s="56">
        <v>0</v>
      </c>
      <c r="EP37" s="56">
        <v>0</v>
      </c>
      <c r="EQ37" s="56">
        <v>0</v>
      </c>
      <c r="ER37" s="56">
        <v>0</v>
      </c>
      <c r="ES37" s="56">
        <v>0</v>
      </c>
      <c r="ET37" s="56">
        <v>0</v>
      </c>
      <c r="EU37" s="56">
        <v>0</v>
      </c>
      <c r="EV37" s="56">
        <v>0</v>
      </c>
      <c r="EW37" s="56">
        <v>0</v>
      </c>
      <c r="EX37" s="56">
        <v>0</v>
      </c>
      <c r="EY37" s="56">
        <v>0</v>
      </c>
      <c r="EZ37" s="56">
        <v>0</v>
      </c>
      <c r="FA37" s="56">
        <v>0</v>
      </c>
      <c r="FB37" s="56">
        <v>0</v>
      </c>
      <c r="FC37" s="56">
        <v>0</v>
      </c>
      <c r="FD37" s="56">
        <v>0</v>
      </c>
      <c r="FE37" s="56">
        <v>0</v>
      </c>
      <c r="FF37" s="56">
        <v>0</v>
      </c>
      <c r="FG37" s="56">
        <v>0</v>
      </c>
      <c r="FH37" s="56">
        <v>0</v>
      </c>
      <c r="FI37" s="56">
        <v>0</v>
      </c>
      <c r="FJ37" s="56">
        <v>0</v>
      </c>
      <c r="FK37" s="56">
        <v>0</v>
      </c>
      <c r="FL37" s="56">
        <v>0</v>
      </c>
      <c r="FM37" s="56">
        <v>0</v>
      </c>
      <c r="FN37" s="23">
        <v>0</v>
      </c>
      <c r="FO37" s="56">
        <v>0</v>
      </c>
      <c r="FP37" s="56">
        <v>0</v>
      </c>
      <c r="FQ37" s="56">
        <v>0</v>
      </c>
      <c r="FR37" s="56">
        <v>0</v>
      </c>
      <c r="FS37" s="56">
        <v>0</v>
      </c>
      <c r="FT37" s="56">
        <v>0</v>
      </c>
      <c r="FU37" s="56">
        <v>0</v>
      </c>
      <c r="FV37" s="56">
        <v>0</v>
      </c>
      <c r="FW37" s="56">
        <v>0</v>
      </c>
      <c r="FX37" s="56">
        <v>0</v>
      </c>
      <c r="FY37" s="56">
        <v>0</v>
      </c>
      <c r="FZ37" s="56">
        <v>0</v>
      </c>
      <c r="GA37" s="56">
        <v>0</v>
      </c>
      <c r="GB37" s="56">
        <v>0</v>
      </c>
    </row>
    <row r="38" spans="2:184" x14ac:dyDescent="0.35">
      <c r="B38" s="581"/>
      <c r="C38" s="60">
        <v>59</v>
      </c>
      <c r="D38" s="225" t="s">
        <v>173</v>
      </c>
      <c r="E38" s="206">
        <v>45874</v>
      </c>
      <c r="F38" s="206">
        <v>45950</v>
      </c>
      <c r="G38" s="208">
        <f t="shared" si="24"/>
        <v>76</v>
      </c>
      <c r="H38" s="206">
        <f>E38</f>
        <v>45874</v>
      </c>
      <c r="I38" s="206">
        <f>F38</f>
        <v>45950</v>
      </c>
      <c r="J38" s="199" t="s">
        <v>154</v>
      </c>
      <c r="K38" s="200"/>
      <c r="L38" s="201"/>
      <c r="M38" s="201"/>
      <c r="N38" s="198" t="str">
        <f t="shared" si="25"/>
        <v/>
      </c>
      <c r="O38" s="202" t="str">
        <f t="shared" si="26"/>
        <v>-</v>
      </c>
      <c r="P38" s="205" t="str">
        <f t="shared" ref="P38:P42" si="32">IFERROR(SUMIF($U$2:$AT$2,"&lt;="&amp;$D$1,U38:BN38)/K38,"-")</f>
        <v>-</v>
      </c>
      <c r="Q38" s="204">
        <f t="shared" si="19"/>
        <v>0</v>
      </c>
      <c r="R38" s="204">
        <f t="shared" si="27"/>
        <v>0</v>
      </c>
      <c r="S38" s="65">
        <f t="shared" si="31"/>
        <v>0</v>
      </c>
      <c r="T38" s="157">
        <f t="shared" si="12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  <c r="EF38" s="23">
        <v>0</v>
      </c>
      <c r="EG38" s="23">
        <v>0</v>
      </c>
      <c r="EH38" s="23">
        <v>0</v>
      </c>
      <c r="EI38" s="56">
        <v>0</v>
      </c>
      <c r="EJ38" s="56">
        <v>0</v>
      </c>
      <c r="EK38" s="56">
        <v>0</v>
      </c>
      <c r="EL38" s="23">
        <v>0</v>
      </c>
      <c r="EM38" s="23">
        <v>0</v>
      </c>
      <c r="EN38" s="56">
        <v>0</v>
      </c>
      <c r="EO38" s="56">
        <v>0</v>
      </c>
      <c r="EP38" s="56">
        <v>0</v>
      </c>
      <c r="EQ38" s="56">
        <v>0</v>
      </c>
      <c r="ER38" s="56">
        <v>0</v>
      </c>
      <c r="ES38" s="56">
        <v>0</v>
      </c>
      <c r="ET38" s="56">
        <v>0</v>
      </c>
      <c r="EU38" s="56">
        <v>0</v>
      </c>
      <c r="EV38" s="56">
        <v>0</v>
      </c>
      <c r="EW38" s="56">
        <v>0</v>
      </c>
      <c r="EX38" s="56">
        <v>0</v>
      </c>
      <c r="EY38" s="56">
        <v>0</v>
      </c>
      <c r="EZ38" s="56">
        <v>0</v>
      </c>
      <c r="FA38" s="56">
        <v>0</v>
      </c>
      <c r="FB38" s="56">
        <v>0</v>
      </c>
      <c r="FC38" s="56">
        <v>0</v>
      </c>
      <c r="FD38" s="56">
        <v>0</v>
      </c>
      <c r="FE38" s="56">
        <v>0</v>
      </c>
      <c r="FF38" s="56">
        <v>0</v>
      </c>
      <c r="FG38" s="56">
        <v>0</v>
      </c>
      <c r="FH38" s="56">
        <v>0</v>
      </c>
      <c r="FI38" s="56">
        <v>0</v>
      </c>
      <c r="FJ38" s="56">
        <v>0</v>
      </c>
      <c r="FK38" s="56">
        <v>0</v>
      </c>
      <c r="FL38" s="56">
        <v>0</v>
      </c>
      <c r="FM38" s="56">
        <v>0</v>
      </c>
      <c r="FN38" s="23">
        <v>0</v>
      </c>
      <c r="FO38" s="56">
        <v>0</v>
      </c>
      <c r="FP38" s="56">
        <v>0</v>
      </c>
      <c r="FQ38" s="56">
        <v>0</v>
      </c>
      <c r="FR38" s="56">
        <v>0</v>
      </c>
      <c r="FS38" s="56">
        <v>0</v>
      </c>
      <c r="FT38" s="56">
        <v>0</v>
      </c>
      <c r="FU38" s="56">
        <v>0</v>
      </c>
      <c r="FV38" s="56">
        <v>0</v>
      </c>
      <c r="FW38" s="56">
        <v>0</v>
      </c>
      <c r="FX38" s="56">
        <v>0</v>
      </c>
      <c r="FY38" s="56">
        <v>0</v>
      </c>
      <c r="FZ38" s="56">
        <v>0</v>
      </c>
      <c r="GA38" s="56">
        <v>0</v>
      </c>
      <c r="GB38" s="56">
        <v>0</v>
      </c>
    </row>
    <row r="39" spans="2:184" x14ac:dyDescent="0.35">
      <c r="B39" s="581"/>
      <c r="C39" s="60">
        <v>60</v>
      </c>
      <c r="D39" s="225" t="s">
        <v>174</v>
      </c>
      <c r="E39" s="206">
        <v>45885</v>
      </c>
      <c r="F39" s="206">
        <v>45958</v>
      </c>
      <c r="G39" s="208">
        <f t="shared" si="24"/>
        <v>73</v>
      </c>
      <c r="H39" s="206">
        <f t="shared" ref="H39:H61" si="33">E39</f>
        <v>45885</v>
      </c>
      <c r="I39" s="206">
        <f t="shared" ref="I39:I61" si="34">F39</f>
        <v>45958</v>
      </c>
      <c r="J39" s="199" t="s">
        <v>154</v>
      </c>
      <c r="K39" s="200"/>
      <c r="L39" s="201"/>
      <c r="M39" s="201"/>
      <c r="N39" s="198" t="str">
        <f t="shared" si="25"/>
        <v/>
      </c>
      <c r="O39" s="202" t="str">
        <f t="shared" si="26"/>
        <v>-</v>
      </c>
      <c r="P39" s="205" t="str">
        <f t="shared" si="32"/>
        <v>-</v>
      </c>
      <c r="Q39" s="204">
        <f t="shared" si="19"/>
        <v>0</v>
      </c>
      <c r="R39" s="204">
        <f t="shared" si="27"/>
        <v>0</v>
      </c>
      <c r="S39" s="65">
        <f t="shared" si="31"/>
        <v>0</v>
      </c>
      <c r="T39" s="157">
        <f t="shared" si="12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  <c r="EF39" s="23">
        <v>0</v>
      </c>
      <c r="EG39" s="23">
        <v>0</v>
      </c>
      <c r="EH39" s="23">
        <v>0</v>
      </c>
      <c r="EI39" s="56">
        <v>0</v>
      </c>
      <c r="EJ39" s="56">
        <v>0</v>
      </c>
      <c r="EK39" s="56">
        <v>0</v>
      </c>
      <c r="EL39" s="23">
        <v>0</v>
      </c>
      <c r="EM39" s="23">
        <v>0</v>
      </c>
      <c r="EN39" s="56">
        <v>0</v>
      </c>
      <c r="EO39" s="56">
        <v>0</v>
      </c>
      <c r="EP39" s="56">
        <v>0</v>
      </c>
      <c r="EQ39" s="56">
        <v>0</v>
      </c>
      <c r="ER39" s="56">
        <v>0</v>
      </c>
      <c r="ES39" s="56">
        <v>0</v>
      </c>
      <c r="ET39" s="56">
        <v>0</v>
      </c>
      <c r="EU39" s="56">
        <v>0</v>
      </c>
      <c r="EV39" s="56">
        <v>0</v>
      </c>
      <c r="EW39" s="56">
        <v>0</v>
      </c>
      <c r="EX39" s="56">
        <v>0</v>
      </c>
      <c r="EY39" s="56">
        <v>0</v>
      </c>
      <c r="EZ39" s="56">
        <v>0</v>
      </c>
      <c r="FA39" s="56">
        <v>0</v>
      </c>
      <c r="FB39" s="56">
        <v>0</v>
      </c>
      <c r="FC39" s="56">
        <v>0</v>
      </c>
      <c r="FD39" s="56">
        <v>0</v>
      </c>
      <c r="FE39" s="56">
        <v>0</v>
      </c>
      <c r="FF39" s="56">
        <v>0</v>
      </c>
      <c r="FG39" s="56">
        <v>0</v>
      </c>
      <c r="FH39" s="56">
        <v>0</v>
      </c>
      <c r="FI39" s="56">
        <v>0</v>
      </c>
      <c r="FJ39" s="56">
        <v>0</v>
      </c>
      <c r="FK39" s="56">
        <v>0</v>
      </c>
      <c r="FL39" s="56">
        <v>0</v>
      </c>
      <c r="FM39" s="56">
        <v>0</v>
      </c>
      <c r="FN39" s="23">
        <v>0</v>
      </c>
      <c r="FO39" s="56">
        <v>0</v>
      </c>
      <c r="FP39" s="56">
        <v>0</v>
      </c>
      <c r="FQ39" s="56">
        <v>0</v>
      </c>
      <c r="FR39" s="56">
        <v>0</v>
      </c>
      <c r="FS39" s="56">
        <v>0</v>
      </c>
      <c r="FT39" s="56">
        <v>0</v>
      </c>
      <c r="FU39" s="56">
        <v>0</v>
      </c>
      <c r="FV39" s="56">
        <v>0</v>
      </c>
      <c r="FW39" s="56">
        <v>0</v>
      </c>
      <c r="FX39" s="56">
        <v>0</v>
      </c>
      <c r="FY39" s="56">
        <v>0</v>
      </c>
      <c r="FZ39" s="56">
        <v>0</v>
      </c>
      <c r="GA39" s="56">
        <v>0</v>
      </c>
      <c r="GB39" s="56">
        <v>0</v>
      </c>
    </row>
    <row r="40" spans="2:184" x14ac:dyDescent="0.35">
      <c r="B40" s="581"/>
      <c r="C40" s="60">
        <v>61</v>
      </c>
      <c r="D40" s="225" t="s">
        <v>175</v>
      </c>
      <c r="E40" s="206">
        <v>45905</v>
      </c>
      <c r="F40" s="206">
        <v>45976</v>
      </c>
      <c r="G40" s="208">
        <f t="shared" si="24"/>
        <v>71</v>
      </c>
      <c r="H40" s="206">
        <f t="shared" si="33"/>
        <v>45905</v>
      </c>
      <c r="I40" s="206">
        <f t="shared" si="34"/>
        <v>45976</v>
      </c>
      <c r="J40" s="199" t="s">
        <v>154</v>
      </c>
      <c r="K40" s="200"/>
      <c r="L40" s="201"/>
      <c r="M40" s="201"/>
      <c r="N40" s="198" t="str">
        <f t="shared" si="25"/>
        <v/>
      </c>
      <c r="O40" s="202" t="str">
        <f t="shared" si="26"/>
        <v>-</v>
      </c>
      <c r="P40" s="205" t="str">
        <f t="shared" si="32"/>
        <v>-</v>
      </c>
      <c r="Q40" s="204">
        <f t="shared" si="19"/>
        <v>0</v>
      </c>
      <c r="R40" s="204">
        <f t="shared" si="27"/>
        <v>0</v>
      </c>
      <c r="S40" s="65">
        <f t="shared" si="31"/>
        <v>0</v>
      </c>
      <c r="T40" s="157">
        <f t="shared" si="12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  <c r="EF40" s="23">
        <v>0</v>
      </c>
      <c r="EG40" s="23">
        <v>0</v>
      </c>
      <c r="EH40" s="23">
        <v>0</v>
      </c>
      <c r="EI40" s="56">
        <v>0</v>
      </c>
      <c r="EJ40" s="56">
        <v>0</v>
      </c>
      <c r="EK40" s="56">
        <v>0</v>
      </c>
      <c r="EL40" s="23">
        <v>0</v>
      </c>
      <c r="EM40" s="23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  <c r="FG40" s="56">
        <v>0</v>
      </c>
      <c r="FH40" s="56">
        <v>0</v>
      </c>
      <c r="FI40" s="56">
        <v>0</v>
      </c>
      <c r="FJ40" s="56">
        <v>0</v>
      </c>
      <c r="FK40" s="56">
        <v>0</v>
      </c>
      <c r="FL40" s="56">
        <v>0</v>
      </c>
      <c r="FM40" s="56">
        <v>0</v>
      </c>
      <c r="FN40" s="23">
        <v>0</v>
      </c>
      <c r="FO40" s="56">
        <v>0</v>
      </c>
      <c r="FP40" s="56">
        <v>0</v>
      </c>
      <c r="FQ40" s="56">
        <v>0</v>
      </c>
      <c r="FR40" s="56">
        <v>0</v>
      </c>
      <c r="FS40" s="56">
        <v>0</v>
      </c>
      <c r="FT40" s="56">
        <v>0</v>
      </c>
      <c r="FU40" s="56">
        <v>0</v>
      </c>
      <c r="FV40" s="56">
        <v>0</v>
      </c>
      <c r="FW40" s="56">
        <v>0</v>
      </c>
      <c r="FX40" s="56">
        <v>0</v>
      </c>
      <c r="FY40" s="56">
        <v>0</v>
      </c>
      <c r="FZ40" s="56">
        <v>0</v>
      </c>
      <c r="GA40" s="56">
        <v>0</v>
      </c>
      <c r="GB40" s="56">
        <v>0</v>
      </c>
    </row>
    <row r="41" spans="2:184" ht="29" x14ac:dyDescent="0.35">
      <c r="B41" s="584" t="s">
        <v>176</v>
      </c>
      <c r="C41" s="60">
        <v>66</v>
      </c>
      <c r="D41" s="226" t="s">
        <v>438</v>
      </c>
      <c r="E41" s="195">
        <v>45879</v>
      </c>
      <c r="F41" s="195">
        <v>46006</v>
      </c>
      <c r="G41" s="196">
        <f t="shared" si="24"/>
        <v>127</v>
      </c>
      <c r="H41" s="206">
        <f t="shared" si="33"/>
        <v>45879</v>
      </c>
      <c r="I41" s="206">
        <f t="shared" si="34"/>
        <v>46006</v>
      </c>
      <c r="J41" s="199" t="s">
        <v>17</v>
      </c>
      <c r="K41" s="200">
        <v>1360</v>
      </c>
      <c r="L41" s="201"/>
      <c r="M41" s="201"/>
      <c r="N41" s="198" t="str">
        <f t="shared" si="25"/>
        <v/>
      </c>
      <c r="O41" s="202" t="str">
        <f t="shared" si="26"/>
        <v>-</v>
      </c>
      <c r="P41" s="205">
        <f t="shared" si="32"/>
        <v>0</v>
      </c>
      <c r="Q41" s="207">
        <f t="shared" ref="Q41:Q42" si="35">SUMIF($U$2:$AT$2,"&lt;="&amp;$D$1,U41:AT41)</f>
        <v>0</v>
      </c>
      <c r="R41" s="204">
        <f t="shared" si="27"/>
        <v>1360</v>
      </c>
      <c r="S41" s="65">
        <f t="shared" si="31"/>
        <v>0</v>
      </c>
      <c r="T41" s="157">
        <f t="shared" si="12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</row>
    <row r="42" spans="2:184" x14ac:dyDescent="0.35">
      <c r="B42" s="584"/>
      <c r="C42" s="60">
        <v>67</v>
      </c>
      <c r="D42" s="226" t="s">
        <v>259</v>
      </c>
      <c r="E42" s="195">
        <v>45887</v>
      </c>
      <c r="F42" s="195">
        <v>46016</v>
      </c>
      <c r="G42" s="196">
        <f t="shared" si="24"/>
        <v>129</v>
      </c>
      <c r="H42" s="206">
        <f t="shared" si="33"/>
        <v>45887</v>
      </c>
      <c r="I42" s="206">
        <f t="shared" si="34"/>
        <v>46016</v>
      </c>
      <c r="J42" s="199" t="s">
        <v>17</v>
      </c>
      <c r="K42" s="200">
        <v>1360</v>
      </c>
      <c r="L42" s="201"/>
      <c r="M42" s="201"/>
      <c r="N42" s="198" t="str">
        <f t="shared" si="25"/>
        <v/>
      </c>
      <c r="O42" s="202" t="str">
        <f t="shared" si="26"/>
        <v>-</v>
      </c>
      <c r="P42" s="205">
        <f t="shared" si="32"/>
        <v>0</v>
      </c>
      <c r="Q42" s="207">
        <f t="shared" si="35"/>
        <v>0</v>
      </c>
      <c r="R42" s="204">
        <f t="shared" si="27"/>
        <v>1360</v>
      </c>
      <c r="S42" s="65">
        <f t="shared" si="31"/>
        <v>0</v>
      </c>
      <c r="T42" s="157">
        <f t="shared" si="12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68"/>
      <c r="CR42" s="168"/>
      <c r="CS42" s="168"/>
      <c r="CT42" s="168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</row>
    <row r="43" spans="2:184" ht="29" x14ac:dyDescent="0.35">
      <c r="B43" s="584"/>
      <c r="C43" s="60">
        <v>68</v>
      </c>
      <c r="D43" s="226" t="s">
        <v>258</v>
      </c>
      <c r="E43" s="195">
        <v>45849</v>
      </c>
      <c r="F43" s="195">
        <v>46010</v>
      </c>
      <c r="G43" s="196">
        <f t="shared" si="24"/>
        <v>161</v>
      </c>
      <c r="H43" s="206">
        <f t="shared" si="33"/>
        <v>45849</v>
      </c>
      <c r="I43" s="206">
        <f t="shared" si="34"/>
        <v>46010</v>
      </c>
      <c r="J43" s="199" t="s">
        <v>17</v>
      </c>
      <c r="K43" s="200">
        <v>1360</v>
      </c>
      <c r="L43" s="201"/>
      <c r="M43" s="201"/>
      <c r="N43" s="198" t="str">
        <f t="shared" ref="N43:N73" si="36">IF(OR(M43="",L43=""),"",INT(M43-L43+1))</f>
        <v/>
      </c>
      <c r="O43" s="202" t="str">
        <f t="shared" ref="O43:O73" si="37">IFERROR(K43/N43,"-")</f>
        <v>-</v>
      </c>
      <c r="P43" s="205">
        <f t="shared" ref="P43:P73" si="38">IFERROR(SUMIF($U$2:$AT$2,"&lt;="&amp;$D$1,U43:BN43)/K43,"-")</f>
        <v>0</v>
      </c>
      <c r="Q43" s="207">
        <f t="shared" ref="Q43:Q73" si="39">SUMIF($U$2:$AT$2,"&lt;="&amp;$D$1,U43:AT43)</f>
        <v>0</v>
      </c>
      <c r="R43" s="204">
        <f t="shared" ref="R43:R73" si="40">K43-Q43</f>
        <v>1360</v>
      </c>
      <c r="S43" s="65">
        <f t="shared" si="31"/>
        <v>0</v>
      </c>
      <c r="T43" s="157">
        <f t="shared" si="12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  <c r="CR43" s="168"/>
      <c r="CS43" s="168"/>
      <c r="CT43" s="168"/>
      <c r="CU43" s="168"/>
      <c r="CV43" s="168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</row>
    <row r="44" spans="2:184" x14ac:dyDescent="0.35">
      <c r="B44" s="584"/>
      <c r="C44" s="60">
        <v>69</v>
      </c>
      <c r="D44" s="226" t="s">
        <v>263</v>
      </c>
      <c r="E44" s="195">
        <v>45888</v>
      </c>
      <c r="F44" s="195">
        <v>46043</v>
      </c>
      <c r="G44" s="196">
        <f t="shared" si="24"/>
        <v>155</v>
      </c>
      <c r="H44" s="206">
        <f t="shared" si="33"/>
        <v>45888</v>
      </c>
      <c r="I44" s="206">
        <f t="shared" si="34"/>
        <v>46043</v>
      </c>
      <c r="J44" s="199" t="s">
        <v>17</v>
      </c>
      <c r="K44" s="200">
        <v>1360</v>
      </c>
      <c r="L44" s="201"/>
      <c r="M44" s="201"/>
      <c r="N44" s="198" t="str">
        <f t="shared" si="36"/>
        <v/>
      </c>
      <c r="O44" s="202" t="str">
        <f t="shared" si="37"/>
        <v>-</v>
      </c>
      <c r="P44" s="205">
        <f t="shared" si="38"/>
        <v>0</v>
      </c>
      <c r="Q44" s="207">
        <f t="shared" si="39"/>
        <v>0</v>
      </c>
      <c r="R44" s="204">
        <f t="shared" si="40"/>
        <v>1360</v>
      </c>
      <c r="S44" s="65">
        <f t="shared" si="31"/>
        <v>0</v>
      </c>
      <c r="T44" s="157">
        <f t="shared" si="12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</row>
    <row r="45" spans="2:184" ht="43.5" x14ac:dyDescent="0.35">
      <c r="B45" s="584"/>
      <c r="C45" s="60">
        <v>70</v>
      </c>
      <c r="D45" s="226" t="s">
        <v>264</v>
      </c>
      <c r="E45" s="195">
        <f>E44+45</f>
        <v>45933</v>
      </c>
      <c r="F45" s="195">
        <f>F44+7</f>
        <v>46050</v>
      </c>
      <c r="G45" s="196">
        <f t="shared" si="24"/>
        <v>117</v>
      </c>
      <c r="H45" s="206">
        <f t="shared" si="33"/>
        <v>45933</v>
      </c>
      <c r="I45" s="206">
        <f t="shared" si="34"/>
        <v>46050</v>
      </c>
      <c r="J45" s="199" t="s">
        <v>17</v>
      </c>
      <c r="K45" s="200">
        <v>1360</v>
      </c>
      <c r="L45" s="201"/>
      <c r="M45" s="201"/>
      <c r="N45" s="198" t="str">
        <f t="shared" si="36"/>
        <v/>
      </c>
      <c r="O45" s="202" t="str">
        <f t="shared" si="37"/>
        <v>-</v>
      </c>
      <c r="P45" s="205">
        <f t="shared" si="38"/>
        <v>0</v>
      </c>
      <c r="Q45" s="207">
        <f t="shared" si="39"/>
        <v>0</v>
      </c>
      <c r="R45" s="204">
        <f t="shared" si="40"/>
        <v>1360</v>
      </c>
      <c r="S45" s="65">
        <f t="shared" si="31"/>
        <v>0</v>
      </c>
      <c r="T45" s="157">
        <f t="shared" si="12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68"/>
      <c r="CX45" s="168"/>
      <c r="CY45" s="168"/>
      <c r="CZ45" s="168"/>
      <c r="DA45" s="168"/>
      <c r="DB45" s="168"/>
      <c r="DC45" s="168"/>
      <c r="DD45" s="168"/>
      <c r="DE45" s="168"/>
      <c r="DF45" s="168"/>
    </row>
    <row r="46" spans="2:184" ht="29" x14ac:dyDescent="0.35">
      <c r="B46" s="584"/>
      <c r="C46" s="60">
        <v>71</v>
      </c>
      <c r="D46" s="226" t="s">
        <v>437</v>
      </c>
      <c r="E46" s="195">
        <f>E44+40</f>
        <v>45928</v>
      </c>
      <c r="F46" s="195">
        <v>46051</v>
      </c>
      <c r="G46" s="196">
        <f t="shared" si="24"/>
        <v>123</v>
      </c>
      <c r="H46" s="206">
        <f t="shared" si="33"/>
        <v>45928</v>
      </c>
      <c r="I46" s="206">
        <f t="shared" si="34"/>
        <v>46051</v>
      </c>
      <c r="J46" s="199" t="s">
        <v>17</v>
      </c>
      <c r="K46" s="200">
        <v>1360</v>
      </c>
      <c r="L46" s="201"/>
      <c r="M46" s="201"/>
      <c r="N46" s="198" t="str">
        <f t="shared" si="36"/>
        <v/>
      </c>
      <c r="O46" s="202" t="str">
        <f t="shared" si="37"/>
        <v>-</v>
      </c>
      <c r="P46" s="205">
        <f t="shared" si="38"/>
        <v>0</v>
      </c>
      <c r="Q46" s="207">
        <f t="shared" si="39"/>
        <v>0</v>
      </c>
      <c r="R46" s="204">
        <f t="shared" si="40"/>
        <v>1360</v>
      </c>
      <c r="S46" s="65">
        <f t="shared" si="31"/>
        <v>0</v>
      </c>
      <c r="T46" s="157">
        <f t="shared" si="12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</row>
    <row r="47" spans="2:184" x14ac:dyDescent="0.35">
      <c r="B47" s="584"/>
      <c r="C47" s="60">
        <v>72</v>
      </c>
      <c r="D47" s="226" t="s">
        <v>260</v>
      </c>
      <c r="E47" s="195">
        <v>45856</v>
      </c>
      <c r="F47" s="195">
        <v>46011</v>
      </c>
      <c r="G47" s="196">
        <f t="shared" si="24"/>
        <v>155</v>
      </c>
      <c r="H47" s="206">
        <f t="shared" si="33"/>
        <v>45856</v>
      </c>
      <c r="I47" s="206">
        <f t="shared" si="34"/>
        <v>46011</v>
      </c>
      <c r="J47" s="199" t="s">
        <v>17</v>
      </c>
      <c r="K47" s="200">
        <v>1360</v>
      </c>
      <c r="L47" s="201"/>
      <c r="M47" s="201"/>
      <c r="N47" s="198" t="str">
        <f t="shared" si="36"/>
        <v/>
      </c>
      <c r="O47" s="202" t="str">
        <f t="shared" si="37"/>
        <v>-</v>
      </c>
      <c r="P47" s="205">
        <f t="shared" si="38"/>
        <v>0</v>
      </c>
      <c r="Q47" s="207">
        <f t="shared" si="39"/>
        <v>0</v>
      </c>
      <c r="R47" s="204">
        <f t="shared" si="40"/>
        <v>1360</v>
      </c>
      <c r="S47" s="65">
        <f t="shared" si="31"/>
        <v>0</v>
      </c>
      <c r="T47" s="157">
        <f t="shared" si="12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</row>
    <row r="48" spans="2:184" x14ac:dyDescent="0.35">
      <c r="B48" s="584"/>
      <c r="C48" s="60">
        <v>73</v>
      </c>
      <c r="D48" s="226" t="s">
        <v>261</v>
      </c>
      <c r="E48" s="195">
        <v>45859</v>
      </c>
      <c r="F48" s="195">
        <v>45996</v>
      </c>
      <c r="G48" s="196">
        <f t="shared" si="24"/>
        <v>137</v>
      </c>
      <c r="H48" s="206">
        <f t="shared" si="33"/>
        <v>45859</v>
      </c>
      <c r="I48" s="206">
        <f t="shared" si="34"/>
        <v>45996</v>
      </c>
      <c r="J48" s="199" t="s">
        <v>17</v>
      </c>
      <c r="K48" s="200">
        <v>1360</v>
      </c>
      <c r="L48" s="201"/>
      <c r="M48" s="201"/>
      <c r="N48" s="198" t="str">
        <f t="shared" si="36"/>
        <v/>
      </c>
      <c r="O48" s="202" t="str">
        <f t="shared" si="37"/>
        <v>-</v>
      </c>
      <c r="P48" s="205">
        <f t="shared" si="38"/>
        <v>0</v>
      </c>
      <c r="Q48" s="207">
        <f t="shared" si="39"/>
        <v>0</v>
      </c>
      <c r="R48" s="204">
        <f t="shared" si="40"/>
        <v>1360</v>
      </c>
      <c r="S48" s="65">
        <f t="shared" si="31"/>
        <v>0</v>
      </c>
      <c r="T48" s="157">
        <f t="shared" si="12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</row>
    <row r="49" spans="2:110" x14ac:dyDescent="0.35">
      <c r="B49" s="584"/>
      <c r="C49" s="60">
        <v>74</v>
      </c>
      <c r="D49" s="226" t="s">
        <v>179</v>
      </c>
      <c r="E49" s="195">
        <f>E48+45</f>
        <v>45904</v>
      </c>
      <c r="F49" s="195">
        <v>46001</v>
      </c>
      <c r="G49" s="196">
        <f t="shared" si="24"/>
        <v>97</v>
      </c>
      <c r="H49" s="206">
        <f t="shared" si="33"/>
        <v>45904</v>
      </c>
      <c r="I49" s="206">
        <f t="shared" si="34"/>
        <v>46001</v>
      </c>
      <c r="J49" s="199" t="s">
        <v>17</v>
      </c>
      <c r="K49" s="200">
        <v>1360</v>
      </c>
      <c r="L49" s="201"/>
      <c r="M49" s="201"/>
      <c r="N49" s="198" t="str">
        <f t="shared" si="36"/>
        <v/>
      </c>
      <c r="O49" s="202" t="str">
        <f t="shared" si="37"/>
        <v>-</v>
      </c>
      <c r="P49" s="205">
        <f t="shared" si="38"/>
        <v>0</v>
      </c>
      <c r="Q49" s="207">
        <f t="shared" si="39"/>
        <v>0</v>
      </c>
      <c r="R49" s="204">
        <f t="shared" si="40"/>
        <v>1360</v>
      </c>
      <c r="S49" s="65">
        <f t="shared" si="31"/>
        <v>0</v>
      </c>
      <c r="T49" s="157">
        <f t="shared" si="12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</row>
    <row r="50" spans="2:110" x14ac:dyDescent="0.35">
      <c r="B50" s="584"/>
      <c r="C50" s="60">
        <v>75</v>
      </c>
      <c r="D50" s="226" t="s">
        <v>262</v>
      </c>
      <c r="E50" s="195">
        <v>45889</v>
      </c>
      <c r="F50" s="195">
        <v>46017</v>
      </c>
      <c r="G50" s="196">
        <f t="shared" si="24"/>
        <v>128</v>
      </c>
      <c r="H50" s="206">
        <f t="shared" si="33"/>
        <v>45889</v>
      </c>
      <c r="I50" s="206">
        <f t="shared" si="34"/>
        <v>46017</v>
      </c>
      <c r="J50" s="199" t="s">
        <v>17</v>
      </c>
      <c r="K50" s="200">
        <v>1360</v>
      </c>
      <c r="L50" s="201"/>
      <c r="M50" s="201"/>
      <c r="N50" s="198" t="str">
        <f t="shared" si="36"/>
        <v/>
      </c>
      <c r="O50" s="202" t="str">
        <f t="shared" si="37"/>
        <v>-</v>
      </c>
      <c r="P50" s="205">
        <f t="shared" si="38"/>
        <v>0</v>
      </c>
      <c r="Q50" s="207">
        <f t="shared" si="39"/>
        <v>0</v>
      </c>
      <c r="R50" s="204">
        <f t="shared" si="40"/>
        <v>1360</v>
      </c>
      <c r="S50" s="65">
        <f t="shared" si="31"/>
        <v>0</v>
      </c>
      <c r="T50" s="157">
        <f t="shared" si="12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</row>
    <row r="51" spans="2:110" x14ac:dyDescent="0.35">
      <c r="B51" s="584" t="s">
        <v>180</v>
      </c>
      <c r="C51" s="60">
        <v>76</v>
      </c>
      <c r="D51" s="226" t="s">
        <v>265</v>
      </c>
      <c r="E51" s="195">
        <v>45912</v>
      </c>
      <c r="F51" s="195">
        <v>45982</v>
      </c>
      <c r="G51" s="196">
        <f t="shared" si="24"/>
        <v>70</v>
      </c>
      <c r="H51" s="206">
        <f t="shared" si="33"/>
        <v>45912</v>
      </c>
      <c r="I51" s="206">
        <f t="shared" si="34"/>
        <v>45982</v>
      </c>
      <c r="J51" s="199" t="s">
        <v>107</v>
      </c>
      <c r="K51" s="200">
        <v>74</v>
      </c>
      <c r="L51" s="201"/>
      <c r="M51" s="201"/>
      <c r="N51" s="198" t="str">
        <f t="shared" si="36"/>
        <v/>
      </c>
      <c r="O51" s="202" t="str">
        <f t="shared" si="37"/>
        <v>-</v>
      </c>
      <c r="P51" s="205">
        <f t="shared" si="38"/>
        <v>0</v>
      </c>
      <c r="Q51" s="207">
        <f t="shared" si="39"/>
        <v>0</v>
      </c>
      <c r="R51" s="204">
        <f t="shared" si="40"/>
        <v>74</v>
      </c>
      <c r="S51" s="65">
        <f t="shared" si="31"/>
        <v>0</v>
      </c>
      <c r="T51" s="157">
        <f t="shared" si="12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68"/>
      <c r="DB51" s="168"/>
      <c r="DC51" s="168"/>
      <c r="DD51" s="168"/>
      <c r="DE51" s="168"/>
      <c r="DF51" s="168"/>
    </row>
    <row r="52" spans="2:110" ht="29" x14ac:dyDescent="0.35">
      <c r="B52" s="584"/>
      <c r="C52" s="60">
        <v>77</v>
      </c>
      <c r="D52" s="226" t="s">
        <v>181</v>
      </c>
      <c r="E52" s="195">
        <v>45912</v>
      </c>
      <c r="F52" s="195">
        <v>45982</v>
      </c>
      <c r="G52" s="196">
        <f t="shared" si="24"/>
        <v>70</v>
      </c>
      <c r="H52" s="206">
        <f t="shared" si="33"/>
        <v>45912</v>
      </c>
      <c r="I52" s="206">
        <f t="shared" si="34"/>
        <v>45982</v>
      </c>
      <c r="J52" s="199" t="s">
        <v>107</v>
      </c>
      <c r="K52" s="200">
        <v>26</v>
      </c>
      <c r="L52" s="201"/>
      <c r="M52" s="201"/>
      <c r="N52" s="198" t="str">
        <f t="shared" si="36"/>
        <v/>
      </c>
      <c r="O52" s="202" t="str">
        <f t="shared" si="37"/>
        <v>-</v>
      </c>
      <c r="P52" s="205">
        <f t="shared" si="38"/>
        <v>0</v>
      </c>
      <c r="Q52" s="207">
        <f t="shared" si="39"/>
        <v>0</v>
      </c>
      <c r="R52" s="204">
        <f t="shared" si="40"/>
        <v>26</v>
      </c>
      <c r="S52" s="65">
        <f t="shared" si="31"/>
        <v>0</v>
      </c>
      <c r="T52" s="157">
        <f t="shared" si="12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</row>
    <row r="53" spans="2:110" ht="29" x14ac:dyDescent="0.35">
      <c r="B53" s="584"/>
      <c r="C53" s="60">
        <v>78</v>
      </c>
      <c r="D53" s="226" t="s">
        <v>182</v>
      </c>
      <c r="E53" s="195">
        <v>45919</v>
      </c>
      <c r="F53" s="195">
        <v>45994</v>
      </c>
      <c r="G53" s="196">
        <f t="shared" si="24"/>
        <v>75</v>
      </c>
      <c r="H53" s="206">
        <f t="shared" si="33"/>
        <v>45919</v>
      </c>
      <c r="I53" s="206">
        <f t="shared" si="34"/>
        <v>45994</v>
      </c>
      <c r="J53" s="199" t="s">
        <v>107</v>
      </c>
      <c r="K53" s="200">
        <v>26</v>
      </c>
      <c r="L53" s="201"/>
      <c r="M53" s="201"/>
      <c r="N53" s="198" t="str">
        <f t="shared" si="36"/>
        <v/>
      </c>
      <c r="O53" s="202" t="str">
        <f t="shared" si="37"/>
        <v>-</v>
      </c>
      <c r="P53" s="205">
        <f t="shared" si="38"/>
        <v>0</v>
      </c>
      <c r="Q53" s="207">
        <f t="shared" si="39"/>
        <v>0</v>
      </c>
      <c r="R53" s="204">
        <f t="shared" si="40"/>
        <v>26</v>
      </c>
      <c r="S53" s="65">
        <f t="shared" si="31"/>
        <v>0</v>
      </c>
      <c r="T53" s="157">
        <f t="shared" si="12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  <c r="CR53" s="168"/>
      <c r="CS53" s="168"/>
      <c r="CT53" s="168"/>
      <c r="CU53" s="168"/>
      <c r="CV53" s="168"/>
      <c r="CW53" s="168"/>
      <c r="CX53" s="168"/>
      <c r="CY53" s="168"/>
      <c r="CZ53" s="168"/>
      <c r="DA53" s="168"/>
      <c r="DB53" s="168"/>
      <c r="DC53" s="168"/>
      <c r="DD53" s="168"/>
      <c r="DE53" s="168"/>
      <c r="DF53" s="168"/>
    </row>
    <row r="54" spans="2:110" x14ac:dyDescent="0.35">
      <c r="B54" s="584"/>
      <c r="C54" s="60">
        <v>79</v>
      </c>
      <c r="D54" s="226" t="s">
        <v>183</v>
      </c>
      <c r="E54" s="195">
        <v>45919</v>
      </c>
      <c r="F54" s="195">
        <v>45959</v>
      </c>
      <c r="G54" s="196">
        <f t="shared" si="24"/>
        <v>40</v>
      </c>
      <c r="H54" s="206">
        <f t="shared" si="33"/>
        <v>45919</v>
      </c>
      <c r="I54" s="206">
        <f t="shared" si="34"/>
        <v>45959</v>
      </c>
      <c r="J54" s="199" t="s">
        <v>107</v>
      </c>
      <c r="K54" s="200">
        <v>26</v>
      </c>
      <c r="L54" s="201"/>
      <c r="M54" s="201"/>
      <c r="N54" s="198" t="str">
        <f t="shared" si="36"/>
        <v/>
      </c>
      <c r="O54" s="202" t="str">
        <f t="shared" si="37"/>
        <v>-</v>
      </c>
      <c r="P54" s="205">
        <f t="shared" si="38"/>
        <v>0</v>
      </c>
      <c r="Q54" s="207">
        <f t="shared" si="39"/>
        <v>0</v>
      </c>
      <c r="R54" s="204">
        <f t="shared" si="40"/>
        <v>26</v>
      </c>
      <c r="S54" s="65">
        <f t="shared" si="31"/>
        <v>0</v>
      </c>
      <c r="T54" s="157">
        <f t="shared" si="12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</row>
    <row r="55" spans="2:110" ht="29" x14ac:dyDescent="0.35">
      <c r="B55" s="584"/>
      <c r="C55" s="60">
        <v>80</v>
      </c>
      <c r="D55" s="226" t="s">
        <v>184</v>
      </c>
      <c r="E55" s="195">
        <v>45913</v>
      </c>
      <c r="F55" s="195">
        <v>45943</v>
      </c>
      <c r="G55" s="196">
        <f t="shared" si="24"/>
        <v>30</v>
      </c>
      <c r="H55" s="206">
        <f t="shared" si="33"/>
        <v>45913</v>
      </c>
      <c r="I55" s="206">
        <f t="shared" si="34"/>
        <v>45943</v>
      </c>
      <c r="J55" s="199" t="s">
        <v>107</v>
      </c>
      <c r="K55" s="200">
        <v>26</v>
      </c>
      <c r="L55" s="201"/>
      <c r="M55" s="201"/>
      <c r="N55" s="198" t="str">
        <f t="shared" si="36"/>
        <v/>
      </c>
      <c r="O55" s="202" t="str">
        <f t="shared" si="37"/>
        <v>-</v>
      </c>
      <c r="P55" s="205">
        <f t="shared" si="38"/>
        <v>0</v>
      </c>
      <c r="Q55" s="207">
        <f t="shared" si="39"/>
        <v>0</v>
      </c>
      <c r="R55" s="204">
        <f t="shared" si="40"/>
        <v>26</v>
      </c>
      <c r="S55" s="65">
        <f t="shared" si="31"/>
        <v>0</v>
      </c>
      <c r="T55" s="157">
        <f t="shared" ref="T55:T118" si="41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8"/>
      <c r="DF55" s="168"/>
    </row>
    <row r="56" spans="2:110" x14ac:dyDescent="0.35">
      <c r="B56" s="584"/>
      <c r="C56" s="60">
        <v>82</v>
      </c>
      <c r="D56" s="226" t="s">
        <v>266</v>
      </c>
      <c r="E56" s="195">
        <v>45912</v>
      </c>
      <c r="F56" s="195">
        <v>45942</v>
      </c>
      <c r="G56" s="196">
        <f t="shared" si="24"/>
        <v>30</v>
      </c>
      <c r="H56" s="206">
        <f t="shared" si="33"/>
        <v>45912</v>
      </c>
      <c r="I56" s="206">
        <f t="shared" si="34"/>
        <v>45942</v>
      </c>
      <c r="J56" s="199" t="s">
        <v>107</v>
      </c>
      <c r="K56" s="200">
        <v>26</v>
      </c>
      <c r="L56" s="201"/>
      <c r="M56" s="201"/>
      <c r="N56" s="198" t="str">
        <f t="shared" si="36"/>
        <v/>
      </c>
      <c r="O56" s="202" t="str">
        <f t="shared" si="37"/>
        <v>-</v>
      </c>
      <c r="P56" s="205">
        <f t="shared" si="38"/>
        <v>0</v>
      </c>
      <c r="Q56" s="207">
        <f t="shared" si="39"/>
        <v>0</v>
      </c>
      <c r="R56" s="204">
        <f t="shared" si="40"/>
        <v>26</v>
      </c>
      <c r="S56" s="65">
        <f t="shared" si="31"/>
        <v>0</v>
      </c>
      <c r="T56" s="157">
        <f t="shared" si="41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</row>
    <row r="57" spans="2:110" x14ac:dyDescent="0.35">
      <c r="B57" s="584"/>
      <c r="C57" s="60">
        <v>83</v>
      </c>
      <c r="D57" s="226" t="s">
        <v>186</v>
      </c>
      <c r="E57" s="195">
        <v>45940</v>
      </c>
      <c r="F57" s="195">
        <v>45991</v>
      </c>
      <c r="G57" s="196">
        <f t="shared" si="24"/>
        <v>51</v>
      </c>
      <c r="H57" s="206">
        <f t="shared" si="33"/>
        <v>45940</v>
      </c>
      <c r="I57" s="206">
        <f t="shared" si="34"/>
        <v>45991</v>
      </c>
      <c r="J57" s="199" t="s">
        <v>2</v>
      </c>
      <c r="K57" s="200">
        <v>26</v>
      </c>
      <c r="L57" s="201"/>
      <c r="M57" s="201"/>
      <c r="N57" s="198" t="str">
        <f t="shared" si="36"/>
        <v/>
      </c>
      <c r="O57" s="202" t="str">
        <f t="shared" si="37"/>
        <v>-</v>
      </c>
      <c r="P57" s="205">
        <f t="shared" si="38"/>
        <v>0</v>
      </c>
      <c r="Q57" s="207">
        <f t="shared" si="39"/>
        <v>0</v>
      </c>
      <c r="R57" s="204">
        <f t="shared" si="40"/>
        <v>26</v>
      </c>
      <c r="S57" s="65">
        <f t="shared" si="31"/>
        <v>0</v>
      </c>
      <c r="T57" s="157">
        <f t="shared" si="41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</row>
    <row r="58" spans="2:110" x14ac:dyDescent="0.35">
      <c r="B58" s="584"/>
      <c r="C58" s="60">
        <v>84</v>
      </c>
      <c r="D58" s="226" t="s">
        <v>187</v>
      </c>
      <c r="E58" s="195">
        <v>45945</v>
      </c>
      <c r="F58" s="195">
        <v>45996</v>
      </c>
      <c r="G58" s="196">
        <f t="shared" si="24"/>
        <v>51</v>
      </c>
      <c r="H58" s="206">
        <f t="shared" si="33"/>
        <v>45945</v>
      </c>
      <c r="I58" s="206">
        <f t="shared" si="34"/>
        <v>45996</v>
      </c>
      <c r="J58" s="199" t="s">
        <v>2</v>
      </c>
      <c r="K58" s="200">
        <v>26</v>
      </c>
      <c r="L58" s="201"/>
      <c r="M58" s="201"/>
      <c r="N58" s="198" t="str">
        <f t="shared" si="36"/>
        <v/>
      </c>
      <c r="O58" s="202" t="str">
        <f t="shared" si="37"/>
        <v>-</v>
      </c>
      <c r="P58" s="205">
        <f t="shared" si="38"/>
        <v>0</v>
      </c>
      <c r="Q58" s="207">
        <f t="shared" si="39"/>
        <v>0</v>
      </c>
      <c r="R58" s="204">
        <f t="shared" si="40"/>
        <v>26</v>
      </c>
      <c r="S58" s="65">
        <f t="shared" si="31"/>
        <v>0</v>
      </c>
      <c r="T58" s="157">
        <f t="shared" si="41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8"/>
      <c r="CT58" s="168"/>
      <c r="CU58" s="168"/>
      <c r="CV58" s="168"/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</row>
    <row r="59" spans="2:110" ht="29" x14ac:dyDescent="0.35">
      <c r="B59" s="584"/>
      <c r="C59" s="60">
        <v>85</v>
      </c>
      <c r="D59" s="226" t="s">
        <v>188</v>
      </c>
      <c r="E59" s="195">
        <v>45931</v>
      </c>
      <c r="F59" s="195">
        <v>45979</v>
      </c>
      <c r="G59" s="196">
        <f t="shared" si="24"/>
        <v>48</v>
      </c>
      <c r="H59" s="195">
        <f t="shared" si="33"/>
        <v>45931</v>
      </c>
      <c r="I59" s="195">
        <f t="shared" si="34"/>
        <v>45979</v>
      </c>
      <c r="J59" s="199" t="s">
        <v>2</v>
      </c>
      <c r="K59" s="200">
        <v>26</v>
      </c>
      <c r="L59" s="201"/>
      <c r="M59" s="201"/>
      <c r="N59" s="198" t="str">
        <f t="shared" si="36"/>
        <v/>
      </c>
      <c r="O59" s="202" t="str">
        <f t="shared" si="37"/>
        <v>-</v>
      </c>
      <c r="P59" s="205">
        <f t="shared" si="38"/>
        <v>0</v>
      </c>
      <c r="Q59" s="207">
        <f t="shared" si="39"/>
        <v>0</v>
      </c>
      <c r="R59" s="204">
        <f t="shared" si="40"/>
        <v>26</v>
      </c>
      <c r="S59" s="65">
        <f t="shared" si="31"/>
        <v>0</v>
      </c>
      <c r="T59" s="157">
        <f t="shared" si="41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  <c r="CO59" s="168"/>
      <c r="CP59" s="168"/>
      <c r="CQ59" s="168"/>
      <c r="CR59" s="168"/>
      <c r="CS59" s="168"/>
      <c r="CT59" s="168"/>
      <c r="CU59" s="168"/>
      <c r="CV59" s="168"/>
      <c r="CW59" s="168"/>
      <c r="CX59" s="168"/>
      <c r="CY59" s="168"/>
      <c r="CZ59" s="168"/>
      <c r="DA59" s="168"/>
      <c r="DB59" s="168"/>
      <c r="DC59" s="168"/>
      <c r="DD59" s="168"/>
      <c r="DE59" s="168"/>
      <c r="DF59" s="168"/>
    </row>
    <row r="60" spans="2:110" x14ac:dyDescent="0.35">
      <c r="B60" s="584"/>
      <c r="C60" s="60">
        <v>86</v>
      </c>
      <c r="D60" s="226" t="s">
        <v>16</v>
      </c>
      <c r="E60" s="195">
        <v>45935</v>
      </c>
      <c r="F60" s="195">
        <v>46021</v>
      </c>
      <c r="G60" s="196">
        <f t="shared" si="24"/>
        <v>86</v>
      </c>
      <c r="H60" s="195">
        <f t="shared" si="33"/>
        <v>45935</v>
      </c>
      <c r="I60" s="195">
        <f t="shared" si="34"/>
        <v>46021</v>
      </c>
      <c r="J60" s="199" t="s">
        <v>2</v>
      </c>
      <c r="K60" s="200">
        <v>26</v>
      </c>
      <c r="L60" s="201"/>
      <c r="M60" s="201"/>
      <c r="N60" s="198" t="str">
        <f t="shared" si="36"/>
        <v/>
      </c>
      <c r="O60" s="202" t="str">
        <f t="shared" si="37"/>
        <v>-</v>
      </c>
      <c r="P60" s="205">
        <f t="shared" si="38"/>
        <v>0</v>
      </c>
      <c r="Q60" s="207">
        <f t="shared" si="39"/>
        <v>0</v>
      </c>
      <c r="R60" s="204">
        <f t="shared" si="40"/>
        <v>26</v>
      </c>
      <c r="S60" s="65">
        <f t="shared" si="31"/>
        <v>0</v>
      </c>
      <c r="T60" s="157">
        <f t="shared" si="41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</row>
    <row r="61" spans="2:110" x14ac:dyDescent="0.35">
      <c r="B61" s="584"/>
      <c r="C61" s="60">
        <v>87</v>
      </c>
      <c r="D61" s="226" t="s">
        <v>189</v>
      </c>
      <c r="E61" s="195">
        <v>45940</v>
      </c>
      <c r="F61" s="195">
        <v>46021</v>
      </c>
      <c r="G61" s="196">
        <f t="shared" si="24"/>
        <v>81</v>
      </c>
      <c r="H61" s="195">
        <f t="shared" si="33"/>
        <v>45940</v>
      </c>
      <c r="I61" s="195">
        <f t="shared" si="34"/>
        <v>46021</v>
      </c>
      <c r="J61" s="199" t="s">
        <v>2</v>
      </c>
      <c r="K61" s="200">
        <v>26</v>
      </c>
      <c r="L61" s="201"/>
      <c r="M61" s="201"/>
      <c r="N61" s="198" t="str">
        <f t="shared" si="36"/>
        <v/>
      </c>
      <c r="O61" s="202" t="str">
        <f t="shared" si="37"/>
        <v>-</v>
      </c>
      <c r="P61" s="205">
        <f t="shared" si="38"/>
        <v>0</v>
      </c>
      <c r="Q61" s="207">
        <f t="shared" si="39"/>
        <v>0</v>
      </c>
      <c r="R61" s="204">
        <f t="shared" si="40"/>
        <v>26</v>
      </c>
      <c r="S61" s="65">
        <f t="shared" si="31"/>
        <v>0</v>
      </c>
      <c r="T61" s="157">
        <f t="shared" si="41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</row>
    <row r="62" spans="2:110" x14ac:dyDescent="0.35">
      <c r="B62" s="584"/>
      <c r="C62" s="60">
        <v>88</v>
      </c>
      <c r="D62" s="226" t="s">
        <v>179</v>
      </c>
      <c r="E62" s="195">
        <v>45986</v>
      </c>
      <c r="F62" s="195">
        <v>46027</v>
      </c>
      <c r="G62" s="196">
        <f t="shared" si="24"/>
        <v>41</v>
      </c>
      <c r="H62" s="195">
        <f t="shared" ref="H62:H91" si="42">E62</f>
        <v>45986</v>
      </c>
      <c r="I62" s="195">
        <f t="shared" ref="I62:I91" si="43">F62</f>
        <v>46027</v>
      </c>
      <c r="J62" s="199" t="s">
        <v>2</v>
      </c>
      <c r="K62" s="200">
        <v>26</v>
      </c>
      <c r="L62" s="201"/>
      <c r="M62" s="201"/>
      <c r="N62" s="198" t="str">
        <f t="shared" si="36"/>
        <v/>
      </c>
      <c r="O62" s="202" t="str">
        <f t="shared" si="37"/>
        <v>-</v>
      </c>
      <c r="P62" s="205">
        <f t="shared" si="38"/>
        <v>0</v>
      </c>
      <c r="Q62" s="207">
        <f t="shared" si="39"/>
        <v>0</v>
      </c>
      <c r="R62" s="204">
        <f t="shared" si="40"/>
        <v>26</v>
      </c>
      <c r="S62" s="65">
        <f t="shared" si="31"/>
        <v>0</v>
      </c>
      <c r="T62" s="157">
        <f t="shared" si="41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</row>
    <row r="63" spans="2:110" x14ac:dyDescent="0.35">
      <c r="B63" s="584" t="s">
        <v>190</v>
      </c>
      <c r="C63" s="60">
        <v>89</v>
      </c>
      <c r="D63" s="226" t="s">
        <v>191</v>
      </c>
      <c r="E63" s="195">
        <v>45950</v>
      </c>
      <c r="F63" s="195">
        <v>45976</v>
      </c>
      <c r="G63" s="196">
        <f t="shared" si="24"/>
        <v>26</v>
      </c>
      <c r="H63" s="195">
        <f t="shared" si="42"/>
        <v>45950</v>
      </c>
      <c r="I63" s="195">
        <f t="shared" si="43"/>
        <v>45976</v>
      </c>
      <c r="J63" s="199" t="s">
        <v>11</v>
      </c>
      <c r="K63" s="200">
        <v>1</v>
      </c>
      <c r="L63" s="201"/>
      <c r="M63" s="201"/>
      <c r="N63" s="198" t="str">
        <f t="shared" si="36"/>
        <v/>
      </c>
      <c r="O63" s="202" t="str">
        <f t="shared" si="37"/>
        <v>-</v>
      </c>
      <c r="P63" s="205">
        <f t="shared" si="38"/>
        <v>0</v>
      </c>
      <c r="Q63" s="207">
        <f t="shared" si="39"/>
        <v>0</v>
      </c>
      <c r="R63" s="204">
        <f t="shared" si="40"/>
        <v>1</v>
      </c>
      <c r="S63" s="65">
        <f t="shared" si="31"/>
        <v>0</v>
      </c>
      <c r="T63" s="157">
        <f t="shared" si="41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</row>
    <row r="64" spans="2:110" x14ac:dyDescent="0.35">
      <c r="B64" s="584"/>
      <c r="C64" s="60">
        <v>90</v>
      </c>
      <c r="D64" s="226" t="s">
        <v>192</v>
      </c>
      <c r="E64" s="195">
        <v>45919</v>
      </c>
      <c r="F64" s="195">
        <v>45959</v>
      </c>
      <c r="G64" s="196">
        <f t="shared" si="24"/>
        <v>40</v>
      </c>
      <c r="H64" s="195">
        <f t="shared" si="42"/>
        <v>45919</v>
      </c>
      <c r="I64" s="195">
        <f t="shared" si="43"/>
        <v>45959</v>
      </c>
      <c r="J64" s="199" t="s">
        <v>11</v>
      </c>
      <c r="K64" s="200">
        <v>1</v>
      </c>
      <c r="L64" s="201"/>
      <c r="M64" s="201"/>
      <c r="N64" s="198" t="str">
        <f t="shared" si="36"/>
        <v/>
      </c>
      <c r="O64" s="202" t="str">
        <f t="shared" si="37"/>
        <v>-</v>
      </c>
      <c r="P64" s="205">
        <f t="shared" si="38"/>
        <v>0</v>
      </c>
      <c r="Q64" s="207">
        <f t="shared" si="39"/>
        <v>0</v>
      </c>
      <c r="R64" s="204">
        <f t="shared" si="40"/>
        <v>1</v>
      </c>
      <c r="S64" s="65">
        <f t="shared" si="31"/>
        <v>0</v>
      </c>
      <c r="T64" s="157">
        <f t="shared" si="41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  <c r="DF64" s="168"/>
    </row>
    <row r="65" spans="2:110" x14ac:dyDescent="0.35">
      <c r="B65" s="584"/>
      <c r="C65" s="60">
        <v>91</v>
      </c>
      <c r="D65" s="226" t="s">
        <v>193</v>
      </c>
      <c r="E65" s="195">
        <v>45935</v>
      </c>
      <c r="F65" s="195">
        <v>45971</v>
      </c>
      <c r="G65" s="196">
        <f t="shared" si="24"/>
        <v>36</v>
      </c>
      <c r="H65" s="195">
        <f t="shared" si="42"/>
        <v>45935</v>
      </c>
      <c r="I65" s="195">
        <f t="shared" si="43"/>
        <v>45971</v>
      </c>
      <c r="J65" s="199" t="s">
        <v>11</v>
      </c>
      <c r="K65" s="200">
        <v>1</v>
      </c>
      <c r="L65" s="201"/>
      <c r="M65" s="201"/>
      <c r="N65" s="198" t="str">
        <f t="shared" si="36"/>
        <v/>
      </c>
      <c r="O65" s="202" t="str">
        <f t="shared" si="37"/>
        <v>-</v>
      </c>
      <c r="P65" s="205">
        <f t="shared" si="38"/>
        <v>0</v>
      </c>
      <c r="Q65" s="207">
        <f t="shared" si="39"/>
        <v>0</v>
      </c>
      <c r="R65" s="204">
        <f t="shared" si="40"/>
        <v>1</v>
      </c>
      <c r="S65" s="65">
        <f t="shared" si="31"/>
        <v>0</v>
      </c>
      <c r="T65" s="157">
        <f t="shared" si="41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168"/>
      <c r="DB65" s="168"/>
      <c r="DC65" s="168"/>
      <c r="DD65" s="168"/>
      <c r="DE65" s="168"/>
      <c r="DF65" s="168"/>
    </row>
    <row r="66" spans="2:110" ht="29" x14ac:dyDescent="0.35">
      <c r="B66" s="584"/>
      <c r="C66" s="60">
        <v>92</v>
      </c>
      <c r="D66" s="226" t="s">
        <v>194</v>
      </c>
      <c r="E66" s="195">
        <v>45996</v>
      </c>
      <c r="F66" s="195">
        <v>46027</v>
      </c>
      <c r="G66" s="196">
        <f t="shared" si="24"/>
        <v>31</v>
      </c>
      <c r="H66" s="195">
        <f t="shared" si="42"/>
        <v>45996</v>
      </c>
      <c r="I66" s="195">
        <f t="shared" si="43"/>
        <v>46027</v>
      </c>
      <c r="J66" s="199" t="s">
        <v>11</v>
      </c>
      <c r="K66" s="200">
        <v>1</v>
      </c>
      <c r="L66" s="201"/>
      <c r="M66" s="201"/>
      <c r="N66" s="198" t="str">
        <f t="shared" si="36"/>
        <v/>
      </c>
      <c r="O66" s="202" t="str">
        <f t="shared" si="37"/>
        <v>-</v>
      </c>
      <c r="P66" s="205">
        <f t="shared" si="38"/>
        <v>0</v>
      </c>
      <c r="Q66" s="207">
        <f t="shared" si="39"/>
        <v>0</v>
      </c>
      <c r="R66" s="204">
        <f t="shared" si="40"/>
        <v>1</v>
      </c>
      <c r="S66" s="65">
        <f t="shared" si="31"/>
        <v>0</v>
      </c>
      <c r="T66" s="157">
        <f t="shared" si="41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</row>
    <row r="67" spans="2:110" x14ac:dyDescent="0.35">
      <c r="B67" s="584"/>
      <c r="C67" s="60">
        <v>93</v>
      </c>
      <c r="D67" s="226" t="s">
        <v>429</v>
      </c>
      <c r="E67" s="195">
        <v>46024</v>
      </c>
      <c r="F67" s="195">
        <v>46042</v>
      </c>
      <c r="G67" s="196">
        <f t="shared" si="24"/>
        <v>18</v>
      </c>
      <c r="H67" s="195">
        <f t="shared" si="42"/>
        <v>46024</v>
      </c>
      <c r="I67" s="195">
        <f t="shared" si="43"/>
        <v>46042</v>
      </c>
      <c r="J67" s="199" t="s">
        <v>11</v>
      </c>
      <c r="K67" s="200">
        <v>1</v>
      </c>
      <c r="L67" s="201"/>
      <c r="M67" s="201"/>
      <c r="N67" s="198" t="str">
        <f t="shared" si="36"/>
        <v/>
      </c>
      <c r="O67" s="202" t="str">
        <f t="shared" si="37"/>
        <v>-</v>
      </c>
      <c r="P67" s="205">
        <f t="shared" si="38"/>
        <v>0</v>
      </c>
      <c r="Q67" s="207">
        <f t="shared" si="39"/>
        <v>0</v>
      </c>
      <c r="R67" s="204">
        <f t="shared" si="40"/>
        <v>1</v>
      </c>
      <c r="S67" s="65">
        <f t="shared" si="31"/>
        <v>0</v>
      </c>
      <c r="T67" s="157">
        <f t="shared" si="41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</row>
    <row r="68" spans="2:110" ht="29" x14ac:dyDescent="0.35">
      <c r="B68" s="584"/>
      <c r="C68" s="60">
        <v>94</v>
      </c>
      <c r="D68" s="226" t="s">
        <v>196</v>
      </c>
      <c r="E68" s="195">
        <v>46016</v>
      </c>
      <c r="F68" s="195">
        <f>E68+8</f>
        <v>46024</v>
      </c>
      <c r="G68" s="196">
        <f t="shared" si="24"/>
        <v>8</v>
      </c>
      <c r="H68" s="195">
        <f t="shared" si="42"/>
        <v>46016</v>
      </c>
      <c r="I68" s="195">
        <f t="shared" si="43"/>
        <v>46024</v>
      </c>
      <c r="J68" s="199" t="s">
        <v>11</v>
      </c>
      <c r="K68" s="200">
        <v>1</v>
      </c>
      <c r="L68" s="201"/>
      <c r="M68" s="201"/>
      <c r="N68" s="198" t="str">
        <f t="shared" si="36"/>
        <v/>
      </c>
      <c r="O68" s="202" t="str">
        <f t="shared" si="37"/>
        <v>-</v>
      </c>
      <c r="P68" s="205">
        <f t="shared" si="38"/>
        <v>0</v>
      </c>
      <c r="Q68" s="207">
        <f t="shared" si="39"/>
        <v>0</v>
      </c>
      <c r="R68" s="204">
        <f t="shared" si="40"/>
        <v>1</v>
      </c>
      <c r="S68" s="65">
        <f t="shared" ref="S68:S99" si="44">SUM(U68:XFD68)</f>
        <v>0</v>
      </c>
      <c r="T68" s="157">
        <f t="shared" si="41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8"/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</row>
    <row r="69" spans="2:110" ht="29" x14ac:dyDescent="0.35">
      <c r="B69" s="584"/>
      <c r="C69" s="60">
        <v>95</v>
      </c>
      <c r="D69" s="226" t="s">
        <v>197</v>
      </c>
      <c r="E69" s="195">
        <v>46011</v>
      </c>
      <c r="F69" s="195">
        <f>E69+8</f>
        <v>46019</v>
      </c>
      <c r="G69" s="196">
        <f t="shared" si="24"/>
        <v>8</v>
      </c>
      <c r="H69" s="195">
        <f t="shared" si="42"/>
        <v>46011</v>
      </c>
      <c r="I69" s="195">
        <f t="shared" si="43"/>
        <v>46019</v>
      </c>
      <c r="J69" s="199" t="s">
        <v>11</v>
      </c>
      <c r="K69" s="200">
        <v>1</v>
      </c>
      <c r="L69" s="201"/>
      <c r="M69" s="201"/>
      <c r="N69" s="198" t="str">
        <f t="shared" si="36"/>
        <v/>
      </c>
      <c r="O69" s="202" t="str">
        <f t="shared" si="37"/>
        <v>-</v>
      </c>
      <c r="P69" s="205">
        <f t="shared" si="38"/>
        <v>0</v>
      </c>
      <c r="Q69" s="207">
        <f t="shared" si="39"/>
        <v>0</v>
      </c>
      <c r="R69" s="204">
        <f t="shared" si="40"/>
        <v>1</v>
      </c>
      <c r="S69" s="65">
        <f t="shared" si="44"/>
        <v>0</v>
      </c>
      <c r="T69" s="157">
        <f t="shared" si="41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168"/>
      <c r="CQ69" s="168"/>
      <c r="CR69" s="168"/>
      <c r="CS69" s="168"/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</row>
    <row r="70" spans="2:110" x14ac:dyDescent="0.35">
      <c r="B70" s="584"/>
      <c r="C70" s="60">
        <v>96</v>
      </c>
      <c r="D70" s="226" t="s">
        <v>198</v>
      </c>
      <c r="E70" s="195">
        <f>F69</f>
        <v>46019</v>
      </c>
      <c r="F70" s="195">
        <f>E70+8</f>
        <v>46027</v>
      </c>
      <c r="G70" s="196">
        <f t="shared" si="24"/>
        <v>8</v>
      </c>
      <c r="H70" s="195">
        <f t="shared" si="42"/>
        <v>46019</v>
      </c>
      <c r="I70" s="195">
        <f t="shared" si="43"/>
        <v>46027</v>
      </c>
      <c r="J70" s="199" t="s">
        <v>11</v>
      </c>
      <c r="K70" s="200">
        <v>1</v>
      </c>
      <c r="L70" s="201"/>
      <c r="M70" s="201"/>
      <c r="N70" s="198" t="str">
        <f t="shared" si="36"/>
        <v/>
      </c>
      <c r="O70" s="202" t="str">
        <f t="shared" si="37"/>
        <v>-</v>
      </c>
      <c r="P70" s="205">
        <f t="shared" si="38"/>
        <v>0</v>
      </c>
      <c r="Q70" s="207">
        <f t="shared" si="39"/>
        <v>0</v>
      </c>
      <c r="R70" s="204">
        <f t="shared" si="40"/>
        <v>1</v>
      </c>
      <c r="S70" s="65">
        <f t="shared" si="44"/>
        <v>0</v>
      </c>
      <c r="T70" s="157">
        <f t="shared" si="41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168"/>
      <c r="CQ70" s="168"/>
      <c r="CR70" s="168"/>
      <c r="CS70" s="168"/>
      <c r="CT70" s="168"/>
      <c r="CU70" s="168"/>
      <c r="CV70" s="168"/>
      <c r="CW70" s="168"/>
      <c r="CX70" s="168"/>
      <c r="CY70" s="168"/>
      <c r="CZ70" s="168"/>
      <c r="DA70" s="168"/>
      <c r="DB70" s="168"/>
      <c r="DC70" s="168"/>
      <c r="DD70" s="168"/>
      <c r="DE70" s="168"/>
      <c r="DF70" s="168"/>
    </row>
    <row r="71" spans="2:110" x14ac:dyDescent="0.35">
      <c r="B71" s="584"/>
      <c r="C71" s="60">
        <v>97</v>
      </c>
      <c r="D71" s="226" t="s">
        <v>199</v>
      </c>
      <c r="E71" s="195">
        <v>46016</v>
      </c>
      <c r="F71" s="195">
        <v>46027</v>
      </c>
      <c r="G71" s="196">
        <f t="shared" si="24"/>
        <v>11</v>
      </c>
      <c r="H71" s="195">
        <f t="shared" si="42"/>
        <v>46016</v>
      </c>
      <c r="I71" s="195">
        <f t="shared" si="43"/>
        <v>46027</v>
      </c>
      <c r="J71" s="199" t="s">
        <v>11</v>
      </c>
      <c r="K71" s="200">
        <v>1</v>
      </c>
      <c r="L71" s="201"/>
      <c r="M71" s="201"/>
      <c r="N71" s="198" t="str">
        <f t="shared" si="36"/>
        <v/>
      </c>
      <c r="O71" s="202" t="str">
        <f t="shared" si="37"/>
        <v>-</v>
      </c>
      <c r="P71" s="205">
        <f t="shared" si="38"/>
        <v>0</v>
      </c>
      <c r="Q71" s="207">
        <f t="shared" si="39"/>
        <v>0</v>
      </c>
      <c r="R71" s="204">
        <f t="shared" si="40"/>
        <v>1</v>
      </c>
      <c r="S71" s="65">
        <f t="shared" si="44"/>
        <v>0</v>
      </c>
      <c r="T71" s="157">
        <f t="shared" si="41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8"/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</row>
    <row r="72" spans="2:110" x14ac:dyDescent="0.35">
      <c r="B72" s="584"/>
      <c r="C72" s="60">
        <v>98</v>
      </c>
      <c r="D72" s="226" t="s">
        <v>200</v>
      </c>
      <c r="E72" s="195">
        <f>F75</f>
        <v>46029</v>
      </c>
      <c r="F72" s="195">
        <f>E72+2</f>
        <v>46031</v>
      </c>
      <c r="G72" s="196">
        <f t="shared" si="24"/>
        <v>2</v>
      </c>
      <c r="H72" s="195">
        <f t="shared" si="42"/>
        <v>46029</v>
      </c>
      <c r="I72" s="195">
        <f t="shared" si="43"/>
        <v>46031</v>
      </c>
      <c r="J72" s="199" t="s">
        <v>11</v>
      </c>
      <c r="K72" s="200">
        <v>1</v>
      </c>
      <c r="L72" s="201"/>
      <c r="M72" s="201"/>
      <c r="N72" s="198" t="str">
        <f t="shared" si="36"/>
        <v/>
      </c>
      <c r="O72" s="202" t="str">
        <f t="shared" si="37"/>
        <v>-</v>
      </c>
      <c r="P72" s="205">
        <f t="shared" si="38"/>
        <v>0</v>
      </c>
      <c r="Q72" s="207">
        <f t="shared" si="39"/>
        <v>0</v>
      </c>
      <c r="R72" s="204">
        <f t="shared" si="40"/>
        <v>1</v>
      </c>
      <c r="S72" s="65">
        <f t="shared" si="44"/>
        <v>0</v>
      </c>
      <c r="T72" s="157">
        <f t="shared" si="41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  <c r="CO72" s="168"/>
      <c r="CP72" s="168"/>
      <c r="CQ72" s="168"/>
      <c r="CR72" s="168"/>
      <c r="CS72" s="168"/>
      <c r="CT72" s="168"/>
      <c r="CU72" s="168"/>
      <c r="CV72" s="168"/>
      <c r="CW72" s="168"/>
      <c r="CX72" s="168"/>
      <c r="CY72" s="168"/>
      <c r="CZ72" s="168"/>
      <c r="DA72" s="168"/>
      <c r="DB72" s="168"/>
      <c r="DC72" s="168"/>
      <c r="DD72" s="168"/>
      <c r="DE72" s="168"/>
      <c r="DF72" s="168"/>
    </row>
    <row r="73" spans="2:110" x14ac:dyDescent="0.35">
      <c r="B73" s="584"/>
      <c r="C73" s="60">
        <v>99</v>
      </c>
      <c r="D73" s="226" t="s">
        <v>186</v>
      </c>
      <c r="E73" s="195">
        <v>45966</v>
      </c>
      <c r="F73" s="195">
        <v>45996</v>
      </c>
      <c r="G73" s="196">
        <f t="shared" si="24"/>
        <v>30</v>
      </c>
      <c r="H73" s="195">
        <f t="shared" si="42"/>
        <v>45966</v>
      </c>
      <c r="I73" s="195">
        <f t="shared" si="43"/>
        <v>45996</v>
      </c>
      <c r="J73" s="199" t="s">
        <v>11</v>
      </c>
      <c r="K73" s="200">
        <v>1</v>
      </c>
      <c r="L73" s="201"/>
      <c r="M73" s="201"/>
      <c r="N73" s="198" t="str">
        <f t="shared" si="36"/>
        <v/>
      </c>
      <c r="O73" s="202" t="str">
        <f t="shared" si="37"/>
        <v>-</v>
      </c>
      <c r="P73" s="205">
        <f t="shared" si="38"/>
        <v>0</v>
      </c>
      <c r="Q73" s="207">
        <f t="shared" si="39"/>
        <v>0</v>
      </c>
      <c r="R73" s="204">
        <f t="shared" si="40"/>
        <v>1</v>
      </c>
      <c r="S73" s="65">
        <f t="shared" si="44"/>
        <v>0</v>
      </c>
      <c r="T73" s="157">
        <f t="shared" si="41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</row>
    <row r="74" spans="2:110" x14ac:dyDescent="0.35">
      <c r="B74" s="584"/>
      <c r="C74" s="60">
        <v>100</v>
      </c>
      <c r="D74" s="226" t="s">
        <v>179</v>
      </c>
      <c r="E74" s="195">
        <v>46016</v>
      </c>
      <c r="F74" s="195">
        <f>E74+12</f>
        <v>46028</v>
      </c>
      <c r="G74" s="196">
        <f t="shared" si="24"/>
        <v>12</v>
      </c>
      <c r="H74" s="195">
        <f t="shared" si="42"/>
        <v>46016</v>
      </c>
      <c r="I74" s="195">
        <f t="shared" si="43"/>
        <v>46028</v>
      </c>
      <c r="J74" s="199" t="s">
        <v>11</v>
      </c>
      <c r="K74" s="200">
        <v>1</v>
      </c>
      <c r="L74" s="201"/>
      <c r="M74" s="201"/>
      <c r="N74" s="198" t="str">
        <f t="shared" ref="N74:N104" si="45">IF(OR(M74="",L74=""),"",INT(M74-L74+1))</f>
        <v/>
      </c>
      <c r="O74" s="202" t="str">
        <f t="shared" ref="O74:O104" si="46">IFERROR(K74/N74,"-")</f>
        <v>-</v>
      </c>
      <c r="P74" s="205">
        <f t="shared" ref="P74:P104" si="47">IFERROR(SUMIF($U$2:$AT$2,"&lt;="&amp;$D$1,U74:BN74)/K74,"-")</f>
        <v>0</v>
      </c>
      <c r="Q74" s="207">
        <f t="shared" ref="Q74:Q104" si="48">SUMIF($U$2:$AT$2,"&lt;="&amp;$D$1,U74:AT74)</f>
        <v>0</v>
      </c>
      <c r="R74" s="204">
        <f t="shared" ref="R74:R104" si="49">K74-Q74</f>
        <v>1</v>
      </c>
      <c r="S74" s="65">
        <f t="shared" si="44"/>
        <v>0</v>
      </c>
      <c r="T74" s="157">
        <f t="shared" si="41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</row>
    <row r="75" spans="2:110" x14ac:dyDescent="0.35">
      <c r="B75" s="584"/>
      <c r="C75" s="60">
        <v>101</v>
      </c>
      <c r="D75" s="226" t="s">
        <v>201</v>
      </c>
      <c r="E75" s="195">
        <f>E74+1</f>
        <v>46017</v>
      </c>
      <c r="F75" s="195">
        <f>F74+1</f>
        <v>46029</v>
      </c>
      <c r="G75" s="196">
        <f t="shared" si="24"/>
        <v>12</v>
      </c>
      <c r="H75" s="195">
        <f t="shared" si="42"/>
        <v>46017</v>
      </c>
      <c r="I75" s="195">
        <f t="shared" si="43"/>
        <v>46029</v>
      </c>
      <c r="J75" s="199" t="s">
        <v>11</v>
      </c>
      <c r="K75" s="200">
        <v>1</v>
      </c>
      <c r="L75" s="201"/>
      <c r="M75" s="201"/>
      <c r="N75" s="198" t="str">
        <f t="shared" si="45"/>
        <v/>
      </c>
      <c r="O75" s="202" t="str">
        <f t="shared" si="46"/>
        <v>-</v>
      </c>
      <c r="P75" s="205">
        <f t="shared" si="47"/>
        <v>0</v>
      </c>
      <c r="Q75" s="207">
        <f t="shared" si="48"/>
        <v>0</v>
      </c>
      <c r="R75" s="204">
        <f t="shared" si="49"/>
        <v>1</v>
      </c>
      <c r="S75" s="65">
        <f t="shared" si="44"/>
        <v>0</v>
      </c>
      <c r="T75" s="157">
        <f t="shared" si="41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8"/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</row>
    <row r="76" spans="2:110" ht="29" x14ac:dyDescent="0.35">
      <c r="B76" s="584" t="s">
        <v>202</v>
      </c>
      <c r="C76" s="60">
        <v>102</v>
      </c>
      <c r="D76" s="226" t="s">
        <v>203</v>
      </c>
      <c r="E76" s="195">
        <v>45924</v>
      </c>
      <c r="F76" s="195">
        <v>45950</v>
      </c>
      <c r="G76" s="196">
        <f t="shared" si="24"/>
        <v>26</v>
      </c>
      <c r="H76" s="195">
        <f t="shared" si="42"/>
        <v>45924</v>
      </c>
      <c r="I76" s="195">
        <f t="shared" si="43"/>
        <v>45950</v>
      </c>
      <c r="J76" s="199" t="s">
        <v>2</v>
      </c>
      <c r="K76" s="200">
        <v>26</v>
      </c>
      <c r="L76" s="201"/>
      <c r="M76" s="201"/>
      <c r="N76" s="198" t="str">
        <f t="shared" si="45"/>
        <v/>
      </c>
      <c r="O76" s="202" t="str">
        <f t="shared" si="46"/>
        <v>-</v>
      </c>
      <c r="P76" s="205">
        <f t="shared" si="47"/>
        <v>0</v>
      </c>
      <c r="Q76" s="207">
        <f t="shared" si="48"/>
        <v>0</v>
      </c>
      <c r="R76" s="204">
        <f t="shared" si="49"/>
        <v>26</v>
      </c>
      <c r="S76" s="65">
        <f t="shared" si="44"/>
        <v>0</v>
      </c>
      <c r="T76" s="157">
        <f t="shared" si="41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8"/>
      <c r="CT76" s="168"/>
      <c r="CU76" s="168"/>
      <c r="CV76" s="168"/>
      <c r="CW76" s="168"/>
      <c r="CX76" s="168"/>
      <c r="CY76" s="168"/>
      <c r="CZ76" s="168"/>
      <c r="DA76" s="168"/>
      <c r="DB76" s="168"/>
      <c r="DC76" s="168"/>
      <c r="DD76" s="168"/>
      <c r="DE76" s="168"/>
      <c r="DF76" s="168"/>
    </row>
    <row r="77" spans="2:110" x14ac:dyDescent="0.35">
      <c r="B77" s="584"/>
      <c r="C77" s="60">
        <v>103</v>
      </c>
      <c r="D77" s="226" t="s">
        <v>205</v>
      </c>
      <c r="E77" s="195">
        <f>E76+5</f>
        <v>45929</v>
      </c>
      <c r="F77" s="195">
        <v>45981</v>
      </c>
      <c r="G77" s="196">
        <f t="shared" si="24"/>
        <v>52</v>
      </c>
      <c r="H77" s="195">
        <f t="shared" si="42"/>
        <v>45929</v>
      </c>
      <c r="I77" s="195">
        <f t="shared" si="43"/>
        <v>45981</v>
      </c>
      <c r="J77" s="199" t="s">
        <v>2</v>
      </c>
      <c r="K77" s="200">
        <v>26</v>
      </c>
      <c r="L77" s="201"/>
      <c r="M77" s="201"/>
      <c r="N77" s="198" t="str">
        <f t="shared" si="45"/>
        <v/>
      </c>
      <c r="O77" s="202" t="str">
        <f t="shared" si="46"/>
        <v>-</v>
      </c>
      <c r="P77" s="205">
        <f t="shared" si="47"/>
        <v>0</v>
      </c>
      <c r="Q77" s="207">
        <f t="shared" si="48"/>
        <v>0</v>
      </c>
      <c r="R77" s="204">
        <f t="shared" si="49"/>
        <v>26</v>
      </c>
      <c r="S77" s="65">
        <f t="shared" si="44"/>
        <v>0</v>
      </c>
      <c r="T77" s="157">
        <f t="shared" si="41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  <c r="CO77" s="168"/>
      <c r="CP77" s="168"/>
      <c r="CQ77" s="168"/>
      <c r="CR77" s="168"/>
      <c r="CS77" s="168"/>
      <c r="CT77" s="168"/>
      <c r="CU77" s="168"/>
      <c r="CV77" s="168"/>
      <c r="CW77" s="168"/>
      <c r="CX77" s="168"/>
      <c r="CY77" s="168"/>
      <c r="CZ77" s="168"/>
      <c r="DA77" s="168"/>
      <c r="DB77" s="168"/>
      <c r="DC77" s="168"/>
      <c r="DD77" s="168"/>
      <c r="DE77" s="168"/>
      <c r="DF77" s="168"/>
    </row>
    <row r="78" spans="2:110" ht="29" x14ac:dyDescent="0.35">
      <c r="B78" s="584"/>
      <c r="C78" s="60">
        <v>104</v>
      </c>
      <c r="D78" s="226" t="s">
        <v>206</v>
      </c>
      <c r="E78" s="195">
        <f>E77+2</f>
        <v>45931</v>
      </c>
      <c r="F78" s="195">
        <f>F77+2</f>
        <v>45983</v>
      </c>
      <c r="G78" s="196">
        <f t="shared" si="24"/>
        <v>52</v>
      </c>
      <c r="H78" s="195">
        <f t="shared" si="42"/>
        <v>45931</v>
      </c>
      <c r="I78" s="195">
        <f t="shared" si="43"/>
        <v>45983</v>
      </c>
      <c r="J78" s="199" t="s">
        <v>2</v>
      </c>
      <c r="K78" s="200">
        <v>26</v>
      </c>
      <c r="L78" s="201"/>
      <c r="M78" s="201"/>
      <c r="N78" s="198" t="str">
        <f t="shared" si="45"/>
        <v/>
      </c>
      <c r="O78" s="202" t="str">
        <f t="shared" si="46"/>
        <v>-</v>
      </c>
      <c r="P78" s="205">
        <f t="shared" si="47"/>
        <v>0</v>
      </c>
      <c r="Q78" s="207">
        <f t="shared" si="48"/>
        <v>0</v>
      </c>
      <c r="R78" s="204">
        <f t="shared" si="49"/>
        <v>26</v>
      </c>
      <c r="S78" s="65">
        <f t="shared" si="44"/>
        <v>0</v>
      </c>
      <c r="T78" s="157">
        <f t="shared" si="41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/>
      <c r="CP78" s="168"/>
      <c r="CQ78" s="168"/>
      <c r="CR78" s="168"/>
      <c r="CS78" s="168"/>
      <c r="CT78" s="168"/>
      <c r="CU78" s="168"/>
      <c r="CV78" s="168"/>
      <c r="CW78" s="168"/>
      <c r="CX78" s="168"/>
      <c r="CY78" s="168"/>
      <c r="CZ78" s="168"/>
      <c r="DA78" s="168"/>
      <c r="DB78" s="168"/>
      <c r="DC78" s="168"/>
      <c r="DD78" s="168"/>
      <c r="DE78" s="168"/>
      <c r="DF78" s="168"/>
    </row>
    <row r="79" spans="2:110" ht="29" x14ac:dyDescent="0.35">
      <c r="B79" s="584" t="s">
        <v>207</v>
      </c>
      <c r="C79" s="60">
        <v>105</v>
      </c>
      <c r="D79" s="226" t="s">
        <v>208</v>
      </c>
      <c r="E79" s="195">
        <v>45889</v>
      </c>
      <c r="F79" s="195">
        <v>46047</v>
      </c>
      <c r="G79" s="196">
        <f t="shared" si="24"/>
        <v>158</v>
      </c>
      <c r="H79" s="195">
        <f t="shared" si="42"/>
        <v>45889</v>
      </c>
      <c r="I79" s="195">
        <f t="shared" si="43"/>
        <v>46047</v>
      </c>
      <c r="J79" s="199" t="s">
        <v>2</v>
      </c>
      <c r="K79" s="200">
        <v>26</v>
      </c>
      <c r="L79" s="201"/>
      <c r="M79" s="201"/>
      <c r="N79" s="198" t="str">
        <f t="shared" si="45"/>
        <v/>
      </c>
      <c r="O79" s="202" t="str">
        <f t="shared" si="46"/>
        <v>-</v>
      </c>
      <c r="P79" s="205">
        <f t="shared" si="47"/>
        <v>0</v>
      </c>
      <c r="Q79" s="207">
        <f t="shared" si="48"/>
        <v>0</v>
      </c>
      <c r="R79" s="204">
        <f t="shared" si="49"/>
        <v>26</v>
      </c>
      <c r="S79" s="65">
        <f t="shared" si="44"/>
        <v>0</v>
      </c>
      <c r="T79" s="157">
        <f t="shared" si="41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168"/>
      <c r="DC79" s="168"/>
      <c r="DD79" s="168"/>
      <c r="DE79" s="168"/>
      <c r="DF79" s="168"/>
    </row>
    <row r="80" spans="2:110" ht="29" x14ac:dyDescent="0.35">
      <c r="B80" s="584"/>
      <c r="C80" s="60">
        <v>106</v>
      </c>
      <c r="D80" s="226" t="s">
        <v>209</v>
      </c>
      <c r="E80" s="195">
        <f>E79</f>
        <v>45889</v>
      </c>
      <c r="F80" s="195">
        <f>F79</f>
        <v>46047</v>
      </c>
      <c r="G80" s="196">
        <f t="shared" si="24"/>
        <v>158</v>
      </c>
      <c r="H80" s="195">
        <f t="shared" si="42"/>
        <v>45889</v>
      </c>
      <c r="I80" s="195">
        <f t="shared" si="43"/>
        <v>46047</v>
      </c>
      <c r="J80" s="199" t="s">
        <v>2</v>
      </c>
      <c r="K80" s="200">
        <v>26</v>
      </c>
      <c r="L80" s="201"/>
      <c r="M80" s="201"/>
      <c r="N80" s="198" t="str">
        <f t="shared" si="45"/>
        <v/>
      </c>
      <c r="O80" s="202" t="str">
        <f t="shared" si="46"/>
        <v>-</v>
      </c>
      <c r="P80" s="205">
        <f t="shared" si="47"/>
        <v>0</v>
      </c>
      <c r="Q80" s="207">
        <f t="shared" si="48"/>
        <v>0</v>
      </c>
      <c r="R80" s="204">
        <f t="shared" si="49"/>
        <v>26</v>
      </c>
      <c r="S80" s="65">
        <f t="shared" si="44"/>
        <v>0</v>
      </c>
      <c r="T80" s="157">
        <f t="shared" si="41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</row>
    <row r="81" spans="2:110" ht="29" x14ac:dyDescent="0.35">
      <c r="B81" s="584"/>
      <c r="C81" s="60">
        <v>107</v>
      </c>
      <c r="D81" s="226" t="s">
        <v>210</v>
      </c>
      <c r="E81" s="195">
        <f>E80</f>
        <v>45889</v>
      </c>
      <c r="F81" s="195">
        <f>F80</f>
        <v>46047</v>
      </c>
      <c r="G81" s="196">
        <f t="shared" si="24"/>
        <v>158</v>
      </c>
      <c r="H81" s="195">
        <f t="shared" si="42"/>
        <v>45889</v>
      </c>
      <c r="I81" s="195">
        <f t="shared" si="43"/>
        <v>46047</v>
      </c>
      <c r="J81" s="199" t="s">
        <v>2</v>
      </c>
      <c r="K81" s="200">
        <v>26</v>
      </c>
      <c r="L81" s="201"/>
      <c r="M81" s="201"/>
      <c r="N81" s="198" t="str">
        <f t="shared" si="45"/>
        <v/>
      </c>
      <c r="O81" s="202" t="str">
        <f t="shared" si="46"/>
        <v>-</v>
      </c>
      <c r="P81" s="205">
        <f t="shared" si="47"/>
        <v>0</v>
      </c>
      <c r="Q81" s="207">
        <f t="shared" si="48"/>
        <v>0</v>
      </c>
      <c r="R81" s="204">
        <f t="shared" si="49"/>
        <v>26</v>
      </c>
      <c r="S81" s="65">
        <f t="shared" si="44"/>
        <v>0</v>
      </c>
      <c r="T81" s="157">
        <f t="shared" si="41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168"/>
      <c r="DC81" s="168"/>
      <c r="DD81" s="168"/>
      <c r="DE81" s="168"/>
      <c r="DF81" s="168"/>
    </row>
    <row r="82" spans="2:110" ht="29" x14ac:dyDescent="0.35">
      <c r="B82" s="584" t="s">
        <v>211</v>
      </c>
      <c r="C82" s="60">
        <v>108</v>
      </c>
      <c r="D82" s="226" t="s">
        <v>212</v>
      </c>
      <c r="E82" s="195">
        <v>45950</v>
      </c>
      <c r="F82" s="195">
        <f>F81</f>
        <v>46047</v>
      </c>
      <c r="G82" s="196">
        <f t="shared" si="24"/>
        <v>97</v>
      </c>
      <c r="H82" s="195">
        <f t="shared" si="42"/>
        <v>45950</v>
      </c>
      <c r="I82" s="195">
        <f t="shared" si="43"/>
        <v>46047</v>
      </c>
      <c r="J82" s="199" t="s">
        <v>2</v>
      </c>
      <c r="K82" s="200">
        <v>26</v>
      </c>
      <c r="L82" s="201"/>
      <c r="M82" s="201"/>
      <c r="N82" s="198" t="str">
        <f t="shared" si="45"/>
        <v/>
      </c>
      <c r="O82" s="202" t="str">
        <f t="shared" si="46"/>
        <v>-</v>
      </c>
      <c r="P82" s="205">
        <f t="shared" si="47"/>
        <v>0</v>
      </c>
      <c r="Q82" s="207">
        <f t="shared" si="48"/>
        <v>0</v>
      </c>
      <c r="R82" s="204">
        <f t="shared" si="49"/>
        <v>26</v>
      </c>
      <c r="S82" s="65">
        <f t="shared" si="44"/>
        <v>0</v>
      </c>
      <c r="T82" s="157">
        <f t="shared" si="41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168"/>
      <c r="DC82" s="168"/>
      <c r="DD82" s="168"/>
      <c r="DE82" s="168"/>
      <c r="DF82" s="168"/>
    </row>
    <row r="83" spans="2:110" ht="29" x14ac:dyDescent="0.35">
      <c r="B83" s="584"/>
      <c r="C83" s="60">
        <v>109</v>
      </c>
      <c r="D83" s="226" t="s">
        <v>213</v>
      </c>
      <c r="E83" s="195">
        <v>45971</v>
      </c>
      <c r="F83" s="195">
        <v>46011</v>
      </c>
      <c r="G83" s="196">
        <f t="shared" si="24"/>
        <v>40</v>
      </c>
      <c r="H83" s="195">
        <f t="shared" si="42"/>
        <v>45971</v>
      </c>
      <c r="I83" s="195">
        <f t="shared" si="43"/>
        <v>46011</v>
      </c>
      <c r="J83" s="199" t="s">
        <v>2</v>
      </c>
      <c r="K83" s="200">
        <v>26</v>
      </c>
      <c r="L83" s="201"/>
      <c r="M83" s="201"/>
      <c r="N83" s="198" t="str">
        <f t="shared" si="45"/>
        <v/>
      </c>
      <c r="O83" s="202" t="str">
        <f t="shared" si="46"/>
        <v>-</v>
      </c>
      <c r="P83" s="205">
        <f t="shared" si="47"/>
        <v>0</v>
      </c>
      <c r="Q83" s="207">
        <f t="shared" si="48"/>
        <v>0</v>
      </c>
      <c r="R83" s="204">
        <f t="shared" si="49"/>
        <v>26</v>
      </c>
      <c r="S83" s="65">
        <f t="shared" si="44"/>
        <v>0</v>
      </c>
      <c r="T83" s="157">
        <f t="shared" si="41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168"/>
      <c r="DC83" s="168"/>
      <c r="DD83" s="168"/>
      <c r="DE83" s="168"/>
      <c r="DF83" s="168"/>
    </row>
    <row r="84" spans="2:110" ht="29" x14ac:dyDescent="0.35">
      <c r="B84" s="584"/>
      <c r="C84" s="60">
        <v>110</v>
      </c>
      <c r="D84" s="226" t="s">
        <v>214</v>
      </c>
      <c r="E84" s="195">
        <v>45971</v>
      </c>
      <c r="F84" s="195">
        <v>46011</v>
      </c>
      <c r="G84" s="196">
        <f t="shared" si="24"/>
        <v>40</v>
      </c>
      <c r="H84" s="195">
        <f t="shared" si="42"/>
        <v>45971</v>
      </c>
      <c r="I84" s="195">
        <f t="shared" si="43"/>
        <v>46011</v>
      </c>
      <c r="J84" s="199" t="s">
        <v>2</v>
      </c>
      <c r="K84" s="200">
        <v>26</v>
      </c>
      <c r="L84" s="201"/>
      <c r="M84" s="201"/>
      <c r="N84" s="198" t="str">
        <f t="shared" si="45"/>
        <v/>
      </c>
      <c r="O84" s="202" t="str">
        <f t="shared" si="46"/>
        <v>-</v>
      </c>
      <c r="P84" s="205">
        <f t="shared" si="47"/>
        <v>0</v>
      </c>
      <c r="Q84" s="207">
        <f t="shared" si="48"/>
        <v>0</v>
      </c>
      <c r="R84" s="204">
        <f t="shared" si="49"/>
        <v>26</v>
      </c>
      <c r="S84" s="65">
        <f t="shared" si="44"/>
        <v>0</v>
      </c>
      <c r="T84" s="157">
        <f t="shared" si="41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168"/>
      <c r="DC84" s="168"/>
      <c r="DD84" s="168"/>
      <c r="DE84" s="168"/>
      <c r="DF84" s="168"/>
    </row>
    <row r="85" spans="2:110" ht="29" x14ac:dyDescent="0.35">
      <c r="B85" s="584"/>
      <c r="C85" s="60">
        <v>111</v>
      </c>
      <c r="D85" s="226" t="s">
        <v>215</v>
      </c>
      <c r="E85" s="195">
        <v>45971</v>
      </c>
      <c r="F85" s="195">
        <v>46011</v>
      </c>
      <c r="G85" s="196">
        <f t="shared" si="24"/>
        <v>40</v>
      </c>
      <c r="H85" s="195">
        <f t="shared" si="42"/>
        <v>45971</v>
      </c>
      <c r="I85" s="195">
        <f t="shared" si="43"/>
        <v>46011</v>
      </c>
      <c r="J85" s="199" t="s">
        <v>2</v>
      </c>
      <c r="K85" s="200">
        <v>26</v>
      </c>
      <c r="L85" s="201"/>
      <c r="M85" s="201"/>
      <c r="N85" s="198" t="str">
        <f t="shared" si="45"/>
        <v/>
      </c>
      <c r="O85" s="202" t="str">
        <f t="shared" si="46"/>
        <v>-</v>
      </c>
      <c r="P85" s="205">
        <f t="shared" si="47"/>
        <v>0</v>
      </c>
      <c r="Q85" s="207">
        <f t="shared" si="48"/>
        <v>0</v>
      </c>
      <c r="R85" s="204">
        <f t="shared" si="49"/>
        <v>26</v>
      </c>
      <c r="S85" s="65">
        <f t="shared" si="44"/>
        <v>0</v>
      </c>
      <c r="T85" s="157">
        <f t="shared" si="41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168"/>
      <c r="CQ85" s="168"/>
      <c r="CR85" s="168"/>
      <c r="CS85" s="168"/>
      <c r="CT85" s="168"/>
      <c r="CU85" s="168"/>
      <c r="CV85" s="168"/>
      <c r="CW85" s="168"/>
      <c r="CX85" s="168"/>
      <c r="CY85" s="168"/>
      <c r="CZ85" s="168"/>
      <c r="DA85" s="168"/>
      <c r="DB85" s="168"/>
      <c r="DC85" s="168"/>
      <c r="DD85" s="168"/>
      <c r="DE85" s="168"/>
      <c r="DF85" s="168"/>
    </row>
    <row r="86" spans="2:110" ht="29" x14ac:dyDescent="0.35">
      <c r="B86" s="584"/>
      <c r="C86" s="60">
        <v>112</v>
      </c>
      <c r="D86" s="226" t="s">
        <v>216</v>
      </c>
      <c r="E86" s="195">
        <v>45971</v>
      </c>
      <c r="F86" s="195">
        <v>46011</v>
      </c>
      <c r="G86" s="196">
        <f t="shared" si="24"/>
        <v>40</v>
      </c>
      <c r="H86" s="195">
        <f t="shared" si="42"/>
        <v>45971</v>
      </c>
      <c r="I86" s="195">
        <f t="shared" si="43"/>
        <v>46011</v>
      </c>
      <c r="J86" s="199" t="s">
        <v>2</v>
      </c>
      <c r="K86" s="200">
        <v>26</v>
      </c>
      <c r="L86" s="201"/>
      <c r="M86" s="201"/>
      <c r="N86" s="198" t="str">
        <f t="shared" si="45"/>
        <v/>
      </c>
      <c r="O86" s="202" t="str">
        <f t="shared" si="46"/>
        <v>-</v>
      </c>
      <c r="P86" s="205">
        <f t="shared" si="47"/>
        <v>0</v>
      </c>
      <c r="Q86" s="207">
        <f t="shared" si="48"/>
        <v>0</v>
      </c>
      <c r="R86" s="204">
        <f t="shared" si="49"/>
        <v>26</v>
      </c>
      <c r="S86" s="65">
        <f t="shared" si="44"/>
        <v>0</v>
      </c>
      <c r="T86" s="157">
        <f t="shared" si="41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</row>
    <row r="87" spans="2:110" ht="29" x14ac:dyDescent="0.35">
      <c r="B87" s="584"/>
      <c r="C87" s="60">
        <v>113</v>
      </c>
      <c r="D87" s="226" t="s">
        <v>217</v>
      </c>
      <c r="E87" s="195">
        <v>45971</v>
      </c>
      <c r="F87" s="195">
        <v>46011</v>
      </c>
      <c r="G87" s="196">
        <f t="shared" si="24"/>
        <v>40</v>
      </c>
      <c r="H87" s="195">
        <f t="shared" si="42"/>
        <v>45971</v>
      </c>
      <c r="I87" s="195">
        <f t="shared" si="43"/>
        <v>46011</v>
      </c>
      <c r="J87" s="199" t="s">
        <v>2</v>
      </c>
      <c r="K87" s="200">
        <v>26</v>
      </c>
      <c r="L87" s="201"/>
      <c r="M87" s="201"/>
      <c r="N87" s="198" t="str">
        <f t="shared" si="45"/>
        <v/>
      </c>
      <c r="O87" s="202" t="str">
        <f t="shared" si="46"/>
        <v>-</v>
      </c>
      <c r="P87" s="205">
        <f t="shared" si="47"/>
        <v>0</v>
      </c>
      <c r="Q87" s="207">
        <f t="shared" si="48"/>
        <v>0</v>
      </c>
      <c r="R87" s="204">
        <f t="shared" si="49"/>
        <v>26</v>
      </c>
      <c r="S87" s="65">
        <f t="shared" si="44"/>
        <v>0</v>
      </c>
      <c r="T87" s="157">
        <f t="shared" si="41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</row>
    <row r="88" spans="2:110" x14ac:dyDescent="0.35">
      <c r="B88" s="584"/>
      <c r="C88" s="60">
        <v>114</v>
      </c>
      <c r="D88" s="226" t="s">
        <v>218</v>
      </c>
      <c r="E88" s="195">
        <v>45971</v>
      </c>
      <c r="F88" s="195">
        <v>46011</v>
      </c>
      <c r="G88" s="196">
        <f t="shared" si="24"/>
        <v>40</v>
      </c>
      <c r="H88" s="195">
        <f t="shared" si="42"/>
        <v>45971</v>
      </c>
      <c r="I88" s="195">
        <f t="shared" si="43"/>
        <v>46011</v>
      </c>
      <c r="J88" s="199" t="s">
        <v>2</v>
      </c>
      <c r="K88" s="200">
        <v>26</v>
      </c>
      <c r="L88" s="201"/>
      <c r="M88" s="201"/>
      <c r="N88" s="198" t="str">
        <f t="shared" si="45"/>
        <v/>
      </c>
      <c r="O88" s="202" t="str">
        <f t="shared" si="46"/>
        <v>-</v>
      </c>
      <c r="P88" s="205">
        <f t="shared" si="47"/>
        <v>0</v>
      </c>
      <c r="Q88" s="207">
        <f t="shared" si="48"/>
        <v>0</v>
      </c>
      <c r="R88" s="204">
        <f t="shared" si="49"/>
        <v>26</v>
      </c>
      <c r="S88" s="65">
        <f t="shared" si="44"/>
        <v>0</v>
      </c>
      <c r="T88" s="157">
        <f t="shared" si="41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  <c r="CO88" s="168"/>
      <c r="CP88" s="168"/>
      <c r="CQ88" s="168"/>
      <c r="CR88" s="168"/>
      <c r="CS88" s="168"/>
      <c r="CT88" s="168"/>
      <c r="CU88" s="168"/>
      <c r="CV88" s="168"/>
      <c r="CW88" s="168"/>
      <c r="CX88" s="168"/>
      <c r="CY88" s="168"/>
      <c r="CZ88" s="168"/>
      <c r="DA88" s="168"/>
      <c r="DB88" s="168"/>
      <c r="DC88" s="168"/>
      <c r="DD88" s="168"/>
      <c r="DE88" s="168"/>
      <c r="DF88" s="168"/>
    </row>
    <row r="89" spans="2:110" ht="29" x14ac:dyDescent="0.35">
      <c r="B89" s="584" t="s">
        <v>219</v>
      </c>
      <c r="C89" s="60">
        <v>115</v>
      </c>
      <c r="D89" s="226" t="s">
        <v>220</v>
      </c>
      <c r="E89" s="195">
        <f>E68+2</f>
        <v>46018</v>
      </c>
      <c r="F89" s="195">
        <f>F68+2</f>
        <v>46026</v>
      </c>
      <c r="G89" s="196">
        <f t="shared" si="24"/>
        <v>8</v>
      </c>
      <c r="H89" s="195">
        <f t="shared" si="42"/>
        <v>46018</v>
      </c>
      <c r="I89" s="195">
        <f t="shared" si="43"/>
        <v>46026</v>
      </c>
      <c r="J89" s="199" t="s">
        <v>11</v>
      </c>
      <c r="K89" s="200">
        <v>1</v>
      </c>
      <c r="L89" s="201"/>
      <c r="M89" s="201"/>
      <c r="N89" s="198" t="str">
        <f t="shared" si="45"/>
        <v/>
      </c>
      <c r="O89" s="202" t="str">
        <f t="shared" si="46"/>
        <v>-</v>
      </c>
      <c r="P89" s="205">
        <f t="shared" si="47"/>
        <v>0</v>
      </c>
      <c r="Q89" s="207">
        <f t="shared" si="48"/>
        <v>0</v>
      </c>
      <c r="R89" s="204">
        <f t="shared" si="49"/>
        <v>1</v>
      </c>
      <c r="S89" s="65">
        <f t="shared" si="44"/>
        <v>0</v>
      </c>
      <c r="T89" s="157">
        <f t="shared" si="41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168"/>
      <c r="CQ89" s="168"/>
      <c r="CR89" s="168"/>
      <c r="CS89" s="168"/>
      <c r="CT89" s="168"/>
      <c r="CU89" s="168"/>
      <c r="CV89" s="168"/>
      <c r="CW89" s="168"/>
      <c r="CX89" s="168"/>
      <c r="CY89" s="168"/>
      <c r="CZ89" s="168"/>
      <c r="DA89" s="168"/>
      <c r="DB89" s="168"/>
      <c r="DC89" s="168"/>
      <c r="DD89" s="168"/>
      <c r="DE89" s="168"/>
      <c r="DF89" s="168"/>
    </row>
    <row r="90" spans="2:110" ht="29" x14ac:dyDescent="0.35">
      <c r="B90" s="584"/>
      <c r="C90" s="60">
        <v>116</v>
      </c>
      <c r="D90" s="226" t="s">
        <v>221</v>
      </c>
      <c r="E90" s="195">
        <f>E89</f>
        <v>46018</v>
      </c>
      <c r="F90" s="195">
        <f>F89</f>
        <v>46026</v>
      </c>
      <c r="G90" s="196">
        <f t="shared" si="24"/>
        <v>8</v>
      </c>
      <c r="H90" s="195">
        <f t="shared" si="42"/>
        <v>46018</v>
      </c>
      <c r="I90" s="195">
        <f t="shared" si="43"/>
        <v>46026</v>
      </c>
      <c r="J90" s="199" t="s">
        <v>11</v>
      </c>
      <c r="K90" s="200">
        <v>1</v>
      </c>
      <c r="L90" s="201"/>
      <c r="M90" s="201"/>
      <c r="N90" s="198" t="str">
        <f t="shared" si="45"/>
        <v/>
      </c>
      <c r="O90" s="202" t="str">
        <f t="shared" si="46"/>
        <v>-</v>
      </c>
      <c r="P90" s="205">
        <f t="shared" si="47"/>
        <v>0</v>
      </c>
      <c r="Q90" s="207">
        <f t="shared" si="48"/>
        <v>0</v>
      </c>
      <c r="R90" s="204">
        <f t="shared" si="49"/>
        <v>1</v>
      </c>
      <c r="S90" s="65">
        <f t="shared" si="44"/>
        <v>0</v>
      </c>
      <c r="T90" s="157">
        <f t="shared" si="41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168"/>
      <c r="CQ90" s="168"/>
      <c r="CR90" s="168"/>
      <c r="CS90" s="168"/>
      <c r="CT90" s="168"/>
      <c r="CU90" s="168"/>
      <c r="CV90" s="168"/>
      <c r="CW90" s="168"/>
      <c r="CX90" s="168"/>
      <c r="CY90" s="168"/>
      <c r="CZ90" s="168"/>
      <c r="DA90" s="168"/>
      <c r="DB90" s="168"/>
      <c r="DC90" s="168"/>
      <c r="DD90" s="168"/>
      <c r="DE90" s="168"/>
      <c r="DF90" s="168"/>
    </row>
    <row r="91" spans="2:110" ht="29" x14ac:dyDescent="0.35">
      <c r="B91" s="584"/>
      <c r="C91" s="60">
        <v>117</v>
      </c>
      <c r="D91" s="226" t="s">
        <v>222</v>
      </c>
      <c r="E91" s="195">
        <f>E90</f>
        <v>46018</v>
      </c>
      <c r="F91" s="195">
        <f>F90</f>
        <v>46026</v>
      </c>
      <c r="G91" s="196">
        <f t="shared" si="24"/>
        <v>8</v>
      </c>
      <c r="H91" s="195">
        <f t="shared" si="42"/>
        <v>46018</v>
      </c>
      <c r="I91" s="195">
        <f t="shared" si="43"/>
        <v>46026</v>
      </c>
      <c r="J91" s="199" t="s">
        <v>11</v>
      </c>
      <c r="K91" s="200">
        <v>1</v>
      </c>
      <c r="L91" s="201"/>
      <c r="M91" s="201"/>
      <c r="N91" s="198" t="str">
        <f t="shared" si="45"/>
        <v/>
      </c>
      <c r="O91" s="202" t="str">
        <f t="shared" si="46"/>
        <v>-</v>
      </c>
      <c r="P91" s="205">
        <f t="shared" si="47"/>
        <v>0</v>
      </c>
      <c r="Q91" s="207">
        <f t="shared" si="48"/>
        <v>0</v>
      </c>
      <c r="R91" s="204">
        <f t="shared" si="49"/>
        <v>1</v>
      </c>
      <c r="S91" s="65">
        <f t="shared" si="44"/>
        <v>0</v>
      </c>
      <c r="T91" s="157">
        <f t="shared" si="41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68"/>
      <c r="CQ91" s="168"/>
      <c r="CR91" s="168"/>
      <c r="CS91" s="168"/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68"/>
      <c r="DF91" s="168"/>
    </row>
    <row r="92" spans="2:110" ht="29" x14ac:dyDescent="0.35">
      <c r="B92" s="584"/>
      <c r="C92" s="60">
        <v>118</v>
      </c>
      <c r="D92" s="226" t="s">
        <v>217</v>
      </c>
      <c r="E92" s="195">
        <v>45919</v>
      </c>
      <c r="F92" s="195">
        <v>46009</v>
      </c>
      <c r="G92" s="196">
        <f t="shared" ref="G92:G120" si="50">F92-E92</f>
        <v>90</v>
      </c>
      <c r="H92" s="195">
        <f>E92</f>
        <v>45919</v>
      </c>
      <c r="I92" s="195">
        <f>F92</f>
        <v>46009</v>
      </c>
      <c r="J92" s="199" t="s">
        <v>11</v>
      </c>
      <c r="K92" s="200">
        <v>1</v>
      </c>
      <c r="L92" s="201"/>
      <c r="M92" s="201"/>
      <c r="N92" s="198" t="str">
        <f t="shared" si="45"/>
        <v/>
      </c>
      <c r="O92" s="202" t="str">
        <f t="shared" si="46"/>
        <v>-</v>
      </c>
      <c r="P92" s="205">
        <f t="shared" si="47"/>
        <v>0</v>
      </c>
      <c r="Q92" s="207">
        <f t="shared" si="48"/>
        <v>0</v>
      </c>
      <c r="R92" s="204">
        <f t="shared" si="49"/>
        <v>1</v>
      </c>
      <c r="S92" s="65">
        <f t="shared" si="44"/>
        <v>0</v>
      </c>
      <c r="T92" s="157">
        <f t="shared" si="41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168"/>
      <c r="CQ92" s="168"/>
      <c r="CR92" s="168"/>
      <c r="CS92" s="168"/>
      <c r="CT92" s="168"/>
      <c r="CU92" s="168"/>
      <c r="CV92" s="168"/>
      <c r="CW92" s="168"/>
      <c r="CX92" s="168"/>
      <c r="CY92" s="168"/>
      <c r="CZ92" s="168"/>
      <c r="DA92" s="168"/>
      <c r="DB92" s="168"/>
      <c r="DC92" s="168"/>
      <c r="DD92" s="168"/>
      <c r="DE92" s="168"/>
      <c r="DF92" s="168"/>
    </row>
    <row r="93" spans="2:110" x14ac:dyDescent="0.35">
      <c r="B93" s="584"/>
      <c r="C93" s="60">
        <v>119</v>
      </c>
      <c r="D93" s="226" t="s">
        <v>218</v>
      </c>
      <c r="E93" s="195">
        <v>45919</v>
      </c>
      <c r="F93" s="195">
        <v>46011</v>
      </c>
      <c r="G93" s="196">
        <f t="shared" si="50"/>
        <v>92</v>
      </c>
      <c r="H93" s="195">
        <f t="shared" ref="H93:H120" si="51">E93</f>
        <v>45919</v>
      </c>
      <c r="I93" s="195">
        <f t="shared" ref="I93:I120" si="52">F93</f>
        <v>46011</v>
      </c>
      <c r="J93" s="199" t="s">
        <v>11</v>
      </c>
      <c r="K93" s="200">
        <v>1</v>
      </c>
      <c r="L93" s="201"/>
      <c r="M93" s="201"/>
      <c r="N93" s="198" t="str">
        <f t="shared" si="45"/>
        <v/>
      </c>
      <c r="O93" s="202" t="str">
        <f t="shared" si="46"/>
        <v>-</v>
      </c>
      <c r="P93" s="205">
        <f t="shared" si="47"/>
        <v>0</v>
      </c>
      <c r="Q93" s="207">
        <f t="shared" si="48"/>
        <v>0</v>
      </c>
      <c r="R93" s="204">
        <f t="shared" si="49"/>
        <v>1</v>
      </c>
      <c r="S93" s="65">
        <f t="shared" si="44"/>
        <v>0</v>
      </c>
      <c r="T93" s="157">
        <f t="shared" si="41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</row>
    <row r="94" spans="2:110" x14ac:dyDescent="0.35">
      <c r="B94" s="584" t="s">
        <v>223</v>
      </c>
      <c r="C94" s="60">
        <v>120</v>
      </c>
      <c r="D94" s="226" t="s">
        <v>224</v>
      </c>
      <c r="E94" s="195">
        <v>45940</v>
      </c>
      <c r="F94" s="195">
        <v>46006</v>
      </c>
      <c r="G94" s="196">
        <f t="shared" si="50"/>
        <v>66</v>
      </c>
      <c r="H94" s="195">
        <f t="shared" si="51"/>
        <v>45940</v>
      </c>
      <c r="I94" s="195">
        <f t="shared" si="52"/>
        <v>46006</v>
      </c>
      <c r="J94" s="199" t="s">
        <v>2</v>
      </c>
      <c r="K94" s="200">
        <v>26</v>
      </c>
      <c r="L94" s="201"/>
      <c r="M94" s="201"/>
      <c r="N94" s="198" t="str">
        <f t="shared" si="45"/>
        <v/>
      </c>
      <c r="O94" s="202" t="str">
        <f t="shared" si="46"/>
        <v>-</v>
      </c>
      <c r="P94" s="205">
        <f t="shared" si="47"/>
        <v>0</v>
      </c>
      <c r="Q94" s="207">
        <f t="shared" si="48"/>
        <v>0</v>
      </c>
      <c r="R94" s="204">
        <f t="shared" si="49"/>
        <v>26</v>
      </c>
      <c r="S94" s="65">
        <f t="shared" si="44"/>
        <v>0</v>
      </c>
      <c r="T94" s="157">
        <f t="shared" si="41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168"/>
      <c r="CQ94" s="168"/>
      <c r="CR94" s="168"/>
      <c r="CS94" s="168"/>
      <c r="CT94" s="168"/>
      <c r="CU94" s="168"/>
      <c r="CV94" s="168"/>
      <c r="CW94" s="168"/>
      <c r="CX94" s="168"/>
      <c r="CY94" s="168"/>
      <c r="CZ94" s="168"/>
      <c r="DA94" s="168"/>
      <c r="DB94" s="168"/>
      <c r="DC94" s="168"/>
      <c r="DD94" s="168"/>
      <c r="DE94" s="168"/>
      <c r="DF94" s="168"/>
    </row>
    <row r="95" spans="2:110" x14ac:dyDescent="0.35">
      <c r="B95" s="584"/>
      <c r="C95" s="60">
        <v>121</v>
      </c>
      <c r="D95" s="226" t="s">
        <v>225</v>
      </c>
      <c r="E95" s="195">
        <v>45992</v>
      </c>
      <c r="F95" s="195">
        <v>46011</v>
      </c>
      <c r="G95" s="196">
        <f t="shared" si="50"/>
        <v>19</v>
      </c>
      <c r="H95" s="195">
        <f t="shared" si="51"/>
        <v>45992</v>
      </c>
      <c r="I95" s="195">
        <f t="shared" si="52"/>
        <v>46011</v>
      </c>
      <c r="J95" s="199" t="s">
        <v>2</v>
      </c>
      <c r="K95" s="200">
        <v>26</v>
      </c>
      <c r="L95" s="201"/>
      <c r="M95" s="201"/>
      <c r="N95" s="198" t="str">
        <f t="shared" si="45"/>
        <v/>
      </c>
      <c r="O95" s="202" t="str">
        <f t="shared" si="46"/>
        <v>-</v>
      </c>
      <c r="P95" s="205">
        <f t="shared" si="47"/>
        <v>0</v>
      </c>
      <c r="Q95" s="207">
        <f t="shared" si="48"/>
        <v>0</v>
      </c>
      <c r="R95" s="204">
        <f t="shared" si="49"/>
        <v>26</v>
      </c>
      <c r="S95" s="65">
        <f t="shared" si="44"/>
        <v>0</v>
      </c>
      <c r="T95" s="157">
        <f t="shared" si="41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8"/>
      <c r="DF95" s="168"/>
    </row>
    <row r="96" spans="2:110" x14ac:dyDescent="0.35">
      <c r="B96" s="584"/>
      <c r="C96" s="60">
        <v>122</v>
      </c>
      <c r="D96" s="226" t="s">
        <v>429</v>
      </c>
      <c r="E96" s="195">
        <v>45962</v>
      </c>
      <c r="F96" s="195">
        <v>45996</v>
      </c>
      <c r="G96" s="196">
        <f t="shared" si="50"/>
        <v>34</v>
      </c>
      <c r="H96" s="195">
        <f t="shared" si="51"/>
        <v>45962</v>
      </c>
      <c r="I96" s="195">
        <f t="shared" si="52"/>
        <v>45996</v>
      </c>
      <c r="J96" s="199" t="s">
        <v>2</v>
      </c>
      <c r="K96" s="200">
        <v>26</v>
      </c>
      <c r="L96" s="201"/>
      <c r="M96" s="201"/>
      <c r="N96" s="198" t="str">
        <f t="shared" si="45"/>
        <v/>
      </c>
      <c r="O96" s="202" t="str">
        <f t="shared" si="46"/>
        <v>-</v>
      </c>
      <c r="P96" s="205">
        <f t="shared" si="47"/>
        <v>0</v>
      </c>
      <c r="Q96" s="207">
        <f t="shared" si="48"/>
        <v>0</v>
      </c>
      <c r="R96" s="204">
        <f t="shared" si="49"/>
        <v>26</v>
      </c>
      <c r="S96" s="65">
        <f t="shared" si="44"/>
        <v>0</v>
      </c>
      <c r="T96" s="157">
        <f t="shared" si="41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  <c r="DA96" s="168"/>
      <c r="DB96" s="168"/>
      <c r="DC96" s="168"/>
      <c r="DD96" s="168"/>
      <c r="DE96" s="168"/>
      <c r="DF96" s="168"/>
    </row>
    <row r="97" spans="2:110" ht="29" x14ac:dyDescent="0.35">
      <c r="B97" s="583" t="s">
        <v>226</v>
      </c>
      <c r="C97" s="60">
        <v>123</v>
      </c>
      <c r="D97" s="226" t="s">
        <v>227</v>
      </c>
      <c r="E97" s="195">
        <v>45986</v>
      </c>
      <c r="F97" s="195">
        <v>46016</v>
      </c>
      <c r="G97" s="196">
        <f t="shared" si="50"/>
        <v>30</v>
      </c>
      <c r="H97" s="195">
        <f t="shared" si="51"/>
        <v>45986</v>
      </c>
      <c r="I97" s="195">
        <f t="shared" si="52"/>
        <v>46016</v>
      </c>
      <c r="J97" s="199" t="s">
        <v>2</v>
      </c>
      <c r="K97" s="200">
        <v>26</v>
      </c>
      <c r="L97" s="201"/>
      <c r="M97" s="201"/>
      <c r="N97" s="198" t="str">
        <f t="shared" si="45"/>
        <v/>
      </c>
      <c r="O97" s="202" t="str">
        <f t="shared" si="46"/>
        <v>-</v>
      </c>
      <c r="P97" s="205">
        <f t="shared" si="47"/>
        <v>0</v>
      </c>
      <c r="Q97" s="207">
        <f t="shared" si="48"/>
        <v>0</v>
      </c>
      <c r="R97" s="204">
        <f t="shared" si="49"/>
        <v>26</v>
      </c>
      <c r="S97" s="65">
        <f t="shared" si="44"/>
        <v>0</v>
      </c>
      <c r="T97" s="157">
        <f t="shared" si="41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  <c r="CD97" s="168"/>
      <c r="CE97" s="168"/>
      <c r="CF97" s="168"/>
      <c r="CG97" s="168"/>
      <c r="CH97" s="168"/>
      <c r="CI97" s="168"/>
      <c r="CJ97" s="168"/>
      <c r="CK97" s="168"/>
      <c r="CL97" s="168"/>
      <c r="CM97" s="168"/>
      <c r="CN97" s="168"/>
      <c r="CO97" s="168"/>
      <c r="CP97" s="168"/>
      <c r="CQ97" s="168"/>
      <c r="CR97" s="168"/>
      <c r="CS97" s="168"/>
      <c r="CT97" s="168"/>
      <c r="CU97" s="168"/>
      <c r="CV97" s="168"/>
      <c r="CW97" s="168"/>
      <c r="CX97" s="168"/>
      <c r="CY97" s="168"/>
      <c r="CZ97" s="168"/>
      <c r="DA97" s="168"/>
      <c r="DB97" s="168"/>
      <c r="DC97" s="168"/>
      <c r="DD97" s="168"/>
      <c r="DE97" s="168"/>
      <c r="DF97" s="168"/>
    </row>
    <row r="98" spans="2:110" x14ac:dyDescent="0.35">
      <c r="B98" s="583"/>
      <c r="C98" s="60">
        <v>124</v>
      </c>
      <c r="D98" s="226" t="s">
        <v>228</v>
      </c>
      <c r="E98" s="195">
        <v>45984</v>
      </c>
      <c r="F98" s="195">
        <v>46008</v>
      </c>
      <c r="G98" s="196">
        <f t="shared" si="50"/>
        <v>24</v>
      </c>
      <c r="H98" s="195">
        <f t="shared" si="51"/>
        <v>45984</v>
      </c>
      <c r="I98" s="195">
        <f t="shared" si="52"/>
        <v>46008</v>
      </c>
      <c r="J98" s="199" t="s">
        <v>2</v>
      </c>
      <c r="K98" s="200">
        <v>26</v>
      </c>
      <c r="L98" s="201"/>
      <c r="M98" s="201"/>
      <c r="N98" s="198" t="str">
        <f t="shared" si="45"/>
        <v/>
      </c>
      <c r="O98" s="202" t="str">
        <f t="shared" si="46"/>
        <v>-</v>
      </c>
      <c r="P98" s="205">
        <f t="shared" si="47"/>
        <v>0</v>
      </c>
      <c r="Q98" s="207">
        <f t="shared" si="48"/>
        <v>0</v>
      </c>
      <c r="R98" s="204">
        <f t="shared" si="49"/>
        <v>26</v>
      </c>
      <c r="S98" s="65">
        <f t="shared" si="44"/>
        <v>0</v>
      </c>
      <c r="T98" s="157">
        <f t="shared" si="41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  <c r="CD98" s="168"/>
      <c r="CE98" s="168"/>
      <c r="CF98" s="168"/>
      <c r="CG98" s="168"/>
      <c r="CH98" s="168"/>
      <c r="CI98" s="168"/>
      <c r="CJ98" s="168"/>
      <c r="CK98" s="168"/>
      <c r="CL98" s="168"/>
      <c r="CM98" s="168"/>
      <c r="CN98" s="168"/>
      <c r="CO98" s="168"/>
      <c r="CP98" s="168"/>
      <c r="CQ98" s="168"/>
      <c r="CR98" s="168"/>
      <c r="CS98" s="168"/>
      <c r="CT98" s="168"/>
      <c r="CU98" s="168"/>
      <c r="CV98" s="168"/>
      <c r="CW98" s="168"/>
      <c r="CX98" s="168"/>
      <c r="CY98" s="168"/>
      <c r="CZ98" s="168"/>
      <c r="DA98" s="168"/>
      <c r="DB98" s="168"/>
      <c r="DC98" s="168"/>
      <c r="DD98" s="168"/>
      <c r="DE98" s="168"/>
      <c r="DF98" s="168"/>
    </row>
    <row r="99" spans="2:110" ht="29" x14ac:dyDescent="0.35">
      <c r="B99" s="583"/>
      <c r="C99" s="60">
        <v>125</v>
      </c>
      <c r="D99" s="226" t="s">
        <v>433</v>
      </c>
      <c r="E99" s="195">
        <v>45988</v>
      </c>
      <c r="F99" s="195">
        <v>46007</v>
      </c>
      <c r="G99" s="196">
        <f t="shared" si="50"/>
        <v>19</v>
      </c>
      <c r="H99" s="195">
        <f t="shared" si="51"/>
        <v>45988</v>
      </c>
      <c r="I99" s="195">
        <f t="shared" si="52"/>
        <v>46007</v>
      </c>
      <c r="J99" s="199" t="s">
        <v>2</v>
      </c>
      <c r="K99" s="200">
        <v>26</v>
      </c>
      <c r="L99" s="201"/>
      <c r="M99" s="201"/>
      <c r="N99" s="198" t="str">
        <f t="shared" si="45"/>
        <v/>
      </c>
      <c r="O99" s="202" t="str">
        <f t="shared" si="46"/>
        <v>-</v>
      </c>
      <c r="P99" s="205">
        <f t="shared" si="47"/>
        <v>0</v>
      </c>
      <c r="Q99" s="207">
        <f t="shared" si="48"/>
        <v>0</v>
      </c>
      <c r="R99" s="204">
        <f t="shared" si="49"/>
        <v>26</v>
      </c>
      <c r="S99" s="65">
        <f t="shared" si="44"/>
        <v>0</v>
      </c>
      <c r="T99" s="157">
        <f t="shared" si="41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  <c r="CO99" s="168"/>
      <c r="CP99" s="168"/>
      <c r="CQ99" s="168"/>
      <c r="CR99" s="168"/>
      <c r="CS99" s="168"/>
      <c r="CT99" s="168"/>
      <c r="CU99" s="168"/>
      <c r="CV99" s="168"/>
      <c r="CW99" s="168"/>
      <c r="CX99" s="168"/>
      <c r="CY99" s="168"/>
      <c r="CZ99" s="168"/>
      <c r="DA99" s="168"/>
      <c r="DB99" s="168"/>
      <c r="DC99" s="168"/>
      <c r="DD99" s="168"/>
      <c r="DE99" s="168"/>
      <c r="DF99" s="168"/>
    </row>
    <row r="100" spans="2:110" ht="29" x14ac:dyDescent="0.35">
      <c r="B100" s="583"/>
      <c r="C100" s="60">
        <v>127</v>
      </c>
      <c r="D100" s="226" t="s">
        <v>231</v>
      </c>
      <c r="E100" s="195">
        <v>45978</v>
      </c>
      <c r="F100" s="195">
        <v>45984</v>
      </c>
      <c r="G100" s="196">
        <f t="shared" si="50"/>
        <v>6</v>
      </c>
      <c r="H100" s="195">
        <f t="shared" si="51"/>
        <v>45978</v>
      </c>
      <c r="I100" s="195">
        <f t="shared" si="52"/>
        <v>45984</v>
      </c>
      <c r="J100" s="199" t="s">
        <v>2</v>
      </c>
      <c r="K100" s="200">
        <v>26</v>
      </c>
      <c r="L100" s="201"/>
      <c r="M100" s="201"/>
      <c r="N100" s="198" t="str">
        <f t="shared" si="45"/>
        <v/>
      </c>
      <c r="O100" s="202" t="str">
        <f t="shared" si="46"/>
        <v>-</v>
      </c>
      <c r="P100" s="205">
        <f t="shared" si="47"/>
        <v>0</v>
      </c>
      <c r="Q100" s="207">
        <f t="shared" si="48"/>
        <v>0</v>
      </c>
      <c r="R100" s="204">
        <f t="shared" si="49"/>
        <v>26</v>
      </c>
      <c r="S100" s="65">
        <f t="shared" ref="S100:S120" si="53">SUM(U100:XFD100)</f>
        <v>0</v>
      </c>
      <c r="T100" s="157">
        <f t="shared" si="41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8"/>
      <c r="CT100" s="168"/>
      <c r="CU100" s="168"/>
      <c r="CV100" s="168"/>
      <c r="CW100" s="168"/>
      <c r="CX100" s="168"/>
      <c r="CY100" s="168"/>
      <c r="CZ100" s="168"/>
      <c r="DA100" s="168"/>
      <c r="DB100" s="168"/>
      <c r="DC100" s="168"/>
      <c r="DD100" s="168"/>
      <c r="DE100" s="168"/>
      <c r="DF100" s="168"/>
    </row>
    <row r="101" spans="2:110" ht="29" x14ac:dyDescent="0.35">
      <c r="B101" s="583"/>
      <c r="C101" s="60">
        <v>128</v>
      </c>
      <c r="D101" s="226" t="s">
        <v>434</v>
      </c>
      <c r="E101" s="195">
        <v>45985</v>
      </c>
      <c r="F101" s="195">
        <v>45989</v>
      </c>
      <c r="G101" s="196">
        <f t="shared" si="50"/>
        <v>4</v>
      </c>
      <c r="H101" s="195">
        <f t="shared" si="51"/>
        <v>45985</v>
      </c>
      <c r="I101" s="195">
        <f t="shared" si="52"/>
        <v>45989</v>
      </c>
      <c r="J101" s="199" t="s">
        <v>2</v>
      </c>
      <c r="K101" s="200">
        <v>26</v>
      </c>
      <c r="L101" s="201"/>
      <c r="M101" s="201"/>
      <c r="N101" s="198" t="str">
        <f t="shared" si="45"/>
        <v/>
      </c>
      <c r="O101" s="202" t="str">
        <f t="shared" si="46"/>
        <v>-</v>
      </c>
      <c r="P101" s="205">
        <f t="shared" si="47"/>
        <v>0</v>
      </c>
      <c r="Q101" s="207">
        <f t="shared" si="48"/>
        <v>0</v>
      </c>
      <c r="R101" s="204">
        <f t="shared" si="49"/>
        <v>26</v>
      </c>
      <c r="S101" s="65">
        <f t="shared" si="53"/>
        <v>0</v>
      </c>
      <c r="T101" s="157">
        <f t="shared" si="41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  <c r="CO101" s="168"/>
      <c r="CP101" s="168"/>
      <c r="CQ101" s="168"/>
      <c r="CR101" s="168"/>
      <c r="CS101" s="168"/>
      <c r="CT101" s="168"/>
      <c r="CU101" s="168"/>
      <c r="CV101" s="168"/>
      <c r="CW101" s="168"/>
      <c r="CX101" s="168"/>
      <c r="CY101" s="168"/>
      <c r="CZ101" s="168"/>
      <c r="DA101" s="168"/>
      <c r="DB101" s="168"/>
      <c r="DC101" s="168"/>
      <c r="DD101" s="168"/>
      <c r="DE101" s="168"/>
      <c r="DF101" s="168"/>
    </row>
    <row r="102" spans="2:110" ht="29" x14ac:dyDescent="0.35">
      <c r="B102" s="583"/>
      <c r="C102" s="60">
        <v>129</v>
      </c>
      <c r="D102" s="226" t="s">
        <v>435</v>
      </c>
      <c r="E102" s="195">
        <v>45985</v>
      </c>
      <c r="F102" s="195">
        <v>45992</v>
      </c>
      <c r="G102" s="196">
        <f t="shared" si="50"/>
        <v>7</v>
      </c>
      <c r="H102" s="195">
        <f t="shared" si="51"/>
        <v>45985</v>
      </c>
      <c r="I102" s="195">
        <f t="shared" si="52"/>
        <v>45992</v>
      </c>
      <c r="J102" s="199" t="s">
        <v>2</v>
      </c>
      <c r="K102" s="200">
        <v>26</v>
      </c>
      <c r="L102" s="201"/>
      <c r="M102" s="201"/>
      <c r="N102" s="198" t="str">
        <f t="shared" si="45"/>
        <v/>
      </c>
      <c r="O102" s="202" t="str">
        <f t="shared" si="46"/>
        <v>-</v>
      </c>
      <c r="P102" s="205">
        <f t="shared" si="47"/>
        <v>0</v>
      </c>
      <c r="Q102" s="207">
        <f t="shared" si="48"/>
        <v>0</v>
      </c>
      <c r="R102" s="204">
        <f t="shared" si="49"/>
        <v>26</v>
      </c>
      <c r="S102" s="65">
        <f t="shared" si="53"/>
        <v>0</v>
      </c>
      <c r="T102" s="157">
        <f t="shared" si="41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  <c r="CO102" s="168"/>
      <c r="CP102" s="168"/>
      <c r="CQ102" s="168"/>
      <c r="CR102" s="168"/>
      <c r="CS102" s="168"/>
      <c r="CT102" s="168"/>
      <c r="CU102" s="168"/>
      <c r="CV102" s="168"/>
      <c r="CW102" s="168"/>
      <c r="CX102" s="168"/>
      <c r="CY102" s="168"/>
      <c r="CZ102" s="168"/>
      <c r="DA102" s="168"/>
      <c r="DB102" s="168"/>
      <c r="DC102" s="168"/>
      <c r="DD102" s="168"/>
      <c r="DE102" s="168"/>
      <c r="DF102" s="168"/>
    </row>
    <row r="103" spans="2:110" x14ac:dyDescent="0.35">
      <c r="B103" s="583"/>
      <c r="C103" s="60">
        <v>130</v>
      </c>
      <c r="D103" s="226" t="s">
        <v>234</v>
      </c>
      <c r="E103" s="195">
        <v>45988</v>
      </c>
      <c r="F103" s="195">
        <v>46017</v>
      </c>
      <c r="G103" s="196">
        <f t="shared" si="50"/>
        <v>29</v>
      </c>
      <c r="H103" s="195">
        <f t="shared" si="51"/>
        <v>45988</v>
      </c>
      <c r="I103" s="195">
        <f t="shared" si="52"/>
        <v>46017</v>
      </c>
      <c r="J103" s="199" t="s">
        <v>2</v>
      </c>
      <c r="K103" s="200">
        <v>26</v>
      </c>
      <c r="L103" s="201"/>
      <c r="M103" s="201"/>
      <c r="N103" s="198" t="str">
        <f t="shared" si="45"/>
        <v/>
      </c>
      <c r="O103" s="202" t="str">
        <f t="shared" si="46"/>
        <v>-</v>
      </c>
      <c r="P103" s="205">
        <f t="shared" si="47"/>
        <v>0</v>
      </c>
      <c r="Q103" s="207">
        <f t="shared" si="48"/>
        <v>0</v>
      </c>
      <c r="R103" s="204">
        <f t="shared" si="49"/>
        <v>26</v>
      </c>
      <c r="S103" s="65">
        <f t="shared" si="53"/>
        <v>0</v>
      </c>
      <c r="T103" s="157">
        <f t="shared" si="41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  <c r="CD103" s="168"/>
      <c r="CE103" s="168"/>
      <c r="CF103" s="168"/>
      <c r="CG103" s="168"/>
      <c r="CH103" s="168"/>
      <c r="CI103" s="168"/>
      <c r="CJ103" s="168"/>
      <c r="CK103" s="168"/>
      <c r="CL103" s="168"/>
      <c r="CM103" s="168"/>
      <c r="CN103" s="168"/>
      <c r="CO103" s="168"/>
      <c r="CP103" s="168"/>
      <c r="CQ103" s="168"/>
      <c r="CR103" s="168"/>
      <c r="CS103" s="168"/>
      <c r="CT103" s="168"/>
      <c r="CU103" s="168"/>
      <c r="CV103" s="168"/>
      <c r="CW103" s="168"/>
      <c r="CX103" s="168"/>
      <c r="CY103" s="168"/>
      <c r="CZ103" s="168"/>
      <c r="DA103" s="168"/>
      <c r="DB103" s="168"/>
      <c r="DC103" s="168"/>
      <c r="DD103" s="168"/>
      <c r="DE103" s="168"/>
      <c r="DF103" s="168"/>
    </row>
    <row r="104" spans="2:110" x14ac:dyDescent="0.35">
      <c r="B104" s="583"/>
      <c r="C104" s="60">
        <v>131</v>
      </c>
      <c r="D104" s="226" t="s">
        <v>430</v>
      </c>
      <c r="E104" s="195">
        <v>45997</v>
      </c>
      <c r="F104" s="195">
        <v>46028</v>
      </c>
      <c r="G104" s="196">
        <f t="shared" si="50"/>
        <v>31</v>
      </c>
      <c r="H104" s="195">
        <f t="shared" si="51"/>
        <v>45997</v>
      </c>
      <c r="I104" s="195">
        <f t="shared" si="52"/>
        <v>46028</v>
      </c>
      <c r="J104" s="199" t="s">
        <v>2</v>
      </c>
      <c r="K104" s="200">
        <v>26</v>
      </c>
      <c r="L104" s="201"/>
      <c r="M104" s="201"/>
      <c r="N104" s="198" t="str">
        <f t="shared" si="45"/>
        <v/>
      </c>
      <c r="O104" s="202" t="str">
        <f t="shared" si="46"/>
        <v>-</v>
      </c>
      <c r="P104" s="205">
        <f t="shared" si="47"/>
        <v>0</v>
      </c>
      <c r="Q104" s="207">
        <f t="shared" si="48"/>
        <v>0</v>
      </c>
      <c r="R104" s="204">
        <f t="shared" si="49"/>
        <v>26</v>
      </c>
      <c r="S104" s="65">
        <f t="shared" si="53"/>
        <v>0</v>
      </c>
      <c r="T104" s="157">
        <f t="shared" si="41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  <c r="CO104" s="168"/>
      <c r="CP104" s="168"/>
      <c r="CQ104" s="168"/>
      <c r="CR104" s="168"/>
      <c r="CS104" s="168"/>
      <c r="CT104" s="168"/>
      <c r="CU104" s="168"/>
      <c r="CV104" s="168"/>
      <c r="CW104" s="168"/>
      <c r="CX104" s="168"/>
      <c r="CY104" s="168"/>
      <c r="CZ104" s="168"/>
      <c r="DA104" s="168"/>
      <c r="DB104" s="168"/>
      <c r="DC104" s="168"/>
      <c r="DD104" s="168"/>
      <c r="DE104" s="168"/>
      <c r="DF104" s="168"/>
    </row>
    <row r="105" spans="2:110" x14ac:dyDescent="0.35">
      <c r="B105" s="583"/>
      <c r="C105" s="60">
        <v>132</v>
      </c>
      <c r="D105" s="226" t="s">
        <v>236</v>
      </c>
      <c r="E105" s="195">
        <v>46006</v>
      </c>
      <c r="F105" s="195">
        <v>46004</v>
      </c>
      <c r="G105" s="196">
        <f t="shared" si="50"/>
        <v>-2</v>
      </c>
      <c r="H105" s="195">
        <f t="shared" si="51"/>
        <v>46006</v>
      </c>
      <c r="I105" s="195">
        <f t="shared" si="52"/>
        <v>46004</v>
      </c>
      <c r="J105" s="199" t="s">
        <v>2</v>
      </c>
      <c r="K105" s="200">
        <v>26</v>
      </c>
      <c r="L105" s="201"/>
      <c r="M105" s="201"/>
      <c r="N105" s="198" t="str">
        <f t="shared" ref="N105:N120" si="54">IF(OR(M105="",L105=""),"",INT(M105-L105+1))</f>
        <v/>
      </c>
      <c r="O105" s="202" t="str">
        <f t="shared" ref="O105:O120" si="55">IFERROR(K105/N105,"-")</f>
        <v>-</v>
      </c>
      <c r="P105" s="205">
        <f t="shared" ref="P105:P120" si="56">IFERROR(SUMIF($U$2:$AT$2,"&lt;="&amp;$D$1,U105:BN105)/K105,"-")</f>
        <v>0</v>
      </c>
      <c r="Q105" s="207">
        <f t="shared" ref="Q105:Q120" si="57">SUMIF($U$2:$AT$2,"&lt;="&amp;$D$1,U105:AT105)</f>
        <v>0</v>
      </c>
      <c r="R105" s="204">
        <f t="shared" ref="R105:R115" si="58">K105-Q105</f>
        <v>26</v>
      </c>
      <c r="S105" s="65">
        <f t="shared" si="53"/>
        <v>0</v>
      </c>
      <c r="T105" s="157">
        <f t="shared" si="41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  <c r="CO105" s="168"/>
      <c r="CP105" s="168"/>
      <c r="CQ105" s="168"/>
      <c r="CR105" s="168"/>
      <c r="CS105" s="168"/>
      <c r="CT105" s="168"/>
      <c r="CU105" s="168"/>
      <c r="CV105" s="168"/>
      <c r="CW105" s="168"/>
      <c r="CX105" s="168"/>
      <c r="CY105" s="168"/>
      <c r="CZ105" s="168"/>
      <c r="DA105" s="168"/>
      <c r="DB105" s="168"/>
      <c r="DC105" s="168"/>
      <c r="DD105" s="168"/>
      <c r="DE105" s="168"/>
      <c r="DF105" s="168"/>
    </row>
    <row r="106" spans="2:110" x14ac:dyDescent="0.35">
      <c r="B106" s="583"/>
      <c r="C106" s="60">
        <v>133</v>
      </c>
      <c r="D106" s="226" t="s">
        <v>237</v>
      </c>
      <c r="E106" s="195">
        <v>46016</v>
      </c>
      <c r="F106" s="195">
        <v>46032</v>
      </c>
      <c r="G106" s="196">
        <f t="shared" si="50"/>
        <v>16</v>
      </c>
      <c r="H106" s="195">
        <f t="shared" si="51"/>
        <v>46016</v>
      </c>
      <c r="I106" s="195">
        <f t="shared" si="52"/>
        <v>46032</v>
      </c>
      <c r="J106" s="199" t="s">
        <v>2</v>
      </c>
      <c r="K106" s="200">
        <v>26</v>
      </c>
      <c r="L106" s="201"/>
      <c r="M106" s="201"/>
      <c r="N106" s="198" t="str">
        <f t="shared" si="54"/>
        <v/>
      </c>
      <c r="O106" s="202" t="str">
        <f t="shared" si="55"/>
        <v>-</v>
      </c>
      <c r="P106" s="205">
        <f t="shared" si="56"/>
        <v>0</v>
      </c>
      <c r="Q106" s="207">
        <f t="shared" si="57"/>
        <v>0</v>
      </c>
      <c r="R106" s="204">
        <f t="shared" si="58"/>
        <v>26</v>
      </c>
      <c r="S106" s="65">
        <f t="shared" si="53"/>
        <v>0</v>
      </c>
      <c r="T106" s="157">
        <f t="shared" si="41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8"/>
      <c r="CT106" s="168"/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</row>
    <row r="107" spans="2:110" x14ac:dyDescent="0.35">
      <c r="B107" s="583" t="s">
        <v>238</v>
      </c>
      <c r="C107" s="60">
        <v>134</v>
      </c>
      <c r="D107" s="226" t="s">
        <v>239</v>
      </c>
      <c r="E107" s="195">
        <v>45914</v>
      </c>
      <c r="F107" s="195">
        <v>45966</v>
      </c>
      <c r="G107" s="196">
        <f t="shared" si="50"/>
        <v>52</v>
      </c>
      <c r="H107" s="195">
        <f t="shared" si="51"/>
        <v>45914</v>
      </c>
      <c r="I107" s="195">
        <f t="shared" si="52"/>
        <v>45966</v>
      </c>
      <c r="J107" s="209" t="s">
        <v>13</v>
      </c>
      <c r="K107" s="200">
        <v>1173</v>
      </c>
      <c r="L107" s="201"/>
      <c r="M107" s="201"/>
      <c r="N107" s="198" t="str">
        <f t="shared" si="54"/>
        <v/>
      </c>
      <c r="O107" s="202" t="str">
        <f t="shared" si="55"/>
        <v>-</v>
      </c>
      <c r="P107" s="205">
        <f t="shared" si="56"/>
        <v>0</v>
      </c>
      <c r="Q107" s="207">
        <f t="shared" si="57"/>
        <v>0</v>
      </c>
      <c r="R107" s="204">
        <f t="shared" si="58"/>
        <v>1173</v>
      </c>
      <c r="S107" s="65">
        <f t="shared" si="53"/>
        <v>0</v>
      </c>
      <c r="T107" s="157">
        <f t="shared" si="41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  <c r="CO107" s="168"/>
      <c r="CP107" s="168"/>
      <c r="CQ107" s="168"/>
      <c r="CR107" s="168"/>
      <c r="CS107" s="168"/>
      <c r="CT107" s="168"/>
      <c r="CU107" s="168"/>
      <c r="CV107" s="168"/>
      <c r="CW107" s="168"/>
      <c r="CX107" s="168"/>
      <c r="CY107" s="168"/>
      <c r="CZ107" s="168"/>
      <c r="DA107" s="168"/>
      <c r="DB107" s="168"/>
      <c r="DC107" s="168"/>
      <c r="DD107" s="168"/>
      <c r="DE107" s="168"/>
      <c r="DF107" s="168"/>
    </row>
    <row r="108" spans="2:110" x14ac:dyDescent="0.35">
      <c r="B108" s="583"/>
      <c r="C108" s="60">
        <v>135</v>
      </c>
      <c r="D108" s="226" t="s">
        <v>240</v>
      </c>
      <c r="E108" s="195">
        <v>45935</v>
      </c>
      <c r="F108" s="195">
        <v>45974</v>
      </c>
      <c r="G108" s="196">
        <f t="shared" si="50"/>
        <v>39</v>
      </c>
      <c r="H108" s="195">
        <f t="shared" si="51"/>
        <v>45935</v>
      </c>
      <c r="I108" s="195">
        <f t="shared" si="52"/>
        <v>45974</v>
      </c>
      <c r="J108" s="209" t="s">
        <v>13</v>
      </c>
      <c r="K108" s="200">
        <v>1173</v>
      </c>
      <c r="L108" s="201"/>
      <c r="M108" s="201"/>
      <c r="N108" s="198" t="str">
        <f t="shared" si="54"/>
        <v/>
      </c>
      <c r="O108" s="202" t="str">
        <f t="shared" si="55"/>
        <v>-</v>
      </c>
      <c r="P108" s="205">
        <f t="shared" si="56"/>
        <v>0</v>
      </c>
      <c r="Q108" s="207">
        <f t="shared" si="57"/>
        <v>0</v>
      </c>
      <c r="R108" s="204">
        <f t="shared" si="58"/>
        <v>1173</v>
      </c>
      <c r="S108" s="65">
        <f t="shared" si="53"/>
        <v>0</v>
      </c>
      <c r="T108" s="157">
        <f t="shared" si="41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/>
      <c r="CM108" s="168"/>
      <c r="CN108" s="168"/>
      <c r="CO108" s="168"/>
      <c r="CP108" s="168"/>
      <c r="CQ108" s="168"/>
      <c r="CR108" s="168"/>
      <c r="CS108" s="168"/>
      <c r="CT108" s="168"/>
      <c r="CU108" s="168"/>
      <c r="CV108" s="168"/>
      <c r="CW108" s="168"/>
      <c r="CX108" s="168"/>
      <c r="CY108" s="168"/>
      <c r="CZ108" s="168"/>
      <c r="DA108" s="168"/>
      <c r="DB108" s="168"/>
      <c r="DC108" s="168"/>
      <c r="DD108" s="168"/>
      <c r="DE108" s="168"/>
      <c r="DF108" s="168"/>
    </row>
    <row r="109" spans="2:110" x14ac:dyDescent="0.35">
      <c r="B109" s="583"/>
      <c r="C109" s="60">
        <v>136</v>
      </c>
      <c r="D109" s="226" t="s">
        <v>241</v>
      </c>
      <c r="E109" s="195">
        <v>45976</v>
      </c>
      <c r="F109" s="195">
        <v>45996</v>
      </c>
      <c r="G109" s="196">
        <f t="shared" si="50"/>
        <v>20</v>
      </c>
      <c r="H109" s="195">
        <f t="shared" si="51"/>
        <v>45976</v>
      </c>
      <c r="I109" s="195">
        <f t="shared" si="52"/>
        <v>45996</v>
      </c>
      <c r="J109" s="209" t="s">
        <v>13</v>
      </c>
      <c r="K109" s="200">
        <v>1173</v>
      </c>
      <c r="L109" s="201"/>
      <c r="M109" s="201"/>
      <c r="N109" s="198" t="str">
        <f t="shared" si="54"/>
        <v/>
      </c>
      <c r="O109" s="202" t="str">
        <f t="shared" si="55"/>
        <v>-</v>
      </c>
      <c r="P109" s="205">
        <f t="shared" si="56"/>
        <v>0</v>
      </c>
      <c r="Q109" s="207">
        <f t="shared" si="57"/>
        <v>0</v>
      </c>
      <c r="R109" s="204">
        <f t="shared" si="58"/>
        <v>1173</v>
      </c>
      <c r="S109" s="65">
        <f t="shared" si="53"/>
        <v>0</v>
      </c>
      <c r="T109" s="157">
        <f t="shared" si="41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</row>
    <row r="110" spans="2:110" x14ac:dyDescent="0.35">
      <c r="B110" s="583"/>
      <c r="C110" s="60">
        <v>137</v>
      </c>
      <c r="D110" s="226" t="s">
        <v>242</v>
      </c>
      <c r="E110" s="195">
        <v>45979</v>
      </c>
      <c r="F110" s="195">
        <v>46001</v>
      </c>
      <c r="G110" s="196">
        <f t="shared" si="50"/>
        <v>22</v>
      </c>
      <c r="H110" s="195">
        <f t="shared" si="51"/>
        <v>45979</v>
      </c>
      <c r="I110" s="195">
        <f t="shared" si="52"/>
        <v>46001</v>
      </c>
      <c r="J110" s="209" t="s">
        <v>13</v>
      </c>
      <c r="K110" s="200">
        <v>1173</v>
      </c>
      <c r="L110" s="201"/>
      <c r="M110" s="201"/>
      <c r="N110" s="198" t="str">
        <f t="shared" si="54"/>
        <v/>
      </c>
      <c r="O110" s="202" t="str">
        <f t="shared" si="55"/>
        <v>-</v>
      </c>
      <c r="P110" s="205">
        <f t="shared" si="56"/>
        <v>0</v>
      </c>
      <c r="Q110" s="207">
        <f t="shared" si="57"/>
        <v>0</v>
      </c>
      <c r="R110" s="204">
        <f t="shared" si="58"/>
        <v>1173</v>
      </c>
      <c r="S110" s="65">
        <f t="shared" si="53"/>
        <v>0</v>
      </c>
      <c r="T110" s="157">
        <f t="shared" si="41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  <c r="CO110" s="168"/>
      <c r="CP110" s="168"/>
      <c r="CQ110" s="168"/>
      <c r="CR110" s="168"/>
      <c r="CS110" s="168"/>
      <c r="CT110" s="168"/>
      <c r="CU110" s="168"/>
      <c r="CV110" s="168"/>
      <c r="CW110" s="168"/>
      <c r="CX110" s="168"/>
      <c r="CY110" s="168"/>
      <c r="CZ110" s="168"/>
      <c r="DA110" s="168"/>
      <c r="DB110" s="168"/>
      <c r="DC110" s="168"/>
      <c r="DD110" s="168"/>
      <c r="DE110" s="168"/>
      <c r="DF110" s="168"/>
    </row>
    <row r="111" spans="2:110" x14ac:dyDescent="0.35">
      <c r="B111" s="583"/>
      <c r="C111" s="60">
        <v>138</v>
      </c>
      <c r="D111" s="226" t="s">
        <v>243</v>
      </c>
      <c r="E111" s="195">
        <v>45986</v>
      </c>
      <c r="F111" s="195">
        <v>45981</v>
      </c>
      <c r="G111" s="196">
        <f t="shared" si="50"/>
        <v>-5</v>
      </c>
      <c r="H111" s="195">
        <f t="shared" si="51"/>
        <v>45986</v>
      </c>
      <c r="I111" s="195">
        <f t="shared" si="52"/>
        <v>45981</v>
      </c>
      <c r="J111" s="209" t="s">
        <v>13</v>
      </c>
      <c r="K111" s="200">
        <v>1173</v>
      </c>
      <c r="L111" s="201"/>
      <c r="M111" s="201"/>
      <c r="N111" s="198" t="str">
        <f t="shared" si="54"/>
        <v/>
      </c>
      <c r="O111" s="202" t="str">
        <f t="shared" si="55"/>
        <v>-</v>
      </c>
      <c r="P111" s="205">
        <f t="shared" si="56"/>
        <v>0</v>
      </c>
      <c r="Q111" s="207">
        <f t="shared" si="57"/>
        <v>0</v>
      </c>
      <c r="R111" s="204">
        <f t="shared" si="58"/>
        <v>1173</v>
      </c>
      <c r="S111" s="65">
        <f t="shared" si="53"/>
        <v>0</v>
      </c>
      <c r="T111" s="157">
        <f t="shared" si="41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  <c r="CO111" s="168"/>
      <c r="CP111" s="168"/>
      <c r="CQ111" s="168"/>
      <c r="CR111" s="168"/>
      <c r="CS111" s="168"/>
      <c r="CT111" s="168"/>
      <c r="CU111" s="168"/>
      <c r="CV111" s="168"/>
      <c r="CW111" s="168"/>
      <c r="CX111" s="168"/>
      <c r="CY111" s="168"/>
      <c r="CZ111" s="168"/>
      <c r="DA111" s="168"/>
      <c r="DB111" s="168"/>
      <c r="DC111" s="168"/>
      <c r="DD111" s="168"/>
      <c r="DE111" s="168"/>
      <c r="DF111" s="168"/>
    </row>
    <row r="112" spans="2:110" ht="29" x14ac:dyDescent="0.35">
      <c r="B112" s="583"/>
      <c r="C112" s="60">
        <v>139</v>
      </c>
      <c r="D112" s="226" t="s">
        <v>244</v>
      </c>
      <c r="E112" s="195">
        <v>45859</v>
      </c>
      <c r="F112" s="195">
        <v>46021</v>
      </c>
      <c r="G112" s="196">
        <f t="shared" si="50"/>
        <v>162</v>
      </c>
      <c r="H112" s="195">
        <f t="shared" si="51"/>
        <v>45859</v>
      </c>
      <c r="I112" s="195">
        <f t="shared" si="52"/>
        <v>46021</v>
      </c>
      <c r="J112" s="199" t="s">
        <v>2</v>
      </c>
      <c r="K112" s="200">
        <v>26</v>
      </c>
      <c r="L112" s="201"/>
      <c r="M112" s="201"/>
      <c r="N112" s="198" t="str">
        <f t="shared" si="54"/>
        <v/>
      </c>
      <c r="O112" s="202" t="str">
        <f t="shared" si="55"/>
        <v>-</v>
      </c>
      <c r="P112" s="205">
        <f t="shared" si="56"/>
        <v>0</v>
      </c>
      <c r="Q112" s="207">
        <f t="shared" si="57"/>
        <v>0</v>
      </c>
      <c r="R112" s="204">
        <f t="shared" si="58"/>
        <v>26</v>
      </c>
      <c r="S112" s="65">
        <f t="shared" si="53"/>
        <v>0</v>
      </c>
      <c r="T112" s="157">
        <f t="shared" si="41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  <c r="CO112" s="168"/>
      <c r="CP112" s="168"/>
      <c r="CQ112" s="168"/>
      <c r="CR112" s="168"/>
      <c r="CS112" s="168"/>
      <c r="CT112" s="168"/>
      <c r="CU112" s="168"/>
      <c r="CV112" s="168"/>
      <c r="CW112" s="168"/>
      <c r="CX112" s="168"/>
      <c r="CY112" s="168"/>
      <c r="CZ112" s="168"/>
      <c r="DA112" s="168"/>
      <c r="DB112" s="168"/>
      <c r="DC112" s="168"/>
      <c r="DD112" s="168"/>
      <c r="DE112" s="168"/>
      <c r="DF112" s="168"/>
    </row>
    <row r="113" spans="2:110" ht="29" x14ac:dyDescent="0.35">
      <c r="B113" s="583" t="s">
        <v>245</v>
      </c>
      <c r="C113" s="60">
        <v>140</v>
      </c>
      <c r="D113" s="226" t="s">
        <v>268</v>
      </c>
      <c r="E113" s="195">
        <v>45926</v>
      </c>
      <c r="F113" s="195">
        <v>45941</v>
      </c>
      <c r="G113" s="196">
        <f t="shared" si="50"/>
        <v>15</v>
      </c>
      <c r="H113" s="195">
        <f t="shared" si="51"/>
        <v>45926</v>
      </c>
      <c r="I113" s="195">
        <f t="shared" si="52"/>
        <v>45941</v>
      </c>
      <c r="J113" s="199" t="s">
        <v>2</v>
      </c>
      <c r="K113" s="200">
        <v>26</v>
      </c>
      <c r="L113" s="201"/>
      <c r="M113" s="201"/>
      <c r="N113" s="198" t="str">
        <f t="shared" si="54"/>
        <v/>
      </c>
      <c r="O113" s="202" t="str">
        <f t="shared" si="55"/>
        <v>-</v>
      </c>
      <c r="P113" s="205">
        <f t="shared" si="56"/>
        <v>0</v>
      </c>
      <c r="Q113" s="207">
        <f t="shared" si="57"/>
        <v>0</v>
      </c>
      <c r="R113" s="204">
        <f t="shared" si="58"/>
        <v>26</v>
      </c>
      <c r="S113" s="65">
        <f t="shared" si="53"/>
        <v>0</v>
      </c>
      <c r="T113" s="157">
        <f t="shared" si="41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8"/>
      <c r="CT113" s="168"/>
      <c r="CU113" s="168"/>
      <c r="CV113" s="168"/>
      <c r="CW113" s="168"/>
      <c r="CX113" s="168"/>
      <c r="CY113" s="168"/>
      <c r="CZ113" s="168"/>
      <c r="DA113" s="168"/>
      <c r="DB113" s="168"/>
      <c r="DC113" s="168"/>
      <c r="DD113" s="168"/>
      <c r="DE113" s="168"/>
      <c r="DF113" s="168"/>
    </row>
    <row r="114" spans="2:110" ht="43.5" x14ac:dyDescent="0.35">
      <c r="B114" s="583"/>
      <c r="C114" s="60">
        <v>141</v>
      </c>
      <c r="D114" s="226" t="s">
        <v>267</v>
      </c>
      <c r="E114" s="195">
        <v>45929</v>
      </c>
      <c r="F114" s="195">
        <v>46029</v>
      </c>
      <c r="G114" s="196">
        <f t="shared" si="50"/>
        <v>100</v>
      </c>
      <c r="H114" s="195">
        <f t="shared" si="51"/>
        <v>45929</v>
      </c>
      <c r="I114" s="195">
        <f t="shared" si="52"/>
        <v>46029</v>
      </c>
      <c r="J114" s="199" t="s">
        <v>2</v>
      </c>
      <c r="K114" s="200">
        <v>26</v>
      </c>
      <c r="L114" s="201"/>
      <c r="M114" s="201"/>
      <c r="N114" s="198" t="str">
        <f t="shared" si="54"/>
        <v/>
      </c>
      <c r="O114" s="202" t="str">
        <f t="shared" si="55"/>
        <v>-</v>
      </c>
      <c r="P114" s="205">
        <f t="shared" si="56"/>
        <v>0</v>
      </c>
      <c r="Q114" s="207">
        <f t="shared" si="57"/>
        <v>0</v>
      </c>
      <c r="R114" s="204">
        <f t="shared" si="58"/>
        <v>26</v>
      </c>
      <c r="S114" s="65">
        <f t="shared" si="53"/>
        <v>0</v>
      </c>
      <c r="T114" s="157">
        <f t="shared" si="41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  <c r="CO114" s="168"/>
      <c r="CP114" s="168"/>
      <c r="CQ114" s="168"/>
      <c r="CR114" s="168"/>
      <c r="CS114" s="168"/>
      <c r="CT114" s="168"/>
      <c r="CU114" s="168"/>
      <c r="CV114" s="168"/>
      <c r="CW114" s="168"/>
      <c r="CX114" s="168"/>
      <c r="CY114" s="168"/>
      <c r="CZ114" s="168"/>
      <c r="DA114" s="168"/>
      <c r="DB114" s="168"/>
      <c r="DC114" s="168"/>
      <c r="DD114" s="168"/>
      <c r="DE114" s="168"/>
      <c r="DF114" s="168"/>
    </row>
    <row r="115" spans="2:110" x14ac:dyDescent="0.35">
      <c r="B115" s="583"/>
      <c r="C115" s="60">
        <v>143</v>
      </c>
      <c r="D115" s="226" t="s">
        <v>42</v>
      </c>
      <c r="E115" s="195">
        <v>45940</v>
      </c>
      <c r="F115" s="195">
        <v>46042</v>
      </c>
      <c r="G115" s="196">
        <f t="shared" si="50"/>
        <v>102</v>
      </c>
      <c r="H115" s="195">
        <f t="shared" si="51"/>
        <v>45940</v>
      </c>
      <c r="I115" s="195">
        <f t="shared" si="52"/>
        <v>46042</v>
      </c>
      <c r="J115" s="199" t="s">
        <v>2</v>
      </c>
      <c r="K115" s="200">
        <v>26</v>
      </c>
      <c r="L115" s="201"/>
      <c r="M115" s="201"/>
      <c r="N115" s="198" t="str">
        <f t="shared" si="54"/>
        <v/>
      </c>
      <c r="O115" s="202" t="str">
        <f t="shared" si="55"/>
        <v>-</v>
      </c>
      <c r="P115" s="205">
        <f t="shared" si="56"/>
        <v>0</v>
      </c>
      <c r="Q115" s="207">
        <f t="shared" si="57"/>
        <v>0</v>
      </c>
      <c r="R115" s="204">
        <f t="shared" si="58"/>
        <v>26</v>
      </c>
      <c r="S115" s="65">
        <f t="shared" si="53"/>
        <v>0</v>
      </c>
      <c r="T115" s="157">
        <f t="shared" si="41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</row>
    <row r="116" spans="2:110" ht="29" x14ac:dyDescent="0.35">
      <c r="B116" s="583" t="s">
        <v>247</v>
      </c>
      <c r="C116" s="60">
        <v>144</v>
      </c>
      <c r="D116" s="226" t="s">
        <v>248</v>
      </c>
      <c r="E116" s="195">
        <v>45966</v>
      </c>
      <c r="F116" s="195">
        <v>46032</v>
      </c>
      <c r="G116" s="196">
        <f t="shared" si="50"/>
        <v>66</v>
      </c>
      <c r="H116" s="195">
        <f t="shared" si="51"/>
        <v>45966</v>
      </c>
      <c r="I116" s="195">
        <f t="shared" si="52"/>
        <v>46032</v>
      </c>
      <c r="J116" s="199" t="s">
        <v>12</v>
      </c>
      <c r="K116" s="200">
        <v>100</v>
      </c>
      <c r="L116" s="201"/>
      <c r="M116" s="201"/>
      <c r="N116" s="198" t="str">
        <f t="shared" si="54"/>
        <v/>
      </c>
      <c r="O116" s="202" t="str">
        <f t="shared" si="55"/>
        <v>-</v>
      </c>
      <c r="P116" s="205">
        <f t="shared" si="56"/>
        <v>0</v>
      </c>
      <c r="Q116" s="207">
        <f t="shared" si="57"/>
        <v>0</v>
      </c>
      <c r="R116" s="204">
        <f>K116-Q116%</f>
        <v>100</v>
      </c>
      <c r="S116" s="65">
        <f t="shared" si="53"/>
        <v>0</v>
      </c>
      <c r="T116" s="157">
        <f t="shared" si="41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168"/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168"/>
      <c r="DA116" s="168"/>
      <c r="DB116" s="168"/>
      <c r="DC116" s="168"/>
      <c r="DD116" s="168"/>
      <c r="DE116" s="168"/>
      <c r="DF116" s="168"/>
    </row>
    <row r="117" spans="2:110" x14ac:dyDescent="0.35">
      <c r="B117" s="583"/>
      <c r="C117" s="60">
        <v>145</v>
      </c>
      <c r="D117" s="226" t="s">
        <v>432</v>
      </c>
      <c r="E117" s="195">
        <v>46011</v>
      </c>
      <c r="F117" s="195">
        <v>46040</v>
      </c>
      <c r="G117" s="196">
        <f t="shared" si="50"/>
        <v>29</v>
      </c>
      <c r="H117" s="195">
        <f t="shared" si="51"/>
        <v>46011</v>
      </c>
      <c r="I117" s="195">
        <f t="shared" si="52"/>
        <v>46040</v>
      </c>
      <c r="J117" s="199" t="s">
        <v>12</v>
      </c>
      <c r="K117" s="200">
        <v>100</v>
      </c>
      <c r="L117" s="201"/>
      <c r="M117" s="201"/>
      <c r="N117" s="198" t="str">
        <f t="shared" si="54"/>
        <v/>
      </c>
      <c r="O117" s="202" t="str">
        <f t="shared" si="55"/>
        <v>-</v>
      </c>
      <c r="P117" s="205">
        <f t="shared" si="56"/>
        <v>0</v>
      </c>
      <c r="Q117" s="207">
        <f t="shared" si="57"/>
        <v>0</v>
      </c>
      <c r="R117" s="204">
        <f>K117-Q117</f>
        <v>100</v>
      </c>
      <c r="S117" s="65">
        <f t="shared" si="53"/>
        <v>0</v>
      </c>
      <c r="T117" s="157">
        <f t="shared" si="41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8"/>
      <c r="DC117" s="168"/>
      <c r="DD117" s="168"/>
      <c r="DE117" s="168"/>
      <c r="DF117" s="168"/>
    </row>
    <row r="118" spans="2:110" ht="29" x14ac:dyDescent="0.35">
      <c r="B118" s="583"/>
      <c r="C118" s="60">
        <v>146</v>
      </c>
      <c r="D118" s="226" t="s">
        <v>250</v>
      </c>
      <c r="E118" s="195">
        <v>46012</v>
      </c>
      <c r="F118" s="195">
        <v>46031</v>
      </c>
      <c r="G118" s="196">
        <f t="shared" si="50"/>
        <v>19</v>
      </c>
      <c r="H118" s="195">
        <f t="shared" si="51"/>
        <v>46012</v>
      </c>
      <c r="I118" s="195">
        <f t="shared" si="52"/>
        <v>46031</v>
      </c>
      <c r="J118" s="199" t="s">
        <v>12</v>
      </c>
      <c r="K118" s="200">
        <v>100</v>
      </c>
      <c r="L118" s="201"/>
      <c r="M118" s="201"/>
      <c r="N118" s="198" t="str">
        <f t="shared" si="54"/>
        <v/>
      </c>
      <c r="O118" s="202" t="str">
        <f t="shared" si="55"/>
        <v>-</v>
      </c>
      <c r="P118" s="205">
        <f t="shared" si="56"/>
        <v>0</v>
      </c>
      <c r="Q118" s="207">
        <f t="shared" si="57"/>
        <v>0</v>
      </c>
      <c r="R118" s="204">
        <f>K118-Q118</f>
        <v>100</v>
      </c>
      <c r="S118" s="65">
        <f t="shared" si="53"/>
        <v>0</v>
      </c>
      <c r="T118" s="157">
        <f t="shared" si="41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  <c r="CO118" s="168"/>
      <c r="CP118" s="168"/>
      <c r="CQ118" s="168"/>
      <c r="CR118" s="168"/>
      <c r="CS118" s="168"/>
      <c r="CT118" s="168"/>
      <c r="CU118" s="168"/>
      <c r="CV118" s="168"/>
      <c r="CW118" s="168"/>
      <c r="CX118" s="168"/>
      <c r="CY118" s="168"/>
      <c r="CZ118" s="168"/>
      <c r="DA118" s="168"/>
      <c r="DB118" s="168"/>
      <c r="DC118" s="168"/>
      <c r="DD118" s="168"/>
      <c r="DE118" s="168"/>
      <c r="DF118" s="168"/>
    </row>
    <row r="119" spans="2:110" x14ac:dyDescent="0.35">
      <c r="B119" s="583"/>
      <c r="C119" s="60">
        <v>147</v>
      </c>
      <c r="D119" s="226" t="s">
        <v>251</v>
      </c>
      <c r="E119" s="195">
        <v>46032</v>
      </c>
      <c r="F119" s="195">
        <v>46047</v>
      </c>
      <c r="G119" s="196">
        <f t="shared" si="50"/>
        <v>15</v>
      </c>
      <c r="H119" s="195">
        <f t="shared" si="51"/>
        <v>46032</v>
      </c>
      <c r="I119" s="195">
        <f t="shared" si="52"/>
        <v>46047</v>
      </c>
      <c r="J119" s="199" t="s">
        <v>12</v>
      </c>
      <c r="K119" s="200">
        <v>100</v>
      </c>
      <c r="L119" s="201"/>
      <c r="M119" s="201"/>
      <c r="N119" s="198" t="str">
        <f t="shared" si="54"/>
        <v/>
      </c>
      <c r="O119" s="202" t="str">
        <f t="shared" si="55"/>
        <v>-</v>
      </c>
      <c r="P119" s="205">
        <f t="shared" si="56"/>
        <v>0</v>
      </c>
      <c r="Q119" s="207">
        <f t="shared" si="57"/>
        <v>0</v>
      </c>
      <c r="R119" s="204">
        <f>K119-Q119</f>
        <v>100</v>
      </c>
      <c r="S119" s="65">
        <f t="shared" si="53"/>
        <v>0</v>
      </c>
      <c r="T119" s="157">
        <f t="shared" ref="T119:T120" si="59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168"/>
      <c r="DB119" s="168"/>
      <c r="DC119" s="168"/>
      <c r="DD119" s="168"/>
      <c r="DE119" s="168"/>
      <c r="DF119" s="168"/>
    </row>
    <row r="120" spans="2:110" x14ac:dyDescent="0.35">
      <c r="B120" s="583"/>
      <c r="C120" s="60">
        <v>148</v>
      </c>
      <c r="D120" s="226" t="s">
        <v>54</v>
      </c>
      <c r="E120" s="195">
        <v>46048</v>
      </c>
      <c r="F120" s="195">
        <v>46058</v>
      </c>
      <c r="G120" s="196">
        <f t="shared" si="50"/>
        <v>10</v>
      </c>
      <c r="H120" s="195">
        <f t="shared" si="51"/>
        <v>46048</v>
      </c>
      <c r="I120" s="195">
        <f t="shared" si="52"/>
        <v>46058</v>
      </c>
      <c r="J120" s="199" t="s">
        <v>12</v>
      </c>
      <c r="K120" s="200">
        <v>100</v>
      </c>
      <c r="L120" s="201"/>
      <c r="M120" s="201"/>
      <c r="N120" s="198" t="str">
        <f t="shared" si="54"/>
        <v/>
      </c>
      <c r="O120" s="202" t="str">
        <f t="shared" si="55"/>
        <v>-</v>
      </c>
      <c r="P120" s="205">
        <f t="shared" si="56"/>
        <v>0</v>
      </c>
      <c r="Q120" s="207">
        <f t="shared" si="57"/>
        <v>0</v>
      </c>
      <c r="R120" s="204">
        <f>K120-Q120</f>
        <v>100</v>
      </c>
      <c r="S120" s="65">
        <f t="shared" si="53"/>
        <v>0</v>
      </c>
      <c r="T120" s="157">
        <f t="shared" si="59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/>
      <c r="CN120" s="168"/>
      <c r="CO120" s="168"/>
      <c r="CP120" s="168"/>
      <c r="CQ120" s="168"/>
      <c r="CR120" s="168"/>
      <c r="CS120" s="168"/>
      <c r="CT120" s="168"/>
      <c r="CU120" s="168"/>
      <c r="CV120" s="168"/>
      <c r="CW120" s="168"/>
      <c r="CX120" s="168"/>
      <c r="CY120" s="168"/>
      <c r="CZ120" s="168"/>
      <c r="DA120" s="168"/>
      <c r="DB120" s="168"/>
      <c r="DC120" s="168"/>
      <c r="DD120" s="168"/>
      <c r="DE120" s="168"/>
      <c r="DF120" s="168"/>
    </row>
    <row r="121" spans="2:110" x14ac:dyDescent="0.35">
      <c r="B121" s="574"/>
    </row>
    <row r="122" spans="2:110" x14ac:dyDescent="0.35">
      <c r="B122" s="575"/>
    </row>
    <row r="123" spans="2:110" x14ac:dyDescent="0.35">
      <c r="B123" s="575"/>
    </row>
    <row r="124" spans="2:110" x14ac:dyDescent="0.35">
      <c r="B124" s="575"/>
    </row>
    <row r="125" spans="2:110" x14ac:dyDescent="0.35">
      <c r="B125" s="575"/>
    </row>
    <row r="126" spans="2:110" x14ac:dyDescent="0.35">
      <c r="B126" s="575"/>
    </row>
    <row r="127" spans="2:110" x14ac:dyDescent="0.35">
      <c r="B127" s="575"/>
    </row>
    <row r="128" spans="2:110" x14ac:dyDescent="0.35">
      <c r="B128" s="575"/>
      <c r="K128" s="150"/>
    </row>
    <row r="129" spans="11:11" x14ac:dyDescent="0.35">
      <c r="K129" s="150"/>
    </row>
  </sheetData>
  <mergeCells count="37">
    <mergeCell ref="R2:R3"/>
    <mergeCell ref="S2:S3"/>
    <mergeCell ref="N2:N3"/>
    <mergeCell ref="O2:O3"/>
    <mergeCell ref="P2:P3"/>
    <mergeCell ref="Q2:Q3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ColWidth="8.75" defaultRowHeight="15.5" x14ac:dyDescent="0.35"/>
  <cols>
    <col min="1" max="1" width="7.75" style="123" customWidth="1"/>
    <col min="2" max="2" width="33.4140625" style="123" customWidth="1"/>
    <col min="3" max="3" width="13.08203125" style="123" customWidth="1"/>
    <col min="4" max="4" width="17.4140625" style="123" customWidth="1"/>
    <col min="5" max="5" width="49.6640625" style="123" customWidth="1"/>
    <col min="6" max="6" width="10.83203125" style="123" bestFit="1" customWidth="1"/>
    <col min="7" max="7" width="8.75" style="123"/>
    <col min="8" max="8" width="11.5" style="123" customWidth="1"/>
    <col min="9" max="16384" width="8.75" style="123"/>
  </cols>
  <sheetData>
    <row r="1" spans="1:9" x14ac:dyDescent="0.35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35">
      <c r="A2" s="135">
        <v>1</v>
      </c>
      <c r="B2" s="133" t="s">
        <v>342</v>
      </c>
      <c r="C2" s="134">
        <v>45783</v>
      </c>
      <c r="D2" s="187">
        <f>C2</f>
        <v>45783</v>
      </c>
      <c r="E2" s="188" t="s">
        <v>419</v>
      </c>
    </row>
    <row r="3" spans="1:9" x14ac:dyDescent="0.35">
      <c r="A3" s="135">
        <v>2</v>
      </c>
      <c r="B3" s="133" t="s">
        <v>343</v>
      </c>
      <c r="C3" s="134">
        <v>45803</v>
      </c>
      <c r="D3" s="187">
        <v>45807</v>
      </c>
      <c r="E3" s="188" t="s">
        <v>421</v>
      </c>
    </row>
    <row r="4" spans="1:9" x14ac:dyDescent="0.35">
      <c r="A4" s="124">
        <v>3</v>
      </c>
      <c r="B4" s="125" t="s">
        <v>344</v>
      </c>
      <c r="C4" s="126">
        <v>45816</v>
      </c>
      <c r="D4" s="183">
        <f t="shared" ref="D4:D21" si="0">C4</f>
        <v>45816</v>
      </c>
      <c r="E4" s="139"/>
    </row>
    <row r="5" spans="1:9" x14ac:dyDescent="0.35">
      <c r="A5" s="124">
        <v>4</v>
      </c>
      <c r="B5" s="125" t="s">
        <v>345</v>
      </c>
      <c r="C5" s="126">
        <v>45805</v>
      </c>
      <c r="D5" s="183">
        <v>45817</v>
      </c>
      <c r="E5" s="139"/>
    </row>
    <row r="6" spans="1:9" x14ac:dyDescent="0.35">
      <c r="A6" s="124">
        <v>5</v>
      </c>
      <c r="B6" s="125" t="s">
        <v>346</v>
      </c>
      <c r="C6" s="126">
        <v>45805</v>
      </c>
      <c r="D6" s="183">
        <v>45817</v>
      </c>
      <c r="E6" s="139"/>
    </row>
    <row r="7" spans="1:9" x14ac:dyDescent="0.35">
      <c r="A7" s="124">
        <v>6</v>
      </c>
      <c r="B7" s="125" t="s">
        <v>347</v>
      </c>
      <c r="C7" s="126">
        <v>45820</v>
      </c>
      <c r="D7" s="183">
        <f t="shared" si="0"/>
        <v>45820</v>
      </c>
      <c r="E7" s="139"/>
    </row>
    <row r="8" spans="1:9" x14ac:dyDescent="0.35">
      <c r="A8" s="124">
        <v>7</v>
      </c>
      <c r="B8" s="125" t="s">
        <v>348</v>
      </c>
      <c r="C8" s="126">
        <v>45814</v>
      </c>
      <c r="D8" s="183">
        <v>45818</v>
      </c>
      <c r="E8" s="139"/>
    </row>
    <row r="9" spans="1:9" x14ac:dyDescent="0.35">
      <c r="A9" s="135">
        <v>8</v>
      </c>
      <c r="B9" s="133" t="s">
        <v>349</v>
      </c>
      <c r="C9" s="134">
        <v>45797</v>
      </c>
      <c r="D9" s="187">
        <v>45790</v>
      </c>
      <c r="E9" s="188" t="s">
        <v>421</v>
      </c>
    </row>
    <row r="10" spans="1:9" x14ac:dyDescent="0.35">
      <c r="A10" s="124">
        <v>9</v>
      </c>
      <c r="B10" s="125" t="s">
        <v>351</v>
      </c>
      <c r="C10" s="126">
        <v>45788</v>
      </c>
      <c r="D10" s="183">
        <f>Ordering!E10+7</f>
        <v>45845</v>
      </c>
      <c r="E10" s="139"/>
    </row>
    <row r="11" spans="1:9" x14ac:dyDescent="0.35">
      <c r="A11" s="124">
        <v>10</v>
      </c>
      <c r="B11" s="125" t="s">
        <v>352</v>
      </c>
      <c r="C11" s="126">
        <v>45813</v>
      </c>
      <c r="D11" s="183">
        <v>45818</v>
      </c>
      <c r="E11" s="139"/>
      <c r="G11" s="190"/>
      <c r="H11"/>
      <c r="I11" s="190"/>
    </row>
    <row r="12" spans="1:9" x14ac:dyDescent="0.35">
      <c r="A12" s="124">
        <v>11</v>
      </c>
      <c r="B12" s="125" t="s">
        <v>353</v>
      </c>
      <c r="C12" s="126">
        <v>45799</v>
      </c>
      <c r="D12" s="183">
        <f>Ordering!E12+7</f>
        <v>45852</v>
      </c>
      <c r="E12" s="139"/>
      <c r="H12"/>
    </row>
    <row r="13" spans="1:9" x14ac:dyDescent="0.35">
      <c r="A13" s="124">
        <v>12</v>
      </c>
      <c r="B13" s="125" t="s">
        <v>354</v>
      </c>
      <c r="C13" s="126">
        <v>45791</v>
      </c>
      <c r="D13" s="183">
        <f>Ordering!E13+7</f>
        <v>45852</v>
      </c>
      <c r="E13" s="139"/>
    </row>
    <row r="14" spans="1:9" x14ac:dyDescent="0.35">
      <c r="A14" s="124">
        <v>13</v>
      </c>
      <c r="B14" s="125" t="s">
        <v>355</v>
      </c>
      <c r="C14" s="126">
        <v>45813</v>
      </c>
      <c r="D14" s="183">
        <v>45820</v>
      </c>
      <c r="E14" s="139"/>
    </row>
    <row r="15" spans="1:9" x14ac:dyDescent="0.35">
      <c r="A15" s="124">
        <v>14</v>
      </c>
      <c r="B15" s="125" t="s">
        <v>356</v>
      </c>
      <c r="C15" s="126">
        <v>45805</v>
      </c>
      <c r="D15" s="183">
        <f>Ordering!E15+7</f>
        <v>45852</v>
      </c>
      <c r="E15" s="139"/>
    </row>
    <row r="16" spans="1:9" x14ac:dyDescent="0.35">
      <c r="A16" s="124">
        <v>15</v>
      </c>
      <c r="B16" s="125" t="s">
        <v>357</v>
      </c>
      <c r="C16" s="126">
        <v>45805</v>
      </c>
      <c r="D16" s="183">
        <f>Ordering!E16+7</f>
        <v>45852</v>
      </c>
      <c r="E16" s="139"/>
    </row>
    <row r="17" spans="1:5" x14ac:dyDescent="0.35">
      <c r="A17" s="124">
        <v>16</v>
      </c>
      <c r="B17" s="125" t="s">
        <v>358</v>
      </c>
      <c r="C17" s="126">
        <v>45805</v>
      </c>
      <c r="D17" s="183">
        <f>Ordering!E17+7</f>
        <v>45822</v>
      </c>
      <c r="E17" s="139"/>
    </row>
    <row r="18" spans="1:5" x14ac:dyDescent="0.35">
      <c r="A18" s="124">
        <v>17</v>
      </c>
      <c r="B18" s="125" t="s">
        <v>359</v>
      </c>
      <c r="C18" s="126">
        <v>45813</v>
      </c>
      <c r="D18" s="183">
        <f>Ordering!E18+7</f>
        <v>45864</v>
      </c>
      <c r="E18" s="139"/>
    </row>
    <row r="19" spans="1:5" x14ac:dyDescent="0.35">
      <c r="A19" s="124">
        <v>18</v>
      </c>
      <c r="B19" s="125" t="s">
        <v>360</v>
      </c>
      <c r="C19" s="126">
        <v>45820</v>
      </c>
      <c r="D19" s="183">
        <f t="shared" si="0"/>
        <v>45820</v>
      </c>
      <c r="E19" s="139"/>
    </row>
    <row r="20" spans="1:5" x14ac:dyDescent="0.35">
      <c r="A20" s="124">
        <v>19</v>
      </c>
      <c r="B20" s="125" t="s">
        <v>361</v>
      </c>
      <c r="C20" s="126">
        <v>45839</v>
      </c>
      <c r="D20" s="183">
        <f t="shared" si="0"/>
        <v>45839</v>
      </c>
      <c r="E20" s="139"/>
    </row>
    <row r="21" spans="1:5" s="131" customFormat="1" ht="31" x14ac:dyDescent="0.3">
      <c r="A21" s="128">
        <v>20</v>
      </c>
      <c r="B21" s="129" t="s">
        <v>362</v>
      </c>
      <c r="C21" s="130">
        <v>45900</v>
      </c>
      <c r="D21" s="184">
        <f t="shared" si="0"/>
        <v>45900</v>
      </c>
      <c r="E21" s="185"/>
    </row>
    <row r="22" spans="1:5" x14ac:dyDescent="0.35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">
      <c r="A23" s="136">
        <v>1</v>
      </c>
      <c r="B23" s="138" t="s">
        <v>366</v>
      </c>
      <c r="C23" s="137">
        <v>45701</v>
      </c>
      <c r="D23" s="136" t="s">
        <v>367</v>
      </c>
      <c r="E23" s="151" t="s">
        <v>367</v>
      </c>
    </row>
    <row r="24" spans="1:5" s="131" customFormat="1" x14ac:dyDescent="0.3">
      <c r="A24" s="143">
        <v>2</v>
      </c>
      <c r="B24" s="144" t="s">
        <v>368</v>
      </c>
      <c r="C24" s="145">
        <v>45780</v>
      </c>
      <c r="D24" s="145">
        <f>C24</f>
        <v>45780</v>
      </c>
      <c r="E24" s="151" t="s">
        <v>439</v>
      </c>
    </row>
    <row r="25" spans="1:5" s="131" customFormat="1" x14ac:dyDescent="0.3">
      <c r="A25" s="128">
        <v>3</v>
      </c>
      <c r="B25" s="129" t="s">
        <v>369</v>
      </c>
      <c r="C25" s="130">
        <v>45823</v>
      </c>
      <c r="D25" s="130">
        <f>C25</f>
        <v>45823</v>
      </c>
      <c r="E25" s="210" t="s">
        <v>440</v>
      </c>
    </row>
    <row r="26" spans="1:5" s="131" customFormat="1" x14ac:dyDescent="0.3">
      <c r="A26" s="136">
        <v>4</v>
      </c>
      <c r="B26" s="138" t="s">
        <v>370</v>
      </c>
      <c r="C26" s="136" t="s">
        <v>371</v>
      </c>
      <c r="D26" s="137" t="s">
        <v>367</v>
      </c>
      <c r="E26" s="151" t="s">
        <v>397</v>
      </c>
    </row>
    <row r="27" spans="1:5" s="131" customFormat="1" x14ac:dyDescent="0.3">
      <c r="A27" s="128">
        <v>5</v>
      </c>
      <c r="B27" s="129" t="s">
        <v>372</v>
      </c>
      <c r="C27" s="130">
        <v>45812</v>
      </c>
      <c r="D27" s="130">
        <v>45828</v>
      </c>
      <c r="E27" s="189"/>
    </row>
    <row r="28" spans="1:5" s="131" customFormat="1" x14ac:dyDescent="0.3">
      <c r="A28" s="128">
        <v>6</v>
      </c>
      <c r="B28" s="129" t="s">
        <v>373</v>
      </c>
      <c r="C28" s="130">
        <v>45777</v>
      </c>
      <c r="D28" s="130">
        <v>45804</v>
      </c>
      <c r="E28" s="210" t="s">
        <v>441</v>
      </c>
    </row>
    <row r="29" spans="1:5" s="131" customFormat="1" hidden="1" x14ac:dyDescent="0.3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89"/>
    </row>
    <row r="30" spans="1:5" s="131" customFormat="1" ht="31" x14ac:dyDescent="0.3">
      <c r="A30" s="128">
        <v>8</v>
      </c>
      <c r="B30" s="129" t="s">
        <v>375</v>
      </c>
      <c r="C30" s="130">
        <v>45807</v>
      </c>
      <c r="D30" s="130">
        <f>D28+15</f>
        <v>45819</v>
      </c>
      <c r="E30" s="189"/>
    </row>
    <row r="31" spans="1:5" s="131" customFormat="1" ht="31" x14ac:dyDescent="0.3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89"/>
    </row>
    <row r="32" spans="1:5" s="131" customFormat="1" x14ac:dyDescent="0.3">
      <c r="A32" s="128">
        <v>10</v>
      </c>
      <c r="B32" s="129" t="s">
        <v>377</v>
      </c>
      <c r="C32" s="130">
        <v>45772</v>
      </c>
      <c r="D32" s="130">
        <v>45787</v>
      </c>
      <c r="E32" s="182" t="s">
        <v>442</v>
      </c>
    </row>
    <row r="33" spans="1:5" s="131" customFormat="1" x14ac:dyDescent="0.3">
      <c r="A33" s="191">
        <v>11</v>
      </c>
      <c r="B33" s="192" t="s">
        <v>378</v>
      </c>
      <c r="C33" s="193">
        <v>45772</v>
      </c>
      <c r="D33" s="193">
        <v>45773</v>
      </c>
      <c r="E33" s="151" t="s">
        <v>422</v>
      </c>
    </row>
    <row r="34" spans="1:5" s="131" customFormat="1" x14ac:dyDescent="0.3">
      <c r="A34" s="128">
        <v>12</v>
      </c>
      <c r="B34" s="129" t="s">
        <v>379</v>
      </c>
      <c r="C34" s="130">
        <v>45783</v>
      </c>
      <c r="D34" s="130">
        <v>45795</v>
      </c>
      <c r="E34" s="151" t="s">
        <v>424</v>
      </c>
    </row>
    <row r="35" spans="1:5" s="131" customFormat="1" ht="31" x14ac:dyDescent="0.3">
      <c r="A35" s="128">
        <v>13</v>
      </c>
      <c r="B35" s="129" t="s">
        <v>380</v>
      </c>
      <c r="C35" s="130">
        <v>45811</v>
      </c>
      <c r="D35" s="130">
        <v>45823</v>
      </c>
      <c r="E35" s="189"/>
    </row>
    <row r="36" spans="1:5" s="131" customFormat="1" ht="31" x14ac:dyDescent="0.3">
      <c r="A36" s="128">
        <v>14</v>
      </c>
      <c r="B36" s="129" t="s">
        <v>381</v>
      </c>
      <c r="C36" s="130">
        <v>45808</v>
      </c>
      <c r="D36" s="130">
        <v>45823</v>
      </c>
      <c r="E36" s="189"/>
    </row>
    <row r="37" spans="1:5" s="131" customFormat="1" ht="31" x14ac:dyDescent="0.3">
      <c r="A37" s="128">
        <v>15</v>
      </c>
      <c r="B37" s="129" t="s">
        <v>382</v>
      </c>
      <c r="C37" s="130">
        <v>45808</v>
      </c>
      <c r="D37" s="130">
        <v>45828</v>
      </c>
      <c r="E37" s="189"/>
    </row>
    <row r="38" spans="1:5" s="131" customFormat="1" ht="46.5" x14ac:dyDescent="0.3">
      <c r="A38" s="136">
        <v>16</v>
      </c>
      <c r="B38" s="138" t="s">
        <v>383</v>
      </c>
      <c r="C38" s="137">
        <v>45719</v>
      </c>
      <c r="D38" s="137" t="s">
        <v>367</v>
      </c>
      <c r="E38" s="151" t="s">
        <v>418</v>
      </c>
    </row>
    <row r="39" spans="1:5" s="131" customFormat="1" x14ac:dyDescent="0.3">
      <c r="A39" s="143">
        <v>17</v>
      </c>
      <c r="B39" s="144" t="s">
        <v>384</v>
      </c>
      <c r="C39" s="145">
        <v>45762</v>
      </c>
      <c r="D39" s="145"/>
      <c r="E39" s="182" t="s">
        <v>417</v>
      </c>
    </row>
    <row r="40" spans="1:5" s="131" customFormat="1" x14ac:dyDescent="0.3">
      <c r="A40" s="128">
        <v>18</v>
      </c>
      <c r="B40" s="129" t="s">
        <v>385</v>
      </c>
      <c r="C40" s="130">
        <v>45772</v>
      </c>
      <c r="D40" s="130">
        <v>45787</v>
      </c>
      <c r="E40" s="182" t="s">
        <v>420</v>
      </c>
    </row>
    <row r="41" spans="1:5" s="131" customFormat="1" ht="31" x14ac:dyDescent="0.3">
      <c r="A41" s="143">
        <v>19</v>
      </c>
      <c r="B41" s="144" t="s">
        <v>386</v>
      </c>
      <c r="C41" s="145">
        <v>45772</v>
      </c>
      <c r="D41" s="145"/>
      <c r="E41" s="182" t="s">
        <v>425</v>
      </c>
    </row>
    <row r="42" spans="1:5" s="131" customFormat="1" ht="31" x14ac:dyDescent="0.3">
      <c r="A42" s="128">
        <v>20</v>
      </c>
      <c r="B42" s="129" t="s">
        <v>387</v>
      </c>
      <c r="C42" s="130">
        <v>45797</v>
      </c>
      <c r="D42" s="130">
        <v>45814</v>
      </c>
      <c r="E42" s="189"/>
    </row>
    <row r="43" spans="1:5" s="131" customFormat="1" x14ac:dyDescent="0.3">
      <c r="A43" s="128">
        <v>19</v>
      </c>
      <c r="B43" s="129" t="s">
        <v>394</v>
      </c>
      <c r="C43" s="130"/>
      <c r="D43" s="130"/>
      <c r="E43" s="182" t="s">
        <v>439</v>
      </c>
    </row>
    <row r="44" spans="1:5" s="131" customFormat="1" ht="31" x14ac:dyDescent="0.3">
      <c r="A44" s="128">
        <v>20</v>
      </c>
      <c r="B44" s="129" t="s">
        <v>395</v>
      </c>
      <c r="C44" s="130"/>
      <c r="D44" s="130"/>
      <c r="E44" s="182" t="s">
        <v>439</v>
      </c>
    </row>
    <row r="45" spans="1:5" s="131" customFormat="1" ht="31" x14ac:dyDescent="0.3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35">
      <c r="A46" s="124">
        <v>1</v>
      </c>
      <c r="B46" s="125" t="s">
        <v>342</v>
      </c>
      <c r="C46" s="126">
        <v>45785</v>
      </c>
      <c r="D46" s="126">
        <v>45956</v>
      </c>
      <c r="E46" s="139"/>
    </row>
    <row r="47" spans="1:5" x14ac:dyDescent="0.35">
      <c r="A47" s="124">
        <v>2</v>
      </c>
      <c r="B47" s="125" t="s">
        <v>343</v>
      </c>
      <c r="C47" s="126">
        <v>45805</v>
      </c>
      <c r="D47" s="126">
        <v>45986</v>
      </c>
      <c r="E47" s="139"/>
    </row>
    <row r="48" spans="1:5" x14ac:dyDescent="0.35">
      <c r="A48" s="124">
        <v>3</v>
      </c>
      <c r="B48" s="125" t="s">
        <v>344</v>
      </c>
      <c r="C48" s="126">
        <v>45818</v>
      </c>
      <c r="D48" s="126">
        <v>45969</v>
      </c>
      <c r="E48" s="139"/>
    </row>
    <row r="49" spans="1:5" x14ac:dyDescent="0.35">
      <c r="A49" s="124">
        <v>4</v>
      </c>
      <c r="B49" s="125" t="s">
        <v>345</v>
      </c>
      <c r="C49" s="126">
        <v>45807</v>
      </c>
      <c r="D49" s="126">
        <v>45958</v>
      </c>
      <c r="E49" s="139"/>
    </row>
    <row r="50" spans="1:5" x14ac:dyDescent="0.35">
      <c r="A50" s="124">
        <v>5</v>
      </c>
      <c r="B50" s="125" t="s">
        <v>346</v>
      </c>
      <c r="C50" s="126">
        <v>45807</v>
      </c>
      <c r="D50" s="126">
        <v>45958</v>
      </c>
      <c r="E50" s="139"/>
    </row>
    <row r="51" spans="1:5" x14ac:dyDescent="0.35">
      <c r="A51" s="124">
        <v>6</v>
      </c>
      <c r="B51" s="125" t="s">
        <v>347</v>
      </c>
      <c r="C51" s="126">
        <v>45822</v>
      </c>
      <c r="D51" s="126">
        <v>45943</v>
      </c>
      <c r="E51" s="139"/>
    </row>
    <row r="52" spans="1:5" x14ac:dyDescent="0.35">
      <c r="A52" s="124">
        <v>7</v>
      </c>
      <c r="B52" s="125" t="s">
        <v>348</v>
      </c>
      <c r="C52" s="126">
        <v>45816</v>
      </c>
      <c r="D52" s="126">
        <v>45937</v>
      </c>
      <c r="E52" s="139"/>
    </row>
    <row r="53" spans="1:5" x14ac:dyDescent="0.35">
      <c r="A53" s="124">
        <v>8</v>
      </c>
      <c r="B53" s="125" t="s">
        <v>349</v>
      </c>
      <c r="C53" s="126">
        <v>45799</v>
      </c>
      <c r="D53" s="126">
        <v>45919</v>
      </c>
      <c r="E53" s="139"/>
    </row>
    <row r="54" spans="1:5" x14ac:dyDescent="0.35">
      <c r="A54" s="124">
        <v>9</v>
      </c>
      <c r="B54" s="125" t="s">
        <v>351</v>
      </c>
      <c r="C54" s="126">
        <v>45790</v>
      </c>
      <c r="D54" s="126">
        <v>45910</v>
      </c>
      <c r="E54" s="139"/>
    </row>
    <row r="55" spans="1:5" x14ac:dyDescent="0.35">
      <c r="A55" s="124">
        <v>10</v>
      </c>
      <c r="B55" s="125" t="s">
        <v>352</v>
      </c>
      <c r="C55" s="126">
        <v>45815</v>
      </c>
      <c r="D55" s="126">
        <v>45936</v>
      </c>
      <c r="E55" s="139"/>
    </row>
    <row r="56" spans="1:5" x14ac:dyDescent="0.35">
      <c r="A56" s="124">
        <v>11</v>
      </c>
      <c r="B56" s="125" t="s">
        <v>353</v>
      </c>
      <c r="C56" s="126">
        <v>45801</v>
      </c>
      <c r="D56" s="126">
        <v>45921</v>
      </c>
      <c r="E56" s="139"/>
    </row>
    <row r="57" spans="1:5" x14ac:dyDescent="0.35">
      <c r="A57" s="124">
        <v>12</v>
      </c>
      <c r="B57" s="125" t="s">
        <v>354</v>
      </c>
      <c r="C57" s="126">
        <v>45793</v>
      </c>
      <c r="D57" s="126">
        <v>45913</v>
      </c>
      <c r="E57" s="139"/>
    </row>
    <row r="58" spans="1:5" x14ac:dyDescent="0.35">
      <c r="A58" s="124">
        <v>13</v>
      </c>
      <c r="B58" s="125" t="s">
        <v>355</v>
      </c>
      <c r="C58" s="126">
        <v>45815</v>
      </c>
      <c r="D58" s="126">
        <v>45936</v>
      </c>
      <c r="E58" s="139"/>
    </row>
    <row r="59" spans="1:5" x14ac:dyDescent="0.35">
      <c r="A59" s="124">
        <v>14</v>
      </c>
      <c r="B59" s="125" t="s">
        <v>356</v>
      </c>
      <c r="C59" s="126">
        <v>45807</v>
      </c>
      <c r="D59" s="126">
        <v>45927</v>
      </c>
      <c r="E59" s="139"/>
    </row>
    <row r="60" spans="1:5" x14ac:dyDescent="0.35">
      <c r="A60" s="124">
        <v>15</v>
      </c>
      <c r="B60" s="125" t="s">
        <v>357</v>
      </c>
      <c r="C60" s="126">
        <v>45807</v>
      </c>
      <c r="D60" s="126">
        <v>45927</v>
      </c>
      <c r="E60" s="139"/>
    </row>
    <row r="61" spans="1:5" x14ac:dyDescent="0.35">
      <c r="A61" s="124">
        <v>16</v>
      </c>
      <c r="B61" s="125" t="s">
        <v>358</v>
      </c>
      <c r="C61" s="126">
        <v>45807</v>
      </c>
      <c r="D61" s="126">
        <v>45927</v>
      </c>
      <c r="E61" s="139"/>
    </row>
    <row r="62" spans="1:5" x14ac:dyDescent="0.35">
      <c r="A62" s="124">
        <v>17</v>
      </c>
      <c r="B62" s="125" t="s">
        <v>359</v>
      </c>
      <c r="C62" s="126">
        <v>45815</v>
      </c>
      <c r="D62" s="126">
        <v>45936</v>
      </c>
      <c r="E62" s="139"/>
    </row>
    <row r="63" spans="1:5" x14ac:dyDescent="0.35">
      <c r="A63" s="124">
        <v>18</v>
      </c>
      <c r="B63" s="125" t="s">
        <v>360</v>
      </c>
      <c r="C63" s="126">
        <v>45822</v>
      </c>
      <c r="D63" s="126">
        <v>45943</v>
      </c>
      <c r="E63" s="139"/>
    </row>
    <row r="64" spans="1:5" x14ac:dyDescent="0.35">
      <c r="A64" s="124">
        <v>19</v>
      </c>
      <c r="B64" s="125" t="s">
        <v>361</v>
      </c>
      <c r="C64" s="126">
        <v>45841</v>
      </c>
      <c r="D64" s="126">
        <v>45992</v>
      </c>
      <c r="E64" s="139"/>
    </row>
    <row r="65" spans="1:5" s="131" customFormat="1" ht="31" x14ac:dyDescent="0.3">
      <c r="A65" s="128">
        <v>20</v>
      </c>
      <c r="B65" s="129" t="s">
        <v>362</v>
      </c>
      <c r="C65" s="130">
        <v>45902</v>
      </c>
      <c r="D65" s="130">
        <v>46022</v>
      </c>
      <c r="E65" s="18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640625" defaultRowHeight="13" x14ac:dyDescent="0.3"/>
  <cols>
    <col min="1" max="1" width="16.83203125" style="100" customWidth="1"/>
    <col min="2" max="3" width="14.4140625" style="100" customWidth="1"/>
    <col min="4" max="4" width="43.75" style="101" customWidth="1"/>
    <col min="5" max="5" width="10.4140625" style="100" customWidth="1"/>
    <col min="6" max="6" width="21.83203125" style="101" customWidth="1"/>
    <col min="7" max="7" width="18.4140625" style="100" customWidth="1"/>
    <col min="8" max="16384" width="9.1640625" style="100"/>
  </cols>
  <sheetData>
    <row r="1" spans="1:7" ht="18.5" x14ac:dyDescent="0.45">
      <c r="A1" s="592" t="s">
        <v>297</v>
      </c>
      <c r="B1" s="593"/>
      <c r="C1" s="593"/>
      <c r="D1" s="593"/>
      <c r="E1" s="593"/>
      <c r="F1" s="594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640625" defaultRowHeight="15.5" x14ac:dyDescent="0.35"/>
  <cols>
    <col min="1" max="1" width="2.1640625" style="56" customWidth="1"/>
    <col min="2" max="2" width="8.75" style="51" customWidth="1"/>
    <col min="3" max="3" width="5.5" style="22" bestFit="1" customWidth="1"/>
    <col min="4" max="4" width="28.5" style="57" customWidth="1"/>
    <col min="5" max="6" width="14.08203125" style="57" hidden="1" customWidth="1"/>
    <col min="7" max="7" width="17.6640625" style="57" hidden="1" customWidth="1"/>
    <col min="8" max="8" width="16" style="57" hidden="1" customWidth="1"/>
    <col min="9" max="9" width="5.1640625" style="22" bestFit="1" customWidth="1"/>
    <col min="10" max="10" width="6.6640625" style="54" bestFit="1" customWidth="1"/>
    <col min="11" max="11" width="13.83203125" style="55" hidden="1" customWidth="1"/>
    <col min="12" max="12" width="13.75" style="55" hidden="1" customWidth="1"/>
    <col min="13" max="13" width="9" style="22" hidden="1" customWidth="1"/>
    <col min="14" max="14" width="13.83203125" style="22" hidden="1" customWidth="1"/>
    <col min="15" max="15" width="12.4140625" style="22" customWidth="1"/>
    <col min="16" max="16" width="8.83203125" style="54" bestFit="1" customWidth="1"/>
    <col min="17" max="17" width="7.6640625" style="54" bestFit="1" customWidth="1"/>
    <col min="18" max="18" width="6.75" style="54" bestFit="1" customWidth="1"/>
    <col min="19" max="19" width="12.25" style="56" bestFit="1" customWidth="1"/>
    <col min="20" max="25" width="4.9140625" style="56" bestFit="1" customWidth="1"/>
    <col min="26" max="26" width="5.33203125" style="56" bestFit="1" customWidth="1"/>
    <col min="27" max="32" width="4.9140625" style="56" bestFit="1" customWidth="1"/>
    <col min="33" max="33" width="5.33203125" style="56" bestFit="1" customWidth="1"/>
    <col min="34" max="39" width="4.9140625" style="56" bestFit="1" customWidth="1"/>
    <col min="40" max="40" width="5.33203125" style="56" bestFit="1" customWidth="1"/>
    <col min="41" max="42" width="4.9140625" style="56" bestFit="1" customWidth="1"/>
    <col min="43" max="43" width="6.6640625" style="56" bestFit="1" customWidth="1"/>
    <col min="44" max="58" width="11.75" style="56" bestFit="1" customWidth="1"/>
    <col min="59" max="64" width="13.5" style="56" bestFit="1" customWidth="1"/>
    <col min="65" max="16384" width="12.1640625" style="56"/>
  </cols>
  <sheetData>
    <row r="1" spans="2:64" x14ac:dyDescent="0.35">
      <c r="C1" s="52" t="s">
        <v>10</v>
      </c>
      <c r="D1" s="53">
        <f>'Construction DASHBOARD'!B6</f>
        <v>45912</v>
      </c>
      <c r="E1" s="121"/>
      <c r="F1" s="121"/>
      <c r="G1" s="121"/>
      <c r="H1" s="121"/>
      <c r="S1" s="158" t="s">
        <v>399</v>
      </c>
    </row>
    <row r="2" spans="2:64" s="22" customFormat="1" ht="72" customHeight="1" x14ac:dyDescent="0.3">
      <c r="B2" s="587" t="s">
        <v>96</v>
      </c>
      <c r="C2" s="588" t="s">
        <v>97</v>
      </c>
      <c r="D2" s="586" t="s">
        <v>98</v>
      </c>
      <c r="E2" s="578" t="s">
        <v>306</v>
      </c>
      <c r="F2" s="578" t="s">
        <v>307</v>
      </c>
      <c r="G2" s="578" t="s">
        <v>308</v>
      </c>
      <c r="H2" s="578" t="s">
        <v>309</v>
      </c>
      <c r="I2" s="588" t="s">
        <v>99</v>
      </c>
      <c r="J2" s="590" t="s">
        <v>1</v>
      </c>
      <c r="K2" s="595" t="s">
        <v>100</v>
      </c>
      <c r="L2" s="595" t="s">
        <v>101</v>
      </c>
      <c r="M2" s="586" t="s">
        <v>102</v>
      </c>
      <c r="N2" s="586" t="s">
        <v>103</v>
      </c>
      <c r="O2" s="586" t="s">
        <v>255</v>
      </c>
      <c r="P2" s="590" t="s">
        <v>104</v>
      </c>
      <c r="Q2" s="590" t="s">
        <v>105</v>
      </c>
      <c r="R2" s="591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">
      <c r="B3" s="587"/>
      <c r="C3" s="588"/>
      <c r="D3" s="586"/>
      <c r="E3" s="579"/>
      <c r="F3" s="579"/>
      <c r="G3" s="579"/>
      <c r="H3" s="579"/>
      <c r="I3" s="588"/>
      <c r="J3" s="590"/>
      <c r="K3" s="596"/>
      <c r="L3" s="596"/>
      <c r="M3" s="586"/>
      <c r="N3" s="586"/>
      <c r="O3" s="586"/>
      <c r="P3" s="590"/>
      <c r="Q3" s="590"/>
      <c r="R3" s="591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">
      <c r="B4" s="146" t="s">
        <v>106</v>
      </c>
      <c r="C4" s="60">
        <v>1</v>
      </c>
      <c r="D4" s="147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7">
        <f t="shared" ref="P4:P11" si="2">SUMIF($S$2:$AR$2,"&lt;="&amp;$D$1,S4:AR4)</f>
        <v>256</v>
      </c>
      <c r="Q4" s="157">
        <f t="shared" ref="Q4:Q67" si="3">J4-P4</f>
        <v>774</v>
      </c>
      <c r="R4" s="157">
        <f t="shared" ref="R4" si="4">SUM(S4:XFD4)</f>
        <v>256</v>
      </c>
      <c r="S4" s="148">
        <v>0</v>
      </c>
      <c r="T4" s="148">
        <v>0</v>
      </c>
      <c r="U4" s="148"/>
      <c r="V4" s="148"/>
      <c r="W4" s="148"/>
      <c r="X4" s="152">
        <v>1.5</v>
      </c>
      <c r="Y4" s="152">
        <v>3.5</v>
      </c>
      <c r="Z4" s="152">
        <v>4</v>
      </c>
      <c r="AA4" s="152">
        <v>4</v>
      </c>
      <c r="AB4" s="152">
        <v>4</v>
      </c>
      <c r="AC4" s="152">
        <v>4</v>
      </c>
      <c r="AD4" s="152">
        <v>3</v>
      </c>
      <c r="AE4" s="152">
        <v>2</v>
      </c>
      <c r="AF4" s="152"/>
      <c r="AG4" s="152"/>
      <c r="AH4" s="152">
        <v>20</v>
      </c>
      <c r="AI4" s="152">
        <v>20</v>
      </c>
      <c r="AJ4" s="152">
        <v>20</v>
      </c>
      <c r="AK4" s="152">
        <v>20</v>
      </c>
      <c r="AL4" s="152">
        <v>40</v>
      </c>
      <c r="AM4" s="152">
        <v>40</v>
      </c>
      <c r="AN4" s="152">
        <v>30</v>
      </c>
      <c r="AO4" s="152">
        <v>20</v>
      </c>
      <c r="AP4" s="152">
        <v>10</v>
      </c>
      <c r="AQ4" s="148">
        <v>10</v>
      </c>
      <c r="AR4" s="148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</row>
    <row r="5" spans="2:64" x14ac:dyDescent="0.35">
      <c r="B5" s="584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6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35">
      <c r="B6" s="584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6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35">
      <c r="B7" s="584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3">
        <f t="shared" si="6"/>
        <v>75</v>
      </c>
      <c r="S7" s="156">
        <v>52</v>
      </c>
      <c r="T7" s="156">
        <v>2</v>
      </c>
      <c r="U7" s="156">
        <v>2</v>
      </c>
      <c r="V7" s="156">
        <v>2</v>
      </c>
      <c r="W7" s="156">
        <v>2</v>
      </c>
      <c r="X7" s="156">
        <v>2</v>
      </c>
      <c r="Y7" s="156">
        <v>1</v>
      </c>
      <c r="Z7" s="156">
        <v>1</v>
      </c>
      <c r="AA7" s="156">
        <v>1</v>
      </c>
      <c r="AB7" s="156">
        <v>1</v>
      </c>
      <c r="AC7" s="156">
        <v>1</v>
      </c>
      <c r="AD7" s="156">
        <v>1</v>
      </c>
      <c r="AE7" s="156"/>
      <c r="AF7" s="156">
        <v>1</v>
      </c>
      <c r="AG7" s="156">
        <v>1</v>
      </c>
      <c r="AH7" s="156"/>
      <c r="AI7" s="156"/>
      <c r="AJ7" s="156">
        <v>1</v>
      </c>
      <c r="AK7" s="156">
        <v>1</v>
      </c>
      <c r="AL7" s="156">
        <v>1</v>
      </c>
      <c r="AM7" s="156">
        <v>1</v>
      </c>
      <c r="AN7" s="156">
        <v>1</v>
      </c>
      <c r="AO7" s="156"/>
      <c r="AP7" s="154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35">
      <c r="B8" s="584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5">
        <v>4</v>
      </c>
      <c r="X8" s="155">
        <v>8</v>
      </c>
      <c r="Y8" s="155">
        <v>8</v>
      </c>
      <c r="Z8" s="155">
        <v>10</v>
      </c>
      <c r="AA8" s="155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35">
      <c r="B9" s="584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35">
      <c r="B10" s="584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35">
      <c r="B11" s="584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35">
      <c r="B12" s="584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35">
      <c r="B13" s="584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35">
      <c r="B14" s="584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ht="31" x14ac:dyDescent="0.35">
      <c r="B15" s="584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35">
      <c r="B16" s="584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35">
      <c r="B17" s="584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35">
      <c r="B18" s="584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35">
      <c r="B19" s="584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35">
      <c r="B20" s="584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35">
      <c r="B21" s="584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35">
      <c r="B22" s="584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35">
      <c r="B23" s="584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35">
      <c r="B24" s="584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35">
      <c r="B25" s="584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1" x14ac:dyDescent="0.35">
      <c r="B26" s="584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35">
      <c r="B27" s="584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35">
      <c r="B28" s="584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35">
      <c r="B29" s="584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1" x14ac:dyDescent="0.35">
      <c r="B30" s="584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35">
      <c r="B31" s="584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35">
      <c r="B32" s="584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35">
      <c r="B33" s="584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35">
      <c r="B34" s="584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35">
      <c r="B35" s="584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ht="31" x14ac:dyDescent="0.35">
      <c r="B36" s="584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35">
      <c r="B37" s="584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35">
      <c r="B38" s="584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35">
      <c r="B39" s="584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35">
      <c r="B40" s="584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35">
      <c r="B41" s="584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35">
      <c r="B42" s="584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35">
      <c r="B43" s="584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35">
      <c r="B44" s="584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35">
      <c r="B45" s="584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35">
      <c r="B46" s="584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35">
      <c r="B47" s="584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35">
      <c r="B48" s="584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35">
      <c r="B49" s="584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35">
      <c r="B50" s="584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1" x14ac:dyDescent="0.35">
      <c r="B51" s="584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35">
      <c r="B52" s="584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35">
      <c r="B53" s="584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35">
      <c r="B54" s="584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35">
      <c r="B55" s="584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35">
      <c r="B56" s="584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35">
      <c r="B57" s="584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35">
      <c r="B58" s="584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35">
      <c r="B59" s="584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1" x14ac:dyDescent="0.35">
      <c r="B60" s="584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35">
      <c r="B61" s="584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1" x14ac:dyDescent="0.35">
      <c r="B62" s="584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ht="31" x14ac:dyDescent="0.35">
      <c r="B63" s="584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ht="31" x14ac:dyDescent="0.35">
      <c r="B64" s="584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1" x14ac:dyDescent="0.35">
      <c r="B65" s="584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1" x14ac:dyDescent="0.35">
      <c r="B66" s="584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1" x14ac:dyDescent="0.35">
      <c r="B67" s="584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35">
      <c r="B68" s="584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1" x14ac:dyDescent="0.35">
      <c r="B69" s="584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35">
      <c r="B70" s="584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35">
      <c r="B71" s="584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35">
      <c r="B72" s="584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35">
      <c r="B73" s="584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35">
      <c r="B74" s="584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35">
      <c r="B75" s="584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35">
      <c r="B76" s="584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35">
      <c r="B77" s="584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35">
      <c r="B78" s="584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35">
      <c r="B79" s="584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35">
      <c r="B80" s="584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35">
      <c r="B81" s="584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35">
      <c r="B82" s="584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35">
      <c r="B83" s="584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35">
      <c r="B84" s="584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35">
      <c r="B85" s="584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35">
      <c r="B86" s="584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35">
      <c r="B87" s="584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35">
      <c r="B88" s="584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35">
      <c r="B89" s="584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35">
      <c r="B90" s="584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35">
      <c r="B91" s="584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35">
      <c r="B92" s="584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35">
      <c r="B93" s="584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35">
      <c r="B94" s="584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35">
      <c r="B95" s="584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35">
      <c r="B96" s="584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35">
      <c r="B97" s="584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35">
      <c r="B98" s="584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35">
      <c r="B99" s="584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35">
      <c r="B100" s="584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35">
      <c r="B101" s="584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35">
      <c r="B102" s="584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35">
      <c r="B103" s="584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35">
      <c r="B104" s="584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35">
      <c r="B105" s="584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35">
      <c r="B106" s="584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35">
      <c r="B107" s="584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35">
      <c r="B108" s="584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35">
      <c r="B109" s="584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35">
      <c r="B110" s="584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35">
      <c r="B111" s="584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35">
      <c r="B112" s="584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35">
      <c r="B113" s="584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35">
      <c r="B114" s="584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35">
      <c r="B115" s="584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x14ac:dyDescent="0.35">
      <c r="B116" s="584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x14ac:dyDescent="0.35">
      <c r="B117" s="584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x14ac:dyDescent="0.35">
      <c r="B118" s="584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35">
      <c r="B119" s="584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35">
      <c r="B120" s="584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35">
      <c r="B121" s="584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35">
      <c r="B122" s="584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35">
      <c r="B123" s="584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35">
      <c r="B124" s="584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35">
      <c r="B125" s="584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35">
      <c r="B126" s="584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35">
      <c r="B127" s="584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35">
      <c r="B128" s="584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35">
      <c r="B129" s="584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x14ac:dyDescent="0.35">
      <c r="B130" s="583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35">
      <c r="B131" s="583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35">
      <c r="B132" s="583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x14ac:dyDescent="0.35">
      <c r="B133" s="583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35">
      <c r="B134" s="583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35">
      <c r="B135" s="583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35">
      <c r="B136" s="583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35">
      <c r="B137" s="583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35">
      <c r="B138" s="583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35">
      <c r="B139" s="583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35">
      <c r="B140" s="583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35">
      <c r="B141" s="583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35">
      <c r="B142" s="583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35">
      <c r="B143" s="583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35">
      <c r="B144" s="583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35">
      <c r="B145" s="583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35">
      <c r="B146" s="583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35">
      <c r="B147" s="583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35">
      <c r="B148" s="583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35">
      <c r="B149" s="583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35">
      <c r="B150" s="583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x14ac:dyDescent="0.35">
      <c r="B151" s="583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35">
      <c r="B152" s="583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35">
      <c r="B153" s="583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35">
      <c r="B154" s="583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35">
      <c r="B155" s="583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35">
      <c r="B156" s="583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35">
      <c r="J164" s="150"/>
    </row>
    <row r="165" spans="10:10" x14ac:dyDescent="0.35">
      <c r="J165" s="150"/>
    </row>
  </sheetData>
  <mergeCells count="34"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Sheet1</vt:lpstr>
      <vt:lpstr>MDL</vt:lpstr>
      <vt:lpstr>Ordering</vt:lpstr>
      <vt:lpstr>Preliminary Activity</vt:lpstr>
      <vt:lpstr>Manpower</vt:lpstr>
      <vt:lpstr>Machinery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2025-09-13T12:31:23Z</dcterms:modified>
</cp:coreProperties>
</file>