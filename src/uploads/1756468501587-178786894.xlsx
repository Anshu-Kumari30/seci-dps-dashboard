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esktop/SECI Documents/DPR/"/>
    </mc:Choice>
  </mc:AlternateContent>
  <xr:revisionPtr revIDLastSave="307" documentId="8_{6638DCEE-8897-4F43-B610-BC3A44F1456F}" xr6:coauthVersionLast="47" xr6:coauthVersionMax="47" xr10:uidLastSave="{9B70C177-AF4B-4FE6-B6EC-6ADB061B7941}"/>
  <bookViews>
    <workbookView xWindow="-110" yWindow="-110" windowWidth="19420" windowHeight="10300" tabRatio="865" xr2:uid="{885A4D7C-356D-44FF-B3CE-730EC0C96E04}"/>
  </bookViews>
  <sheets>
    <sheet name="Construction DASHBOARD" sheetId="8" r:id="rId1"/>
    <sheet name="MDL" sheetId="47" r:id="rId2"/>
    <sheet name="Sheet1" sheetId="18" state="hidden" r:id="rId3"/>
    <sheet name="Ordering" sheetId="15" r:id="rId4"/>
    <sheet name="Preliminary Activity" sheetId="14" r:id="rId5"/>
    <sheet name="Manpower" sheetId="10" state="hidden" r:id="rId6"/>
    <sheet name="Machinery" sheetId="12" state="hidden" r:id="rId7"/>
    <sheet name="Construction Status" sheetId="11" r:id="rId8"/>
    <sheet name="Engineering &amp; Delivery" sheetId="16" state="hidden" r:id="rId9"/>
    <sheet name="Hinderance Register" sheetId="13" state="hidden" r:id="rId10"/>
    <sheet name="Construction Status (2)" sheetId="17" state="hidden" r:id="rId11"/>
  </sheets>
  <externalReferences>
    <externalReference r:id="rId12"/>
  </externalReferences>
  <definedNames>
    <definedName name="_xlnm._FilterDatabase" localSheetId="7" hidden="1">'Construction Status'!$B$1:$BN$120</definedName>
    <definedName name="_xlnm._FilterDatabase" localSheetId="10" hidden="1">'Construction Status (2)'!$B$1:$BL$156</definedName>
    <definedName name="_xlnm._FilterDatabase" localSheetId="3" hidden="1">Ordering!$A$1:$F$1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9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4" i="47" l="1"/>
  <c r="T293" i="47"/>
  <c r="R293" i="47"/>
  <c r="Q293" i="47"/>
  <c r="P293" i="47"/>
  <c r="J293" i="47"/>
  <c r="H293" i="47"/>
  <c r="K293" i="47" s="1"/>
  <c r="T292" i="47"/>
  <c r="P292" i="47"/>
  <c r="I292" i="47"/>
  <c r="J292" i="47" s="1"/>
  <c r="G292" i="47"/>
  <c r="H292" i="47" s="1"/>
  <c r="H291" i="47"/>
  <c r="Q290" i="47"/>
  <c r="P290" i="47"/>
  <c r="T289" i="47"/>
  <c r="P289" i="47"/>
  <c r="J289" i="47"/>
  <c r="H289" i="47"/>
  <c r="G288" i="47"/>
  <c r="H288" i="47" s="1"/>
  <c r="H287" i="47"/>
  <c r="H286" i="47"/>
  <c r="H285" i="47"/>
  <c r="T284" i="47"/>
  <c r="P284" i="47"/>
  <c r="I284" i="47"/>
  <c r="G284" i="47"/>
  <c r="H284" i="47" s="1"/>
  <c r="H283" i="47"/>
  <c r="H282" i="47"/>
  <c r="T281" i="47"/>
  <c r="P281" i="47"/>
  <c r="I281" i="47"/>
  <c r="J281" i="47" s="1"/>
  <c r="G281" i="47"/>
  <c r="H281" i="47" s="1"/>
  <c r="H279" i="47"/>
  <c r="H278" i="47"/>
  <c r="H277" i="47"/>
  <c r="G276" i="47"/>
  <c r="H276" i="47" s="1"/>
  <c r="G275" i="47"/>
  <c r="H275" i="47" s="1"/>
  <c r="H274" i="47"/>
  <c r="G274" i="47"/>
  <c r="P273" i="47"/>
  <c r="T272" i="47"/>
  <c r="Q272" i="47"/>
  <c r="P272" i="47"/>
  <c r="I272" i="47"/>
  <c r="J272" i="47" s="1"/>
  <c r="H272" i="47"/>
  <c r="G272" i="47"/>
  <c r="G271" i="47"/>
  <c r="H271" i="47" s="1"/>
  <c r="G270" i="47"/>
  <c r="H270" i="47" s="1"/>
  <c r="G269" i="47"/>
  <c r="H269" i="47" s="1"/>
  <c r="G268" i="47"/>
  <c r="H267" i="47"/>
  <c r="G267" i="47"/>
  <c r="T265" i="47"/>
  <c r="P265" i="47"/>
  <c r="G265" i="47"/>
  <c r="J265" i="47" s="1"/>
  <c r="T263" i="47"/>
  <c r="P263" i="47"/>
  <c r="G263" i="47"/>
  <c r="H262" i="47"/>
  <c r="P261" i="47"/>
  <c r="Q259" i="47"/>
  <c r="P259" i="47"/>
  <c r="U258" i="47"/>
  <c r="T258" i="47"/>
  <c r="R258" i="47"/>
  <c r="Q258" i="47"/>
  <c r="P258" i="47"/>
  <c r="J258" i="47"/>
  <c r="H258" i="47"/>
  <c r="K258" i="47" s="1"/>
  <c r="P257" i="47"/>
  <c r="Q256" i="47"/>
  <c r="P256" i="47"/>
  <c r="T255" i="47"/>
  <c r="R255" i="47"/>
  <c r="Q255" i="47"/>
  <c r="P255" i="47"/>
  <c r="I255" i="47"/>
  <c r="J255" i="47" s="1"/>
  <c r="H255" i="47"/>
  <c r="K255" i="47" s="1"/>
  <c r="A255" i="47"/>
  <c r="A258" i="47" s="1"/>
  <c r="A262" i="47" s="1"/>
  <c r="A263" i="47" s="1"/>
  <c r="A265" i="47" s="1"/>
  <c r="A267" i="47" s="1"/>
  <c r="A268" i="47" s="1"/>
  <c r="A269" i="47" s="1"/>
  <c r="A270" i="47" s="1"/>
  <c r="A271" i="47" s="1"/>
  <c r="A272" i="47" s="1"/>
  <c r="A274" i="47" s="1"/>
  <c r="A275" i="47" s="1"/>
  <c r="A276" i="47" s="1"/>
  <c r="A277" i="47" s="1"/>
  <c r="A278" i="47" s="1"/>
  <c r="A279" i="47" s="1"/>
  <c r="A280" i="47" s="1"/>
  <c r="A281" i="47" s="1"/>
  <c r="A282" i="47" s="1"/>
  <c r="A283" i="47" s="1"/>
  <c r="A284" i="47" s="1"/>
  <c r="A286" i="47" s="1"/>
  <c r="A287" i="47" s="1"/>
  <c r="A288" i="47" s="1"/>
  <c r="H254" i="47"/>
  <c r="A254" i="47"/>
  <c r="P253" i="47"/>
  <c r="I252" i="47"/>
  <c r="J252" i="47" s="1"/>
  <c r="H252" i="47"/>
  <c r="H251" i="47"/>
  <c r="H250" i="47"/>
  <c r="H249" i="47"/>
  <c r="H248" i="47"/>
  <c r="T246" i="47"/>
  <c r="P246" i="47"/>
  <c r="I246" i="47"/>
  <c r="J246" i="47" s="1"/>
  <c r="H246" i="47"/>
  <c r="H245" i="47"/>
  <c r="H244" i="47"/>
  <c r="H243" i="47"/>
  <c r="T241" i="47"/>
  <c r="Q241" i="47"/>
  <c r="P241" i="47"/>
  <c r="J241" i="47"/>
  <c r="H241" i="47"/>
  <c r="T240" i="47"/>
  <c r="R240" i="47"/>
  <c r="P240" i="47"/>
  <c r="K240" i="47"/>
  <c r="J240" i="47"/>
  <c r="H240" i="47"/>
  <c r="H239" i="47"/>
  <c r="H238" i="47"/>
  <c r="H237" i="47"/>
  <c r="H236" i="47"/>
  <c r="H235" i="47"/>
  <c r="H234" i="47"/>
  <c r="H233" i="47"/>
  <c r="H232" i="47"/>
  <c r="H231" i="47"/>
  <c r="P229" i="47"/>
  <c r="T228" i="47"/>
  <c r="P228" i="47"/>
  <c r="I228" i="47"/>
  <c r="J228" i="47" s="1"/>
  <c r="H228" i="47"/>
  <c r="P227" i="47"/>
  <c r="T226" i="47"/>
  <c r="P226" i="47"/>
  <c r="I226" i="47"/>
  <c r="J226" i="47" s="1"/>
  <c r="H226" i="47"/>
  <c r="P225" i="47"/>
  <c r="Q224" i="47"/>
  <c r="P224" i="47"/>
  <c r="T223" i="47"/>
  <c r="R223" i="47"/>
  <c r="Q223" i="47"/>
  <c r="P223" i="47"/>
  <c r="J223" i="47"/>
  <c r="H223" i="47"/>
  <c r="K223" i="47" s="1"/>
  <c r="H222" i="47"/>
  <c r="H221" i="47"/>
  <c r="I220" i="47"/>
  <c r="J220" i="47" s="1"/>
  <c r="H220" i="47"/>
  <c r="T219" i="47"/>
  <c r="P219" i="47"/>
  <c r="J219" i="47"/>
  <c r="I219" i="47"/>
  <c r="H219" i="47"/>
  <c r="Q217" i="47"/>
  <c r="P217" i="47"/>
  <c r="T216" i="47"/>
  <c r="P216" i="47"/>
  <c r="J216" i="47"/>
  <c r="H216" i="47"/>
  <c r="Q214" i="47"/>
  <c r="P214" i="47"/>
  <c r="T213" i="47"/>
  <c r="P213" i="47"/>
  <c r="J213" i="47"/>
  <c r="H213" i="47"/>
  <c r="H212" i="47"/>
  <c r="T210" i="47"/>
  <c r="R210" i="47"/>
  <c r="P210" i="47"/>
  <c r="J210" i="47"/>
  <c r="H210" i="47"/>
  <c r="K210" i="47" s="1"/>
  <c r="P209" i="47"/>
  <c r="T207" i="47"/>
  <c r="R207" i="47"/>
  <c r="Q207" i="47"/>
  <c r="P207" i="47"/>
  <c r="K207" i="47"/>
  <c r="J207" i="47"/>
  <c r="H207" i="47"/>
  <c r="H206" i="47"/>
  <c r="I205" i="47"/>
  <c r="J205" i="47" s="1"/>
  <c r="H205" i="47"/>
  <c r="P204" i="47"/>
  <c r="Q203" i="47"/>
  <c r="P203" i="47"/>
  <c r="T202" i="47"/>
  <c r="R202" i="47"/>
  <c r="Q202" i="47"/>
  <c r="P202" i="47"/>
  <c r="J202" i="47"/>
  <c r="H202" i="47"/>
  <c r="K202" i="47" s="1"/>
  <c r="P201" i="47"/>
  <c r="Q200" i="47"/>
  <c r="P200" i="47"/>
  <c r="T199" i="47"/>
  <c r="R199" i="47"/>
  <c r="Q199" i="47"/>
  <c r="P199" i="47"/>
  <c r="J199" i="47"/>
  <c r="H199" i="47"/>
  <c r="K199" i="47" s="1"/>
  <c r="P198" i="47"/>
  <c r="T197" i="47"/>
  <c r="R197" i="47"/>
  <c r="K197" i="47" s="1"/>
  <c r="Q197" i="47"/>
  <c r="P197" i="47"/>
  <c r="J197" i="47"/>
  <c r="H197" i="47"/>
  <c r="P196" i="47"/>
  <c r="Q195" i="47"/>
  <c r="P195" i="47"/>
  <c r="T194" i="47"/>
  <c r="R194" i="47"/>
  <c r="Q194" i="47"/>
  <c r="P194" i="47"/>
  <c r="K194" i="47"/>
  <c r="J194" i="47"/>
  <c r="H194" i="47"/>
  <c r="H193" i="47"/>
  <c r="H192" i="47"/>
  <c r="T190" i="47"/>
  <c r="I190" i="47"/>
  <c r="J190" i="47" s="1"/>
  <c r="H190" i="47"/>
  <c r="H189" i="47"/>
  <c r="Q188" i="47"/>
  <c r="P188" i="47"/>
  <c r="Q187" i="47"/>
  <c r="P187" i="47"/>
  <c r="P186" i="47"/>
  <c r="Q185" i="47"/>
  <c r="P185" i="47"/>
  <c r="T184" i="47"/>
  <c r="R184" i="47"/>
  <c r="Q184" i="47"/>
  <c r="P184" i="47"/>
  <c r="J184" i="47"/>
  <c r="H184" i="47"/>
  <c r="K184" i="47" s="1"/>
  <c r="P183" i="47"/>
  <c r="V182" i="47"/>
  <c r="R182" i="47"/>
  <c r="Q182" i="47"/>
  <c r="P182" i="47"/>
  <c r="K182" i="47"/>
  <c r="J182" i="47"/>
  <c r="T181" i="47"/>
  <c r="P181" i="47"/>
  <c r="I181" i="47"/>
  <c r="J181" i="47" s="1"/>
  <c r="H181" i="47"/>
  <c r="H180" i="47"/>
  <c r="J179" i="47"/>
  <c r="H179" i="47"/>
  <c r="T178" i="47"/>
  <c r="H177" i="47"/>
  <c r="H176" i="47"/>
  <c r="H175" i="47"/>
  <c r="H174" i="47"/>
  <c r="H173" i="47"/>
  <c r="H172" i="47"/>
  <c r="J171" i="47"/>
  <c r="I171" i="47"/>
  <c r="H171" i="47"/>
  <c r="H170" i="47"/>
  <c r="H169" i="47"/>
  <c r="H168" i="47"/>
  <c r="H167" i="47"/>
  <c r="T166" i="47"/>
  <c r="J166" i="47"/>
  <c r="H166" i="47"/>
  <c r="H165" i="47"/>
  <c r="H164" i="47"/>
  <c r="H163" i="47"/>
  <c r="T161" i="47"/>
  <c r="Q161" i="47"/>
  <c r="P161" i="47"/>
  <c r="J161" i="47"/>
  <c r="H161" i="47"/>
  <c r="P159" i="47"/>
  <c r="Q158" i="47"/>
  <c r="P158" i="47"/>
  <c r="T157" i="47"/>
  <c r="Q157" i="47"/>
  <c r="P157" i="47"/>
  <c r="I157" i="47"/>
  <c r="J157" i="47" s="1"/>
  <c r="H157" i="47"/>
  <c r="T156" i="47"/>
  <c r="P156" i="47"/>
  <c r="I156" i="47"/>
  <c r="H156" i="47"/>
  <c r="I155" i="47"/>
  <c r="H155" i="47"/>
  <c r="P154" i="47"/>
  <c r="T153" i="47"/>
  <c r="Q153" i="47"/>
  <c r="P153" i="47"/>
  <c r="I153" i="47"/>
  <c r="J153" i="47" s="1"/>
  <c r="H153" i="47"/>
  <c r="P152" i="47"/>
  <c r="P150" i="47"/>
  <c r="T149" i="47"/>
  <c r="P149" i="47"/>
  <c r="J149" i="47"/>
  <c r="I149" i="47"/>
  <c r="H149" i="47"/>
  <c r="Q147" i="47"/>
  <c r="P147" i="47"/>
  <c r="Q146" i="47"/>
  <c r="P146" i="47"/>
  <c r="T145" i="47"/>
  <c r="Q145" i="47"/>
  <c r="P145" i="47"/>
  <c r="J145" i="47"/>
  <c r="H145" i="47"/>
  <c r="P144" i="47"/>
  <c r="T143" i="47"/>
  <c r="R143" i="47"/>
  <c r="Q143" i="47"/>
  <c r="P143" i="47"/>
  <c r="J143" i="47"/>
  <c r="H143" i="47"/>
  <c r="K143" i="47" s="1"/>
  <c r="P142" i="47"/>
  <c r="T141" i="47"/>
  <c r="Q141" i="47"/>
  <c r="P141" i="47"/>
  <c r="J141" i="47"/>
  <c r="H141" i="47"/>
  <c r="P140" i="47"/>
  <c r="Q139" i="47"/>
  <c r="P139" i="47"/>
  <c r="Q138" i="47"/>
  <c r="P138" i="47"/>
  <c r="T137" i="47"/>
  <c r="R137" i="47"/>
  <c r="Q137" i="47"/>
  <c r="P137" i="47"/>
  <c r="I137" i="47"/>
  <c r="J137" i="47" s="1"/>
  <c r="H137" i="47"/>
  <c r="K137" i="47" s="1"/>
  <c r="H136" i="47"/>
  <c r="H135" i="47"/>
  <c r="H134" i="47"/>
  <c r="T132" i="47"/>
  <c r="R132" i="47"/>
  <c r="K132" i="47" s="1"/>
  <c r="I132" i="47"/>
  <c r="J132" i="47" s="1"/>
  <c r="H132" i="47"/>
  <c r="T128" i="47"/>
  <c r="R128" i="47"/>
  <c r="Q128" i="47"/>
  <c r="P128" i="47"/>
  <c r="I128" i="47"/>
  <c r="J128" i="47" s="1"/>
  <c r="H128" i="47"/>
  <c r="K128" i="47" s="1"/>
  <c r="H127" i="47"/>
  <c r="H126" i="47"/>
  <c r="H125" i="47"/>
  <c r="H124" i="47"/>
  <c r="H123" i="47"/>
  <c r="T122" i="47"/>
  <c r="R122" i="47"/>
  <c r="P122" i="47"/>
  <c r="I122" i="47"/>
  <c r="J122" i="47" s="1"/>
  <c r="H122" i="47"/>
  <c r="H121" i="47"/>
  <c r="H120" i="47"/>
  <c r="H119" i="47"/>
  <c r="P118" i="47"/>
  <c r="J118" i="47"/>
  <c r="H118" i="47"/>
  <c r="H117" i="47"/>
  <c r="H116" i="47"/>
  <c r="H115" i="47"/>
  <c r="H114" i="47"/>
  <c r="H113" i="47"/>
  <c r="H112" i="47"/>
  <c r="H111" i="47"/>
  <c r="H110" i="47"/>
  <c r="P109" i="47"/>
  <c r="I109" i="47"/>
  <c r="J109" i="47" s="1"/>
  <c r="H109" i="47"/>
  <c r="P108" i="47"/>
  <c r="T107" i="47"/>
  <c r="R107" i="47"/>
  <c r="Q107" i="47"/>
  <c r="P107" i="47"/>
  <c r="K107" i="47"/>
  <c r="J107" i="47"/>
  <c r="I107" i="47"/>
  <c r="H107" i="47"/>
  <c r="P106" i="47"/>
  <c r="Q105" i="47"/>
  <c r="P105" i="47"/>
  <c r="V104" i="47"/>
  <c r="T104" i="47"/>
  <c r="S104" i="47"/>
  <c r="R104" i="47"/>
  <c r="Q104" i="47"/>
  <c r="P104" i="47"/>
  <c r="K104" i="47"/>
  <c r="J104" i="47"/>
  <c r="H104" i="47"/>
  <c r="P103" i="47"/>
  <c r="T102" i="47"/>
  <c r="Q102" i="47"/>
  <c r="P102" i="47"/>
  <c r="I102" i="47"/>
  <c r="J102" i="47" s="1"/>
  <c r="H102" i="47"/>
  <c r="T101" i="47"/>
  <c r="I101" i="47"/>
  <c r="H101" i="47"/>
  <c r="T100" i="47"/>
  <c r="P100" i="47"/>
  <c r="I100" i="47"/>
  <c r="H100" i="47"/>
  <c r="T99" i="47"/>
  <c r="P99" i="47"/>
  <c r="J99" i="47"/>
  <c r="I99" i="47"/>
  <c r="H99" i="47"/>
  <c r="T98" i="47"/>
  <c r="P98" i="47"/>
  <c r="I98" i="47"/>
  <c r="J98" i="47" s="1"/>
  <c r="H98" i="47"/>
  <c r="J97" i="47"/>
  <c r="I97" i="47"/>
  <c r="H97" i="47"/>
  <c r="H95" i="47"/>
  <c r="H94" i="47"/>
  <c r="P93" i="47"/>
  <c r="T92" i="47"/>
  <c r="P92" i="47"/>
  <c r="J92" i="47"/>
  <c r="I92" i="47"/>
  <c r="H92" i="47"/>
  <c r="P91" i="47"/>
  <c r="Q90" i="47"/>
  <c r="P90" i="47"/>
  <c r="T89" i="47"/>
  <c r="P89" i="47"/>
  <c r="I89" i="47"/>
  <c r="J89" i="47" s="1"/>
  <c r="H89" i="47"/>
  <c r="P87" i="47"/>
  <c r="T86" i="47"/>
  <c r="P86" i="47"/>
  <c r="I86" i="47"/>
  <c r="J86" i="47" s="1"/>
  <c r="H86" i="47"/>
  <c r="I84" i="47"/>
  <c r="J84" i="47" s="1"/>
  <c r="H84" i="47"/>
  <c r="P83" i="47"/>
  <c r="O83" i="47"/>
  <c r="T83" i="47" s="1"/>
  <c r="I83" i="47"/>
  <c r="J83" i="47" s="1"/>
  <c r="P82" i="47"/>
  <c r="P81" i="47"/>
  <c r="T79" i="47"/>
  <c r="Q79" i="47"/>
  <c r="P79" i="47"/>
  <c r="J79" i="47"/>
  <c r="H79" i="47"/>
  <c r="Q77" i="47"/>
  <c r="P77" i="47"/>
  <c r="T76" i="47"/>
  <c r="J76" i="47"/>
  <c r="H76" i="47"/>
  <c r="T72" i="47"/>
  <c r="P72" i="47"/>
  <c r="J72" i="47"/>
  <c r="H72" i="47"/>
  <c r="H71" i="47"/>
  <c r="H70" i="47"/>
  <c r="H69" i="47"/>
  <c r="H68" i="47"/>
  <c r="H67" i="47"/>
  <c r="H66" i="47"/>
  <c r="P65" i="47"/>
  <c r="T64" i="47"/>
  <c r="R64" i="47"/>
  <c r="Q64" i="47"/>
  <c r="P64" i="47"/>
  <c r="I64" i="47"/>
  <c r="J64" i="47" s="1"/>
  <c r="H64" i="47"/>
  <c r="K64" i="47" s="1"/>
  <c r="T63" i="47"/>
  <c r="R63" i="47"/>
  <c r="K63" i="47" s="1"/>
  <c r="I63" i="47"/>
  <c r="J63" i="47" s="1"/>
  <c r="H63" i="47"/>
  <c r="T62" i="47"/>
  <c r="P62" i="47"/>
  <c r="J62" i="47"/>
  <c r="H62" i="47"/>
  <c r="K62" i="47" s="1"/>
  <c r="P60" i="47"/>
  <c r="Q59" i="47"/>
  <c r="P59" i="47"/>
  <c r="Q58" i="47"/>
  <c r="P58" i="47"/>
  <c r="T57" i="47"/>
  <c r="Q57" i="47"/>
  <c r="P57" i="47"/>
  <c r="J57" i="47"/>
  <c r="H57" i="47"/>
  <c r="R56" i="47"/>
  <c r="P56" i="47"/>
  <c r="J56" i="47"/>
  <c r="H56" i="47"/>
  <c r="K56" i="47" s="1"/>
  <c r="T55" i="47"/>
  <c r="P55" i="47"/>
  <c r="J55" i="47"/>
  <c r="H55" i="47"/>
  <c r="P54" i="47"/>
  <c r="K54" i="47"/>
  <c r="J54" i="47"/>
  <c r="H54" i="47"/>
  <c r="P53" i="47"/>
  <c r="T52" i="47"/>
  <c r="R52" i="47"/>
  <c r="K52" i="47" s="1"/>
  <c r="Q52" i="47"/>
  <c r="P52" i="47"/>
  <c r="J52" i="47"/>
  <c r="H52" i="47"/>
  <c r="P51" i="47"/>
  <c r="P50" i="47"/>
  <c r="P49" i="47"/>
  <c r="Q48" i="47"/>
  <c r="P48" i="47"/>
  <c r="Q47" i="47"/>
  <c r="P47" i="47"/>
  <c r="T46" i="47"/>
  <c r="R46" i="47"/>
  <c r="Q46" i="47"/>
  <c r="P46" i="47"/>
  <c r="J46" i="47"/>
  <c r="H46" i="47"/>
  <c r="K46" i="47" s="1"/>
  <c r="P45" i="47"/>
  <c r="T44" i="47"/>
  <c r="Q44" i="47"/>
  <c r="P44" i="47"/>
  <c r="K44" i="47"/>
  <c r="J44" i="47"/>
  <c r="H44" i="47"/>
  <c r="P43" i="47"/>
  <c r="T42" i="47"/>
  <c r="R42" i="47"/>
  <c r="Q42" i="47"/>
  <c r="P42" i="47"/>
  <c r="J42" i="47"/>
  <c r="H42" i="47"/>
  <c r="K42" i="47" s="1"/>
  <c r="P41" i="47"/>
  <c r="P40" i="47"/>
  <c r="P39" i="47"/>
  <c r="Q38" i="47"/>
  <c r="P38" i="47"/>
  <c r="Q37" i="47"/>
  <c r="P37" i="47"/>
  <c r="V36" i="47"/>
  <c r="T36" i="47"/>
  <c r="R36" i="47"/>
  <c r="K36" i="47" s="1"/>
  <c r="Q36" i="47"/>
  <c r="P36" i="47"/>
  <c r="J36" i="47"/>
  <c r="H36" i="47"/>
  <c r="T34" i="47"/>
  <c r="R34" i="47"/>
  <c r="Q34" i="47"/>
  <c r="P34" i="47"/>
  <c r="J34" i="47"/>
  <c r="H34" i="47"/>
  <c r="K34" i="47" s="1"/>
  <c r="T32" i="47"/>
  <c r="R32" i="47"/>
  <c r="Q32" i="47"/>
  <c r="P32" i="47"/>
  <c r="K32" i="47"/>
  <c r="J32" i="47"/>
  <c r="H32" i="47"/>
  <c r="P31" i="47"/>
  <c r="Q30" i="47"/>
  <c r="P30" i="47"/>
  <c r="T29" i="47"/>
  <c r="R29" i="47"/>
  <c r="Q29" i="47"/>
  <c r="P29" i="47"/>
  <c r="K29" i="47"/>
  <c r="J29" i="47"/>
  <c r="H29" i="47"/>
  <c r="H28" i="47"/>
  <c r="H27" i="47"/>
  <c r="T26" i="47"/>
  <c r="R26" i="47"/>
  <c r="P26" i="47"/>
  <c r="J26" i="47"/>
  <c r="H26" i="47"/>
  <c r="P25" i="47"/>
  <c r="Q24" i="47"/>
  <c r="P24" i="47"/>
  <c r="V23" i="47"/>
  <c r="T23" i="47"/>
  <c r="R23" i="47"/>
  <c r="K23" i="47" s="1"/>
  <c r="Q23" i="47"/>
  <c r="P23" i="47"/>
  <c r="J23" i="47"/>
  <c r="H23" i="47"/>
  <c r="T19" i="47"/>
  <c r="R19" i="47"/>
  <c r="K19" i="47" s="1"/>
  <c r="Q19" i="47"/>
  <c r="P19" i="47"/>
  <c r="J19" i="47"/>
  <c r="H19" i="47"/>
  <c r="T17" i="47"/>
  <c r="P17" i="47"/>
  <c r="I17" i="47"/>
  <c r="J17" i="47" s="1"/>
  <c r="H17" i="47"/>
  <c r="P16" i="47"/>
  <c r="T15" i="47"/>
  <c r="R15" i="47"/>
  <c r="Q15" i="47"/>
  <c r="P15" i="47"/>
  <c r="J15" i="47"/>
  <c r="H15" i="47"/>
  <c r="K15" i="47" s="1"/>
  <c r="P14" i="47"/>
  <c r="V13" i="47"/>
  <c r="R13" i="47"/>
  <c r="K13" i="47" s="1"/>
  <c r="Q13" i="47"/>
  <c r="P13" i="47"/>
  <c r="J13" i="47"/>
  <c r="H13" i="47"/>
  <c r="H12" i="47"/>
  <c r="P11" i="47"/>
  <c r="T10" i="47"/>
  <c r="Q10" i="47"/>
  <c r="P10" i="47"/>
  <c r="J10" i="47"/>
  <c r="H10" i="47"/>
  <c r="H9" i="47"/>
  <c r="P8" i="47"/>
  <c r="V7" i="47"/>
  <c r="T7" i="47"/>
  <c r="S7" i="47"/>
  <c r="R7" i="47"/>
  <c r="Q7" i="47"/>
  <c r="P7" i="47"/>
  <c r="J7" i="47"/>
  <c r="H7" i="47"/>
  <c r="K7" i="47" s="1"/>
  <c r="Q5" i="47"/>
  <c r="P5" i="47"/>
  <c r="Q4" i="47"/>
  <c r="P4" i="47"/>
  <c r="J3" i="47"/>
  <c r="H3" i="47"/>
  <c r="V1" i="47"/>
  <c r="V29" i="47" s="1"/>
  <c r="I1" i="47"/>
  <c r="K116" i="47" s="1"/>
  <c r="J278" i="47" l="1"/>
  <c r="P6" i="47"/>
  <c r="K155" i="47"/>
  <c r="J248" i="47"/>
  <c r="J177" i="47"/>
  <c r="K248" i="47"/>
  <c r="P151" i="47"/>
  <c r="J123" i="47"/>
  <c r="V145" i="47"/>
  <c r="K254" i="47"/>
  <c r="Q292" i="47"/>
  <c r="Q142" i="47"/>
  <c r="K10" i="47"/>
  <c r="K110" i="47"/>
  <c r="J71" i="47"/>
  <c r="K243" i="47"/>
  <c r="K190" i="47"/>
  <c r="K84" i="47"/>
  <c r="K97" i="47"/>
  <c r="J110" i="47"/>
  <c r="J249" i="47"/>
  <c r="K71" i="47"/>
  <c r="K219" i="47"/>
  <c r="K244" i="47"/>
  <c r="J155" i="47"/>
  <c r="K66" i="47"/>
  <c r="Q72" i="47"/>
  <c r="J112" i="47"/>
  <c r="K177" i="47"/>
  <c r="J244" i="47"/>
  <c r="K288" i="47"/>
  <c r="K127" i="47"/>
  <c r="P178" i="47"/>
  <c r="J268" i="47"/>
  <c r="V19" i="47"/>
  <c r="J67" i="47"/>
  <c r="K102" i="47"/>
  <c r="K136" i="47"/>
  <c r="K226" i="47"/>
  <c r="J245" i="47"/>
  <c r="K274" i="47"/>
  <c r="K282" i="47"/>
  <c r="P20" i="47"/>
  <c r="P33" i="47"/>
  <c r="J136" i="47"/>
  <c r="J222" i="47"/>
  <c r="K17" i="47"/>
  <c r="Q89" i="47"/>
  <c r="K172" i="47"/>
  <c r="K222" i="47"/>
  <c r="K234" i="47"/>
  <c r="J283" i="47"/>
  <c r="Q99" i="47"/>
  <c r="J116" i="47"/>
  <c r="J165" i="47"/>
  <c r="J172" i="47"/>
  <c r="K278" i="47"/>
  <c r="H268" i="47"/>
  <c r="K268" i="47" s="1"/>
  <c r="K26" i="47"/>
  <c r="H265" i="47"/>
  <c r="Q294" i="47"/>
  <c r="J287" i="47"/>
  <c r="J282" i="47"/>
  <c r="J274" i="47"/>
  <c r="K269" i="47"/>
  <c r="Q263" i="47"/>
  <c r="J254" i="47"/>
  <c r="J243" i="47"/>
  <c r="J236" i="47"/>
  <c r="J232" i="47"/>
  <c r="J221" i="47"/>
  <c r="P179" i="47"/>
  <c r="K175" i="47"/>
  <c r="K171" i="47"/>
  <c r="K164" i="47"/>
  <c r="K135" i="47"/>
  <c r="J126" i="47"/>
  <c r="K119" i="47"/>
  <c r="Q55" i="47"/>
  <c r="K153" i="47"/>
  <c r="J135" i="47"/>
  <c r="J119" i="47"/>
  <c r="K115" i="47"/>
  <c r="K111" i="47"/>
  <c r="K95" i="47"/>
  <c r="Q83" i="47"/>
  <c r="K79" i="47"/>
  <c r="K72" i="47"/>
  <c r="K68" i="47"/>
  <c r="K292" i="47"/>
  <c r="Q289" i="47"/>
  <c r="K284" i="47"/>
  <c r="K279" i="47"/>
  <c r="K276" i="47"/>
  <c r="J269" i="47"/>
  <c r="K250" i="47"/>
  <c r="K246" i="47"/>
  <c r="Q227" i="47"/>
  <c r="Q210" i="47"/>
  <c r="K189" i="47"/>
  <c r="K179" i="47"/>
  <c r="J175" i="47"/>
  <c r="K167" i="47"/>
  <c r="J164" i="47"/>
  <c r="K156" i="47"/>
  <c r="J279" i="47"/>
  <c r="J276" i="47"/>
  <c r="K271" i="47"/>
  <c r="J250" i="47"/>
  <c r="K239" i="47"/>
  <c r="K235" i="47"/>
  <c r="K231" i="47"/>
  <c r="P220" i="47"/>
  <c r="P218" i="47"/>
  <c r="K206" i="47"/>
  <c r="K193" i="47"/>
  <c r="J189" i="47"/>
  <c r="Q181" i="47"/>
  <c r="J167" i="47"/>
  <c r="P148" i="47"/>
  <c r="K125" i="47"/>
  <c r="J115" i="47"/>
  <c r="J111" i="47"/>
  <c r="J95" i="47"/>
  <c r="Q86" i="47"/>
  <c r="J68" i="47"/>
  <c r="K55" i="47"/>
  <c r="P35" i="47"/>
  <c r="K12" i="47"/>
  <c r="K289" i="47"/>
  <c r="K286" i="47"/>
  <c r="J271" i="47"/>
  <c r="J239" i="47"/>
  <c r="J235" i="47"/>
  <c r="J231" i="47"/>
  <c r="K220" i="47"/>
  <c r="Q213" i="47"/>
  <c r="J206" i="47"/>
  <c r="J193" i="47"/>
  <c r="K174" i="47"/>
  <c r="K163" i="47"/>
  <c r="K134" i="47"/>
  <c r="J125" i="47"/>
  <c r="K100" i="47"/>
  <c r="Q98" i="47"/>
  <c r="K57" i="47"/>
  <c r="Q17" i="47"/>
  <c r="J286" i="47"/>
  <c r="Q281" i="47"/>
  <c r="Q265" i="47"/>
  <c r="Q252" i="47"/>
  <c r="K249" i="47"/>
  <c r="Q226" i="47"/>
  <c r="K181" i="47"/>
  <c r="J174" i="47"/>
  <c r="K170" i="47"/>
  <c r="J163" i="47"/>
  <c r="P155" i="47"/>
  <c r="J134" i="47"/>
  <c r="J288" i="47"/>
  <c r="Q284" i="47"/>
  <c r="K277" i="47"/>
  <c r="K270" i="47"/>
  <c r="J267" i="47"/>
  <c r="J234" i="47"/>
  <c r="K228" i="47"/>
  <c r="K221" i="47"/>
  <c r="K213" i="47"/>
  <c r="K176" i="47"/>
  <c r="P166" i="47"/>
  <c r="K161" i="47"/>
  <c r="J127" i="47"/>
  <c r="K118" i="47"/>
  <c r="K101" i="47"/>
  <c r="K99" i="47"/>
  <c r="K83" i="47"/>
  <c r="J66" i="47"/>
  <c r="K216" i="47"/>
  <c r="K121" i="47"/>
  <c r="J94" i="47"/>
  <c r="Q81" i="47"/>
  <c r="K291" i="47"/>
  <c r="K281" i="47"/>
  <c r="J277" i="47"/>
  <c r="J270" i="47"/>
  <c r="Q246" i="47"/>
  <c r="K180" i="47"/>
  <c r="J176" i="47"/>
  <c r="K166" i="47"/>
  <c r="K141" i="47"/>
  <c r="K113" i="47"/>
  <c r="K109" i="47"/>
  <c r="J101" i="47"/>
  <c r="K70" i="47"/>
  <c r="K28" i="47"/>
  <c r="J291" i="47"/>
  <c r="K262" i="47"/>
  <c r="K238" i="47"/>
  <c r="K233" i="47"/>
  <c r="Q216" i="47"/>
  <c r="J180" i="47"/>
  <c r="J170" i="47"/>
  <c r="Q156" i="47"/>
  <c r="K126" i="47"/>
  <c r="J113" i="47"/>
  <c r="Q103" i="47"/>
  <c r="K86" i="47"/>
  <c r="K76" i="47"/>
  <c r="J70" i="47"/>
  <c r="J262" i="47"/>
  <c r="K251" i="47"/>
  <c r="J238" i="47"/>
  <c r="J233" i="47"/>
  <c r="K212" i="47"/>
  <c r="K192" i="47"/>
  <c r="K117" i="47"/>
  <c r="K94" i="47"/>
  <c r="K27" i="47"/>
  <c r="K287" i="47"/>
  <c r="J251" i="47"/>
  <c r="K241" i="47"/>
  <c r="J212" i="47"/>
  <c r="J192" i="47"/>
  <c r="K169" i="47"/>
  <c r="K165" i="47"/>
  <c r="J117" i="47"/>
  <c r="K112" i="47"/>
  <c r="K69" i="47"/>
  <c r="Q11" i="47"/>
  <c r="K283" i="47"/>
  <c r="K275" i="47"/>
  <c r="K272" i="47"/>
  <c r="K265" i="47"/>
  <c r="K245" i="47"/>
  <c r="K237" i="47"/>
  <c r="K232" i="47"/>
  <c r="Q219" i="47"/>
  <c r="K173" i="47"/>
  <c r="K67" i="47"/>
  <c r="K123" i="47"/>
  <c r="J168" i="47"/>
  <c r="J173" i="47"/>
  <c r="Q201" i="47"/>
  <c r="P215" i="47"/>
  <c r="V202" i="47"/>
  <c r="V199" i="47"/>
  <c r="V102" i="47"/>
  <c r="V32" i="47"/>
  <c r="V141" i="47"/>
  <c r="V17" i="47"/>
  <c r="V34" i="47"/>
  <c r="V293" i="47"/>
  <c r="V143" i="47"/>
  <c r="V42" i="47"/>
  <c r="V15" i="47"/>
  <c r="V179" i="47"/>
  <c r="J114" i="47"/>
  <c r="J120" i="47"/>
  <c r="K168" i="47"/>
  <c r="K236" i="47"/>
  <c r="K252" i="47"/>
  <c r="V289" i="47"/>
  <c r="K92" i="47"/>
  <c r="J100" i="47"/>
  <c r="K114" i="47"/>
  <c r="K120" i="47"/>
  <c r="J124" i="47"/>
  <c r="K205" i="47"/>
  <c r="P252" i="47"/>
  <c r="J285" i="47"/>
  <c r="P61" i="47"/>
  <c r="J69" i="47"/>
  <c r="K98" i="47"/>
  <c r="K124" i="47"/>
  <c r="K157" i="47"/>
  <c r="J169" i="47"/>
  <c r="Q228" i="47"/>
  <c r="J237" i="47"/>
  <c r="K267" i="47"/>
  <c r="J275" i="47"/>
  <c r="K285" i="47"/>
  <c r="K89" i="47"/>
  <c r="Q109" i="47"/>
  <c r="J121" i="47"/>
  <c r="K145" i="47"/>
  <c r="K149" i="47"/>
  <c r="J284" i="47"/>
  <c r="K122" i="47"/>
  <c r="J263" i="47"/>
  <c r="H263" i="47"/>
  <c r="K263" i="47" s="1"/>
  <c r="L22" i="8" l="1" a="1"/>
  <c r="L22" i="8" s="1"/>
  <c r="L23" i="8" a="1"/>
  <c r="L23" i="8" s="1"/>
  <c r="L24" i="8" a="1"/>
  <c r="L24" i="8" s="1"/>
  <c r="L25" i="8" a="1"/>
  <c r="L25" i="8" s="1"/>
  <c r="K22" i="8" a="1"/>
  <c r="K22" i="8"/>
  <c r="K23" i="8" a="1"/>
  <c r="K23" i="8"/>
  <c r="K24" i="8" a="1"/>
  <c r="K24" i="8"/>
  <c r="K25" i="8" a="1"/>
  <c r="K25" i="8" s="1"/>
  <c r="K6" i="8" l="1"/>
  <c r="EL3" i="11"/>
  <c r="EM3" i="11"/>
  <c r="EN3" i="11"/>
  <c r="EO3" i="11"/>
  <c r="EP3" i="11"/>
  <c r="EQ3" i="11"/>
  <c r="ER3" i="11"/>
  <c r="ES3" i="11"/>
  <c r="ET3" i="11"/>
  <c r="EU3" i="11"/>
  <c r="EV3" i="11"/>
  <c r="EW3" i="11"/>
  <c r="EX3" i="11"/>
  <c r="EY3" i="11"/>
  <c r="EZ3" i="11"/>
  <c r="FA3" i="11"/>
  <c r="FB3" i="11"/>
  <c r="FC3" i="11"/>
  <c r="FD3" i="11"/>
  <c r="FE3" i="11"/>
  <c r="FF3" i="11"/>
  <c r="FG3" i="11"/>
  <c r="FH3" i="11"/>
  <c r="FI3" i="11"/>
  <c r="FJ3" i="11"/>
  <c r="FK3" i="11"/>
  <c r="FL3" i="11"/>
  <c r="FM3" i="11"/>
  <c r="FN3" i="11"/>
  <c r="FO3" i="11"/>
  <c r="FP3" i="11"/>
  <c r="L15" i="8" l="1" a="1"/>
  <c r="L15" i="8" s="1"/>
  <c r="L12" i="8" a="1"/>
  <c r="L12" i="8" s="1"/>
  <c r="L14" i="8" a="1"/>
  <c r="L14" i="8" s="1"/>
  <c r="L16" i="8" a="1"/>
  <c r="L16" i="8" s="1"/>
  <c r="L17" i="8" a="1"/>
  <c r="L17" i="8" s="1"/>
  <c r="L18" i="8" a="1"/>
  <c r="L18" i="8" s="1"/>
  <c r="I19" i="8"/>
  <c r="L11" i="8" a="1"/>
  <c r="L11" i="8" s="1"/>
  <c r="E22" i="8"/>
  <c r="G22" i="8"/>
  <c r="H22" i="8"/>
  <c r="T12" i="11" l="1"/>
  <c r="T11" i="11"/>
  <c r="I11" i="11" l="1"/>
  <c r="D1" i="11"/>
  <c r="P38" i="11" l="1"/>
  <c r="P23" i="11"/>
  <c r="P31" i="11"/>
  <c r="P32" i="11"/>
  <c r="P33" i="11"/>
  <c r="P39" i="11"/>
  <c r="P24" i="11"/>
  <c r="P26" i="11"/>
  <c r="P27" i="11"/>
  <c r="P28" i="11"/>
  <c r="P29" i="11"/>
  <c r="P30" i="11"/>
  <c r="P40" i="11"/>
  <c r="P25" i="11"/>
  <c r="P14" i="11"/>
  <c r="P17" i="11"/>
  <c r="P15" i="11"/>
  <c r="P16" i="11"/>
  <c r="P18" i="11"/>
  <c r="P19" i="11"/>
  <c r="P20" i="11"/>
  <c r="P21" i="11"/>
  <c r="P22" i="11"/>
  <c r="N4" i="8"/>
  <c r="K15" i="8" l="1" a="1"/>
  <c r="K15" i="8" s="1"/>
  <c r="K16" i="8" a="1"/>
  <c r="K16" i="8" s="1"/>
  <c r="K17" i="8" a="1"/>
  <c r="K17" i="8" s="1"/>
  <c r="K14" i="8" a="1"/>
  <c r="K14" i="8" s="1"/>
  <c r="K12" i="8" a="1"/>
  <c r="K12" i="8" s="1"/>
  <c r="K18" i="8" a="1"/>
  <c r="K18" i="8" s="1"/>
  <c r="A26" i="14"/>
  <c r="L7" i="8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G28" i="11" l="1"/>
  <c r="H28" i="11"/>
  <c r="I28" i="11"/>
  <c r="N28" i="11"/>
  <c r="O28" i="11" s="1"/>
  <c r="G29" i="11"/>
  <c r="H29" i="11"/>
  <c r="I29" i="11"/>
  <c r="N29" i="11"/>
  <c r="O29" i="11" s="1"/>
  <c r="G30" i="11"/>
  <c r="H30" i="11"/>
  <c r="I30" i="11"/>
  <c r="N30" i="11"/>
  <c r="O30" i="11" s="1"/>
  <c r="G31" i="11"/>
  <c r="H31" i="11"/>
  <c r="I31" i="11"/>
  <c r="N31" i="11"/>
  <c r="O31" i="11" s="1"/>
  <c r="G32" i="11"/>
  <c r="H32" i="11"/>
  <c r="I32" i="11"/>
  <c r="N32" i="11"/>
  <c r="O32" i="11" s="1"/>
  <c r="G33" i="11"/>
  <c r="H33" i="11"/>
  <c r="I33" i="11"/>
  <c r="N33" i="11"/>
  <c r="O33" i="11" s="1"/>
  <c r="G34" i="11"/>
  <c r="I34" i="11" s="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8" i="8"/>
  <c r="I17" i="8"/>
  <c r="I16" i="8"/>
  <c r="I15" i="8"/>
  <c r="I14" i="8"/>
  <c r="I12" i="8"/>
  <c r="K19" i="8" a="1"/>
  <c r="K19" i="8" s="1"/>
  <c r="H13" i="11" l="1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0" i="11"/>
  <c r="T9" i="11"/>
  <c r="T8" i="11"/>
  <c r="T7" i="11"/>
  <c r="T6" i="11"/>
  <c r="T5" i="11"/>
  <c r="T4" i="11"/>
  <c r="L19" i="8" a="1"/>
  <c r="L19" i="8" s="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H82" i="11"/>
  <c r="I79" i="11"/>
  <c r="H79" i="11"/>
  <c r="I77" i="11"/>
  <c r="I76" i="11"/>
  <c r="H76" i="11"/>
  <c r="H74" i="11"/>
  <c r="I73" i="11"/>
  <c r="H73" i="11"/>
  <c r="I71" i="11"/>
  <c r="H71" i="11"/>
  <c r="E89" i="11"/>
  <c r="E90" i="11" s="1"/>
  <c r="F80" i="11"/>
  <c r="E80" i="11"/>
  <c r="H80" i="11" s="1"/>
  <c r="F78" i="11"/>
  <c r="I78" i="11" s="1"/>
  <c r="E77" i="11"/>
  <c r="G77" i="11" s="1"/>
  <c r="E75" i="11"/>
  <c r="H75" i="11" s="1"/>
  <c r="F74" i="11"/>
  <c r="F75" i="11" s="1"/>
  <c r="F69" i="11"/>
  <c r="E70" i="11" s="1"/>
  <c r="F68" i="11"/>
  <c r="G68" i="11" s="1"/>
  <c r="H69" i="11"/>
  <c r="H68" i="11"/>
  <c r="G67" i="11"/>
  <c r="I67" i="11"/>
  <c r="H67" i="11"/>
  <c r="G66" i="11"/>
  <c r="I66" i="11"/>
  <c r="H66" i="11"/>
  <c r="G65" i="11"/>
  <c r="I65" i="11"/>
  <c r="H65" i="11"/>
  <c r="G64" i="11"/>
  <c r="I64" i="11"/>
  <c r="H64" i="11"/>
  <c r="G63" i="11"/>
  <c r="G62" i="11"/>
  <c r="I63" i="11"/>
  <c r="H63" i="11"/>
  <c r="I62" i="11"/>
  <c r="H62" i="11"/>
  <c r="G61" i="11"/>
  <c r="I61" i="11"/>
  <c r="H61" i="11"/>
  <c r="G60" i="11"/>
  <c r="I60" i="11"/>
  <c r="H60" i="11"/>
  <c r="G59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I48" i="11"/>
  <c r="H48" i="11"/>
  <c r="I47" i="11"/>
  <c r="H47" i="11"/>
  <c r="I46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H49" i="11" s="1"/>
  <c r="E46" i="11"/>
  <c r="G46" i="11" s="1"/>
  <c r="F45" i="11"/>
  <c r="I45" i="11" s="1"/>
  <c r="E45" i="11"/>
  <c r="H45" i="11" s="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I27" i="11"/>
  <c r="I21" i="11"/>
  <c r="H21" i="11"/>
  <c r="E27" i="11"/>
  <c r="H27" i="11" s="1"/>
  <c r="F22" i="11"/>
  <c r="F23" i="11" s="1"/>
  <c r="F24" i="11" s="1"/>
  <c r="F25" i="11" s="1"/>
  <c r="F26" i="11" s="1"/>
  <c r="I26" i="11" s="1"/>
  <c r="E22" i="11"/>
  <c r="E23" i="11" s="1"/>
  <c r="G69" i="11" l="1"/>
  <c r="H46" i="11"/>
  <c r="G49" i="11"/>
  <c r="I69" i="11"/>
  <c r="G74" i="11"/>
  <c r="H77" i="11"/>
  <c r="G80" i="11"/>
  <c r="E78" i="11"/>
  <c r="H78" i="11" s="1"/>
  <c r="H89" i="11"/>
  <c r="E91" i="11"/>
  <c r="H91" i="11" s="1"/>
  <c r="H90" i="11"/>
  <c r="E72" i="11"/>
  <c r="G75" i="11"/>
  <c r="I75" i="11"/>
  <c r="F70" i="11"/>
  <c r="H70" i="11"/>
  <c r="E81" i="11"/>
  <c r="H81" i="11" s="1"/>
  <c r="I74" i="11"/>
  <c r="I80" i="11"/>
  <c r="F81" i="11"/>
  <c r="F89" i="11"/>
  <c r="G45" i="11"/>
  <c r="I68" i="11"/>
  <c r="G23" i="11"/>
  <c r="G27" i="11"/>
  <c r="G22" i="11"/>
  <c r="H22" i="11"/>
  <c r="I22" i="11"/>
  <c r="I23" i="11"/>
  <c r="I24" i="11"/>
  <c r="I25" i="11"/>
  <c r="E24" i="11"/>
  <c r="G24" i="11" s="1"/>
  <c r="H23" i="11"/>
  <c r="G78" i="11" l="1"/>
  <c r="G81" i="11"/>
  <c r="I81" i="11"/>
  <c r="F82" i="11"/>
  <c r="G70" i="11"/>
  <c r="I70" i="11"/>
  <c r="F72" i="11"/>
  <c r="H72" i="11"/>
  <c r="I89" i="11"/>
  <c r="F90" i="11"/>
  <c r="G89" i="11"/>
  <c r="E25" i="11"/>
  <c r="G25" i="11" s="1"/>
  <c r="H24" i="11"/>
  <c r="F91" i="11" l="1"/>
  <c r="I90" i="11"/>
  <c r="G90" i="11"/>
  <c r="G72" i="11"/>
  <c r="I72" i="11"/>
  <c r="I82" i="11"/>
  <c r="G82" i="11"/>
  <c r="E26" i="11"/>
  <c r="H25" i="11"/>
  <c r="I91" i="11" l="1"/>
  <c r="G91" i="11"/>
  <c r="H26" i="11"/>
  <c r="G26" i="11"/>
  <c r="I16" i="11" l="1"/>
  <c r="F17" i="11"/>
  <c r="E18" i="11"/>
  <c r="E19" i="11" s="1"/>
  <c r="H17" i="11"/>
  <c r="H16" i="11"/>
  <c r="I15" i="11"/>
  <c r="H15" i="11"/>
  <c r="I14" i="11"/>
  <c r="H14" i="11"/>
  <c r="I13" i="11"/>
  <c r="F18" i="11" l="1"/>
  <c r="I18" i="11" s="1"/>
  <c r="G17" i="11"/>
  <c r="H18" i="11"/>
  <c r="E20" i="11"/>
  <c r="H20" i="11" s="1"/>
  <c r="H19" i="11"/>
  <c r="I17" i="11"/>
  <c r="F19" i="11" l="1"/>
  <c r="G18" i="11"/>
  <c r="F20" i="11" l="1"/>
  <c r="G19" i="11"/>
  <c r="I19" i="11"/>
  <c r="I20" i="11" l="1"/>
  <c r="G20" i="1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E12" i="8" l="1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87" i="11"/>
  <c r="P88" i="11"/>
  <c r="P55" i="11"/>
  <c r="P65" i="11"/>
  <c r="P100" i="11"/>
  <c r="P99" i="11"/>
  <c r="P66" i="11"/>
  <c r="P101" i="11"/>
  <c r="P111" i="11"/>
  <c r="P77" i="11"/>
  <c r="P78" i="11"/>
  <c r="P89" i="11"/>
  <c r="P63" i="11"/>
  <c r="P75" i="11"/>
  <c r="P110" i="11"/>
  <c r="P7" i="11"/>
  <c r="P46" i="11"/>
  <c r="P57" i="11"/>
  <c r="P69" i="11"/>
  <c r="P81" i="11"/>
  <c r="P93" i="11"/>
  <c r="P104" i="11"/>
  <c r="P115" i="11"/>
  <c r="P9" i="11"/>
  <c r="P48" i="11"/>
  <c r="P59" i="11"/>
  <c r="P71" i="11"/>
  <c r="P83" i="11"/>
  <c r="P95" i="11"/>
  <c r="P106" i="11"/>
  <c r="P117" i="11"/>
  <c r="P6" i="11"/>
  <c r="P45" i="11"/>
  <c r="P56" i="11"/>
  <c r="P68" i="11"/>
  <c r="P80" i="11"/>
  <c r="P92" i="11"/>
  <c r="P103" i="11"/>
  <c r="P49" i="11"/>
  <c r="P60" i="11"/>
  <c r="P72" i="11"/>
  <c r="P84" i="11"/>
  <c r="P96" i="11"/>
  <c r="P107" i="11"/>
  <c r="P118" i="11"/>
  <c r="P44" i="11"/>
  <c r="P67" i="11"/>
  <c r="P79" i="11"/>
  <c r="P91" i="11"/>
  <c r="P102" i="11"/>
  <c r="P114" i="11"/>
  <c r="P47" i="11"/>
  <c r="P58" i="11"/>
  <c r="P70" i="11"/>
  <c r="P82" i="11"/>
  <c r="P94" i="11"/>
  <c r="P105" i="11"/>
  <c r="P116" i="11"/>
  <c r="P50" i="11"/>
  <c r="P61" i="11"/>
  <c r="P73" i="11"/>
  <c r="P85" i="11"/>
  <c r="P97" i="11"/>
  <c r="P108" i="11"/>
  <c r="P119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S120" i="11"/>
  <c r="N120" i="11"/>
  <c r="O120" i="11" s="1"/>
  <c r="S119" i="11"/>
  <c r="N119" i="11"/>
  <c r="O119" i="11" s="1"/>
  <c r="S118" i="11"/>
  <c r="N118" i="11"/>
  <c r="O118" i="11" s="1"/>
  <c r="S117" i="11"/>
  <c r="N117" i="11"/>
  <c r="O117" i="11" s="1"/>
  <c r="S116" i="11"/>
  <c r="N116" i="11"/>
  <c r="O116" i="11" s="1"/>
  <c r="S115" i="11"/>
  <c r="N115" i="11"/>
  <c r="O115" i="11" s="1"/>
  <c r="S114" i="11"/>
  <c r="N114" i="11"/>
  <c r="O114" i="11" s="1"/>
  <c r="S113" i="11"/>
  <c r="N113" i="11"/>
  <c r="O113" i="11" s="1"/>
  <c r="S112" i="11"/>
  <c r="N112" i="11"/>
  <c r="O112" i="11" s="1"/>
  <c r="S111" i="11"/>
  <c r="N111" i="11"/>
  <c r="O111" i="11" s="1"/>
  <c r="S110" i="11"/>
  <c r="N110" i="11"/>
  <c r="O110" i="11" s="1"/>
  <c r="S109" i="11"/>
  <c r="N109" i="11"/>
  <c r="O109" i="11" s="1"/>
  <c r="S108" i="11"/>
  <c r="N108" i="11"/>
  <c r="O108" i="11" s="1"/>
  <c r="S107" i="11"/>
  <c r="N107" i="11"/>
  <c r="O107" i="11" s="1"/>
  <c r="S106" i="11"/>
  <c r="N106" i="11"/>
  <c r="O106" i="11" s="1"/>
  <c r="S105" i="11"/>
  <c r="N105" i="11"/>
  <c r="O105" i="11" s="1"/>
  <c r="S104" i="11"/>
  <c r="N104" i="11"/>
  <c r="O104" i="11" s="1"/>
  <c r="S103" i="11"/>
  <c r="N103" i="11"/>
  <c r="O103" i="11" s="1"/>
  <c r="S102" i="11"/>
  <c r="N102" i="11"/>
  <c r="O102" i="11" s="1"/>
  <c r="S101" i="11"/>
  <c r="N101" i="11"/>
  <c r="O101" i="11" s="1"/>
  <c r="S100" i="11"/>
  <c r="N100" i="11"/>
  <c r="O100" i="11" s="1"/>
  <c r="S99" i="11"/>
  <c r="N99" i="11"/>
  <c r="O99" i="11" s="1"/>
  <c r="S98" i="11"/>
  <c r="N98" i="11"/>
  <c r="O98" i="11" s="1"/>
  <c r="S97" i="11"/>
  <c r="N97" i="11"/>
  <c r="O97" i="11" s="1"/>
  <c r="S96" i="11"/>
  <c r="N96" i="11"/>
  <c r="O96" i="11" s="1"/>
  <c r="S95" i="11"/>
  <c r="S94" i="11"/>
  <c r="N94" i="11"/>
  <c r="O94" i="11" s="1"/>
  <c r="S93" i="11"/>
  <c r="N93" i="11"/>
  <c r="O93" i="11" s="1"/>
  <c r="S92" i="11"/>
  <c r="N92" i="11"/>
  <c r="O92" i="11" s="1"/>
  <c r="S91" i="11"/>
  <c r="N91" i="11"/>
  <c r="O91" i="11" s="1"/>
  <c r="S90" i="11"/>
  <c r="N90" i="11"/>
  <c r="O90" i="11" s="1"/>
  <c r="S89" i="11"/>
  <c r="N89" i="11"/>
  <c r="O89" i="11" s="1"/>
  <c r="S88" i="11"/>
  <c r="N88" i="11"/>
  <c r="O88" i="11" s="1"/>
  <c r="S87" i="11"/>
  <c r="N87" i="11"/>
  <c r="O87" i="11" s="1"/>
  <c r="S86" i="11"/>
  <c r="N86" i="11"/>
  <c r="O86" i="11" s="1"/>
  <c r="S85" i="11"/>
  <c r="N85" i="11"/>
  <c r="O85" i="11" s="1"/>
  <c r="S84" i="11"/>
  <c r="N84" i="11"/>
  <c r="O84" i="11" s="1"/>
  <c r="S83" i="11"/>
  <c r="N83" i="11"/>
  <c r="O83" i="11" s="1"/>
  <c r="S82" i="11"/>
  <c r="N82" i="11"/>
  <c r="S81" i="11"/>
  <c r="N81" i="11"/>
  <c r="S80" i="11"/>
  <c r="N80" i="11"/>
  <c r="S79" i="11"/>
  <c r="N79" i="11"/>
  <c r="S78" i="11"/>
  <c r="S77" i="11"/>
  <c r="N77" i="11"/>
  <c r="O77" i="11" s="1"/>
  <c r="S76" i="11"/>
  <c r="N76" i="11"/>
  <c r="O76" i="11" s="1"/>
  <c r="S75" i="11"/>
  <c r="N75" i="11"/>
  <c r="O75" i="11" s="1"/>
  <c r="S74" i="11"/>
  <c r="N74" i="11"/>
  <c r="O74" i="11" s="1"/>
  <c r="S73" i="11"/>
  <c r="N73" i="11"/>
  <c r="O73" i="11" s="1"/>
  <c r="S72" i="11"/>
  <c r="N72" i="11"/>
  <c r="O72" i="11" s="1"/>
  <c r="S71" i="11"/>
  <c r="N71" i="11"/>
  <c r="O71" i="11" s="1"/>
  <c r="S70" i="11"/>
  <c r="N70" i="11"/>
  <c r="O70" i="11" s="1"/>
  <c r="S69" i="11"/>
  <c r="N69" i="11"/>
  <c r="O69" i="11" s="1"/>
  <c r="S68" i="11"/>
  <c r="N68" i="11"/>
  <c r="O68" i="11" s="1"/>
  <c r="S67" i="11"/>
  <c r="N67" i="11"/>
  <c r="O67" i="11" s="1"/>
  <c r="S66" i="11"/>
  <c r="N66" i="11"/>
  <c r="O66" i="11" s="1"/>
  <c r="S65" i="11"/>
  <c r="N65" i="11"/>
  <c r="O65" i="11" s="1"/>
  <c r="S64" i="11"/>
  <c r="N64" i="11"/>
  <c r="O64" i="11" s="1"/>
  <c r="S63" i="11"/>
  <c r="N63" i="11"/>
  <c r="O63" i="11" s="1"/>
  <c r="S62" i="11"/>
  <c r="N62" i="11"/>
  <c r="O62" i="11" s="1"/>
  <c r="S61" i="11"/>
  <c r="N61" i="11"/>
  <c r="O61" i="11" s="1"/>
  <c r="S60" i="11"/>
  <c r="N60" i="11"/>
  <c r="O60" i="11" s="1"/>
  <c r="S59" i="11"/>
  <c r="N59" i="11"/>
  <c r="O59" i="11" s="1"/>
  <c r="S58" i="11"/>
  <c r="N58" i="11"/>
  <c r="O58" i="11" s="1"/>
  <c r="S57" i="11"/>
  <c r="N57" i="11"/>
  <c r="O57" i="11" s="1"/>
  <c r="S56" i="11"/>
  <c r="N56" i="11"/>
  <c r="O56" i="11" s="1"/>
  <c r="S55" i="11"/>
  <c r="N55" i="11"/>
  <c r="O55" i="11" s="1"/>
  <c r="S54" i="11"/>
  <c r="N54" i="11"/>
  <c r="O54" i="11" s="1"/>
  <c r="S53" i="11"/>
  <c r="N53" i="11"/>
  <c r="O53" i="11" s="1"/>
  <c r="S52" i="11"/>
  <c r="N52" i="11"/>
  <c r="O52" i="11" s="1"/>
  <c r="S51" i="11"/>
  <c r="N51" i="11"/>
  <c r="O51" i="11" s="1"/>
  <c r="S50" i="11"/>
  <c r="N50" i="11"/>
  <c r="O50" i="11" s="1"/>
  <c r="S49" i="11"/>
  <c r="N49" i="11"/>
  <c r="O49" i="11" s="1"/>
  <c r="S48" i="11"/>
  <c r="N48" i="11"/>
  <c r="O48" i="11" s="1"/>
  <c r="S47" i="11"/>
  <c r="N47" i="11"/>
  <c r="O47" i="11" s="1"/>
  <c r="S46" i="11"/>
  <c r="N46" i="11"/>
  <c r="O46" i="11" s="1"/>
  <c r="S45" i="11"/>
  <c r="N45" i="11"/>
  <c r="O45" i="11" s="1"/>
  <c r="S44" i="11"/>
  <c r="N44" i="11"/>
  <c r="O44" i="11" s="1"/>
  <c r="N43" i="11"/>
  <c r="S42" i="11"/>
  <c r="N42" i="11"/>
  <c r="S41" i="11"/>
  <c r="N41" i="11"/>
  <c r="S40" i="11"/>
  <c r="Q40" i="11" s="1"/>
  <c r="N40" i="11"/>
  <c r="O40" i="11" s="1"/>
  <c r="S39" i="11"/>
  <c r="Q39" i="11" s="1"/>
  <c r="N39" i="11"/>
  <c r="O39" i="11" s="1"/>
  <c r="N38" i="11"/>
  <c r="S37" i="11"/>
  <c r="Q37" i="11" s="1"/>
  <c r="P37" i="11" s="1"/>
  <c r="N37" i="11"/>
  <c r="O37" i="11" s="1"/>
  <c r="S36" i="11"/>
  <c r="Q36" i="11" s="1"/>
  <c r="P36" i="11" s="1"/>
  <c r="N36" i="11"/>
  <c r="O36" i="11" s="1"/>
  <c r="S35" i="11"/>
  <c r="Q35" i="11" s="1"/>
  <c r="D26" i="8" s="1"/>
  <c r="S34" i="11"/>
  <c r="Q34" i="11" s="1"/>
  <c r="P34" i="11" s="1"/>
  <c r="S33" i="11"/>
  <c r="Q33" i="11" s="1"/>
  <c r="R33" i="11" s="1"/>
  <c r="S32" i="11"/>
  <c r="Q32" i="11" s="1"/>
  <c r="R32" i="11" s="1"/>
  <c r="S31" i="11"/>
  <c r="Q31" i="11" s="1"/>
  <c r="R31" i="11" s="1"/>
  <c r="S30" i="11"/>
  <c r="Q30" i="11" s="1"/>
  <c r="R30" i="11" s="1"/>
  <c r="S29" i="11"/>
  <c r="Q29" i="11" s="1"/>
  <c r="R29" i="11" s="1"/>
  <c r="S28" i="11"/>
  <c r="Q28" i="11" s="1"/>
  <c r="R28" i="11" s="1"/>
  <c r="N26" i="11"/>
  <c r="N21" i="11"/>
  <c r="O21" i="11" s="1"/>
  <c r="N16" i="11"/>
  <c r="N15" i="11"/>
  <c r="O15" i="11" s="1"/>
  <c r="S11" i="1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P35" i="11" l="1"/>
  <c r="H23" i="8"/>
  <c r="G23" i="8" s="1"/>
  <c r="E23" i="8"/>
  <c r="Q11" i="11"/>
  <c r="P11" i="11" s="1"/>
  <c r="R5" i="1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R36" i="1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R37" i="1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R40" i="11"/>
  <c r="Q67" i="11"/>
  <c r="R67" i="11" s="1"/>
  <c r="N12" i="11"/>
  <c r="O12" i="11" s="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R39" i="1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D11" i="8" l="1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S38" i="11"/>
  <c r="Q38" i="11" s="1"/>
  <c r="R38" i="11" s="1"/>
  <c r="O20" i="11"/>
  <c r="S16" i="11"/>
  <c r="Q16" i="11" s="1"/>
  <c r="O81" i="11"/>
  <c r="R81" i="11"/>
  <c r="N19" i="11"/>
  <c r="S43" i="11"/>
  <c r="Q43" i="11"/>
  <c r="R43" i="11" s="1"/>
  <c r="S26" i="11"/>
  <c r="Q26" i="11" s="1"/>
  <c r="R26" i="11" s="1"/>
  <c r="S21" i="11"/>
  <c r="Q21" i="11" s="1"/>
  <c r="R21" i="11" s="1"/>
  <c r="H24" i="8" l="1"/>
  <c r="G24" i="8" s="1"/>
  <c r="E24" i="8"/>
  <c r="R16" i="11"/>
  <c r="H11" i="8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S25" i="11"/>
  <c r="Q25" i="11" s="1"/>
  <c r="R25" i="11" s="1"/>
  <c r="S20" i="11"/>
  <c r="Q20" i="11" s="1"/>
  <c r="R20" i="11" s="1"/>
  <c r="N27" i="11" l="1"/>
  <c r="O27" i="11" s="1"/>
  <c r="S19" i="11"/>
  <c r="Q19" i="11" s="1"/>
  <c r="R19" i="11" s="1"/>
  <c r="S24" i="11"/>
  <c r="Q24" i="11" s="1"/>
  <c r="R24" i="11" s="1"/>
  <c r="O18" i="11"/>
  <c r="N24" i="11"/>
  <c r="O24" i="11" s="1"/>
  <c r="O17" i="11"/>
  <c r="S18" i="11" l="1"/>
  <c r="Q18" i="11" s="1"/>
  <c r="S17" i="11"/>
  <c r="Q17" i="11" s="1"/>
  <c r="D25" i="8" s="1"/>
  <c r="S23" i="11"/>
  <c r="Q23" i="11" s="1"/>
  <c r="R23" i="11" s="1"/>
  <c r="N23" i="11"/>
  <c r="O23" i="11" s="1"/>
  <c r="N22" i="11"/>
  <c r="O22" i="11" s="1"/>
  <c r="S22" i="11"/>
  <c r="Q22" i="11" s="1"/>
  <c r="R22" i="11" s="1"/>
  <c r="S27" i="11"/>
  <c r="Q27" i="11" s="1"/>
  <c r="R27" i="11" s="1"/>
  <c r="H26" i="8" l="1"/>
  <c r="G26" i="8" s="1"/>
  <c r="R17" i="11"/>
  <c r="R18" i="11"/>
  <c r="E5" i="12"/>
  <c r="E10" i="12" s="1"/>
  <c r="E6" i="12" s="1"/>
  <c r="F59" i="8" l="1"/>
  <c r="C71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  <c r="S13" i="11" l="1"/>
  <c r="Q13" i="11" s="1"/>
  <c r="S15" i="11"/>
  <c r="Q15" i="11" s="1"/>
  <c r="R15" i="11" s="1"/>
  <c r="S14" i="11"/>
  <c r="Q14" i="11" s="1"/>
  <c r="S12" i="11"/>
  <c r="Q12" i="11" s="1"/>
  <c r="P12" i="11" l="1"/>
  <c r="R12" i="11"/>
  <c r="D21" i="8"/>
  <c r="R14" i="11"/>
  <c r="R13" i="11"/>
  <c r="P13" i="11"/>
  <c r="H21" i="8" l="1"/>
  <c r="G21" i="8" s="1"/>
  <c r="G59" i="8" s="1"/>
  <c r="C72" i="8" s="1"/>
  <c r="C73" i="8" s="1"/>
  <c r="E21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<sst xmlns="http://schemas.openxmlformats.org/spreadsheetml/2006/main" count="2673" uniqueCount="872">
  <si>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</si>
  <si>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</si>
  <si>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</si>
  <si>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</si>
  <si>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</si>
  <si>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</si>
  <si>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</si>
  <si>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</si>
  <si>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</si>
  <si>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</si>
  <si>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</si>
  <si>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</si>
  <si>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</si>
  <si>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</si>
  <si>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</si>
  <si>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</si>
  <si>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</si>
  <si>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</si>
  <si>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</si>
  <si>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</si>
  <si>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</si>
  <si>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</si>
  <si>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</si>
  <si>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</si>
  <si>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</si>
  <si>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</si>
  <si>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</si>
  <si>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</si>
  <si>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</si>
  <si>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</si>
  <si>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</si>
  <si>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</si>
  <si>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</si>
  <si>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</si>
  <si>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</si>
  <si>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</si>
  <si>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</si>
  <si>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</si>
  <si>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</si>
  <si>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</si>
  <si>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</si>
  <si>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</si>
  <si>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</si>
  <si>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</si>
  <si>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</si>
  <si>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</si>
  <si>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</si>
  <si>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</si>
  <si>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</si>
  <si>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</si>
  <si>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</si>
  <si>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</si>
  <si>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</si>
  <si>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</si>
  <si>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</si>
  <si>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</si>
  <si>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</si>
  <si>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</si>
  <si>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</si>
  <si>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</si>
  <si>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</si>
  <si>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</si>
  <si>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</si>
  <si>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</si>
  <si>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</si>
  <si>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</si>
  <si>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</si>
  <si>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</si>
  <si>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</si>
  <si>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</si>
  <si>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</si>
  <si>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</si>
  <si>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</si>
  <si>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</si>
  <si>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</si>
  <si>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</si>
  <si>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</si>
  <si>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</si>
  <si>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</si>
  <si>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</si>
  <si>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</si>
  <si>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</si>
  <si>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</si>
  <si>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</si>
  <si>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</si>
  <si>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</si>
  <si>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</si>
  <si>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</si>
  <si>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</si>
  <si>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</si>
  <si>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</si>
  <si>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</si>
  <si>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</si>
  <si>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</si>
  <si>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</si>
  <si>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</si>
  <si>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</si>
  <si>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</si>
  <si>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</si>
  <si>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</si>
  <si>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</si>
  <si>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</si>
  <si>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</si>
  <si>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</si>
  <si>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</si>
  <si>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</si>
  <si>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</si>
  <si>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</si>
  <si>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</si>
  <si>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</si>
  <si>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</si>
  <si>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</si>
  <si>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</si>
  <si>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</si>
  <si>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</si>
  <si>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</si>
  <si>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</si>
  <si>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</si>
  <si>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</si>
  <si>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</si>
  <si>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</si>
  <si>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</si>
  <si>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</si>
  <si>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</si>
  <si>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</si>
  <si>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</si>
  <si>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</si>
  <si>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</si>
  <si>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</si>
  <si>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</si>
  <si>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</si>
  <si>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</si>
  <si>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</si>
  <si>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</si>
  <si>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</si>
  <si>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</si>
  <si>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</si>
  <si>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</si>
  <si>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</si>
  <si>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</si>
  <si>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</si>
  <si>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</si>
  <si>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</si>
  <si>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</si>
  <si>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</si>
  <si>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</si>
  <si>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</si>
  <si>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</si>
  <si>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</si>
  <si>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</si>
  <si>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</si>
  <si>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</si>
  <si>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</si>
  <si>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</si>
  <si>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</si>
  <si>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</si>
  <si>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</si>
  <si>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</si>
  <si>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</si>
  <si>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</si>
  <si>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</si>
  <si>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</si>
  <si>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</si>
  <si>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</si>
  <si>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</si>
  <si>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</si>
  <si>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</si>
  <si>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</si>
  <si>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</si>
  <si>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</si>
  <si>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</si>
  <si>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</si>
  <si>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</si>
  <si>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</si>
  <si>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</si>
  <si>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</si>
  <si>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</si>
  <si>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</si>
  <si>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</si>
  <si>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</si>
  <si>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</si>
  <si>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</si>
  <si>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</si>
  <si>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</si>
  <si>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</si>
  <si>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</si>
  <si>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</si>
  <si>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</si>
  <si>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</si>
  <si>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</si>
  <si>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</si>
  <si>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</si>
  <si>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</si>
  <si>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</si>
  <si>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</si>
  <si>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</si>
  <si>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</si>
  <si>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</si>
  <si>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</si>
  <si>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</si>
  <si>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</si>
  <si>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</si>
  <si>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</si>
  <si>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</si>
  <si>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</si>
  <si>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</si>
  <si>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</si>
  <si>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</si>
  <si>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</si>
  <si>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</si>
  <si>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</si>
  <si>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</si>
  <si>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</si>
  <si>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</si>
  <si>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</si>
  <si>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</si>
  <si>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</si>
  <si>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</si>
  <si>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</si>
  <si>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</si>
  <si>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</si>
  <si>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</si>
  <si>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</si>
  <si>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</si>
  <si>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</si>
  <si>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</si>
  <si>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</si>
  <si>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</si>
  <si>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</si>
  <si>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</si>
  <si>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</si>
  <si>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</si>
  <si>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</si>
  <si>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</si>
  <si>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</si>
  <si>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</si>
  <si>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</si>
  <si>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</si>
  <si>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</si>
  <si>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</si>
  <si>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</si>
  <si>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</si>
  <si>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</si>
  <si>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</si>
  <si>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</si>
  <si>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</si>
  <si>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</si>
  <si>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</si>
  <si>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</si>
  <si>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</si>
  <si>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</si>
  <si>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</si>
  <si>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</si>
  <si>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</si>
  <si>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</si>
  <si>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</si>
  <si>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</si>
  <si>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</si>
  <si>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</si>
  <si>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</si>
  <si>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</si>
  <si>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</si>
  <si>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</si>
  <si>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</si>
  <si>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</si>
  <si>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</si>
  <si>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</si>
  <si>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</si>
  <si>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</si>
  <si>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</si>
  <si>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</si>
  <si>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</si>
  <si>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</si>
  <si>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</si>
  <si>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</si>
  <si>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</si>
  <si>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</si>
  <si>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</si>
  <si>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</si>
  <si>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</si>
  <si>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</si>
  <si>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</si>
  <si>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</si>
  <si>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</si>
  <si>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</si>
  <si>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</si>
  <si>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</si>
  <si>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</si>
  <si>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</si>
  <si>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</si>
  <si>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</si>
  <si>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</si>
  <si>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</si>
  <si>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</si>
  <si>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</si>
  <si>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</si>
  <si>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</si>
  <si>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</si>
  <si>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</si>
  <si>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</si>
  <si>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</si>
  <si>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</si>
  <si>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</si>
  <si>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</si>
  <si>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</si>
  <si>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</si>
  <si>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</si>
  <si>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</si>
  <si>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</si>
  <si>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</si>
  <si>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</si>
  <si>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</si>
  <si>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</si>
  <si>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</si>
  <si>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</si>
  <si>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</si>
  <si>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</si>
  <si>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</si>
  <si>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</si>
  <si>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</si>
  <si>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</si>
  <si>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</si>
  <si>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</si>
  <si>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</si>
  <si>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</si>
  <si>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</si>
  <si>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</si>
  <si>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</si>
  <si>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</si>
  <si>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</si>
  <si>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</si>
  <si>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</si>
  <si>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</si>
  <si>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</si>
  <si>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</si>
  <si>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</si>
  <si>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</si>
  <si>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</si>
  <si>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</si>
  <si>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</si>
  <si>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</si>
  <si>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</si>
  <si>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</si>
  <si>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</si>
  <si>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</si>
  <si>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</si>
  <si>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</si>
  <si>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</si>
  <si>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</si>
  <si>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</si>
  <si>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</si>
  <si>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</si>
  <si>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</si>
  <si>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</si>
  <si>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</si>
  <si>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</si>
  <si>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</si>
  <si>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</si>
  <si>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</si>
  <si>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</si>
  <si>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</si>
  <si>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</si>
  <si>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</si>
  <si>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</si>
  <si>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</si>
  <si>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</si>
  <si>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</si>
  <si>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</si>
  <si>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</si>
  <si>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</si>
  <si>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</si>
  <si>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</si>
  <si>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</si>
  <si>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</si>
  <si>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</si>
  <si>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</si>
  <si>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</si>
  <si>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</si>
  <si>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</si>
  <si>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</si>
  <si>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</si>
  <si>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</si>
  <si>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</si>
  <si>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</si>
  <si>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</si>
  <si>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</si>
  <si>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</si>
  <si>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</si>
  <si>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</si>
  <si>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</si>
  <si>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</si>
  <si>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</si>
  <si>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</si>
  <si>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</si>
  <si>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</si>
  <si>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</si>
  <si>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</si>
  <si>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</si>
  <si>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</si>
  <si>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</si>
  <si>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</si>
  <si>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</si>
  <si>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</si>
  <si>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</si>
  <si>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</si>
  <si>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</si>
  <si>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</si>
  <si>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</si>
  <si>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</si>
  <si>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</si>
  <si>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</si>
  <si>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</si>
  <si>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</si>
  <si>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</si>
  <si>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</si>
  <si>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</si>
  <si>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</si>
  <si>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</si>
  <si>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</si>
  <si>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</si>
  <si>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</si>
  <si>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</si>
  <si>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</si>
  <si>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</si>
  <si>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</si>
  <si>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</si>
  <si>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</si>
  <si>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</si>
  <si>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</si>
  <si>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</si>
  <si>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</si>
  <si>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</si>
  <si>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</si>
  <si>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</si>
  <si>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</si>
  <si>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</si>
  <si>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</si>
  <si>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</si>
  <si>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</si>
  <si>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</si>
  <si>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</si>
  <si>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</si>
  <si>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</si>
  <si>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>Sl.No.</t>
  </si>
  <si>
    <t>Discipline</t>
  </si>
  <si>
    <t>Document Title</t>
  </si>
  <si>
    <t>Document
Number</t>
  </si>
  <si>
    <t>Approval
Catogery</t>
  </si>
  <si>
    <t>Revision</t>
  </si>
  <si>
    <t>Submission Date</t>
  </si>
  <si>
    <t>Response date</t>
  </si>
  <si>
    <t>Approved date</t>
  </si>
  <si>
    <t>Submission/Review By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</si>
  <si>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</si>
  <si>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</si>
  <si>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</si>
  <si>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</si>
  <si>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</si>
  <si>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</si>
  <si>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</si>
  <si>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</si>
  <si>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</si>
  <si>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</si>
  <si>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</si>
  <si>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</si>
  <si>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</si>
  <si>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</si>
  <si>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</si>
  <si>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</si>
  <si>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</si>
  <si>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</si>
  <si>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</si>
  <si>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</si>
  <si>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</si>
  <si>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</si>
  <si>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</si>
  <si>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</si>
  <si>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</si>
  <si>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</si>
  <si>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</si>
  <si>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</si>
  <si>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</si>
  <si>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</si>
  <si>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</si>
  <si>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</si>
  <si>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</si>
  <si>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</si>
  <si>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</si>
  <si>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</si>
  <si>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</si>
  <si>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</si>
  <si>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</si>
  <si>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</si>
  <si>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</si>
  <si>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</si>
  <si>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</si>
  <si>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</si>
  <si>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</si>
  <si>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</si>
  <si>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</si>
  <si>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</si>
  <si>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</si>
  <si>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</si>
  <si>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</si>
  <si>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</si>
  <si>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</si>
  <si>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</si>
  <si>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</si>
  <si>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</si>
  <si>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</si>
  <si>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</si>
  <si>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</si>
  <si>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</si>
  <si>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</si>
  <si>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</si>
  <si>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</si>
  <si>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</si>
  <si>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</si>
  <si>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</si>
  <si>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</si>
  <si>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- Structural drawing of 
foundation, plinth beam &amp; column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</si>
  <si>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</si>
  <si>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</si>
  <si>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</si>
  <si>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</si>
  <si>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</si>
  <si>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</si>
  <si>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</si>
  <si>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</si>
  <si>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</si>
  <si>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</si>
  <si>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</si>
  <si>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</si>
  <si>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</si>
  <si>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Inverter Platform - Architectural &amp; Structural details                     ICOG)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</si>
  <si>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</si>
  <si>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</si>
  <si>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</si>
  <si>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 xml:space="preserve">IDT Foundation GA and detail drawing 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</si>
  <si>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</si>
  <si>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</si>
  <si>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</si>
  <si>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</si>
  <si>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</si>
  <si>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</si>
  <si>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</si>
  <si>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</si>
  <si>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</si>
  <si>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</si>
  <si>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</si>
  <si>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</si>
  <si>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</si>
  <si>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</si>
  <si>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</si>
  <si>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</si>
  <si>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</si>
  <si>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</si>
  <si>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</si>
  <si>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</si>
  <si>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</si>
  <si>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</si>
  <si>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</si>
  <si>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</si>
  <si>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</si>
  <si>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</si>
  <si>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</si>
  <si>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</si>
  <si>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</si>
  <si>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</si>
  <si>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</si>
  <si>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</si>
  <si>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</si>
  <si>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</si>
  <si>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</si>
  <si>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</si>
  <si>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</si>
  <si>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</si>
  <si>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</si>
  <si>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</si>
  <si>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</si>
  <si>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</si>
  <si>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</si>
  <si>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</si>
  <si>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</si>
  <si>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</si>
  <si>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</si>
  <si>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</si>
  <si>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</si>
  <si>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</si>
  <si>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</si>
  <si>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</si>
  <si>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</si>
  <si>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</si>
  <si>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</si>
  <si>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</si>
  <si>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</si>
  <si>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</si>
  <si>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</si>
  <si>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</si>
  <si>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</si>
  <si>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</si>
  <si>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</si>
  <si>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</si>
  <si>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</si>
  <si>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</si>
  <si>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</si>
  <si>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</si>
  <si>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</si>
  <si>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</si>
  <si>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</si>
  <si>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</si>
  <si>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</si>
  <si>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</si>
  <si>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</si>
  <si>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</si>
  <si>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</si>
  <si>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</si>
  <si>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</si>
  <si>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</si>
  <si>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</si>
  <si>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</si>
  <si>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</si>
  <si>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</si>
  <si>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</si>
  <si>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</si>
  <si>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</si>
  <si>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</si>
  <si>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</si>
  <si>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Layouts - Plant Illuminatoin layout</t>
  </si>
  <si>
    <t>SECI-RG300-PL-ELE-012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</si>
  <si>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</si>
  <si>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</si>
  <si>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</si>
  <si>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</si>
  <si>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</si>
  <si>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</si>
  <si>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</si>
  <si>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</si>
  <si>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</si>
  <si>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</si>
  <si>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</si>
  <si>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</si>
  <si>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</si>
  <si>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</si>
  <si>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</si>
  <si>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</si>
  <si>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</si>
  <si>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</si>
  <si>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</si>
  <si>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</si>
  <si>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</si>
  <si>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</si>
  <si>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</si>
  <si>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</si>
  <si>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</si>
  <si>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</si>
  <si>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</si>
  <si>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</si>
  <si>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</si>
  <si>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</si>
  <si>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</si>
  <si>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</si>
  <si>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</si>
  <si>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</si>
  <si>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</si>
  <si>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</si>
  <si>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</si>
  <si>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</si>
  <si>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</si>
  <si>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</si>
  <si>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</si>
  <si>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</si>
  <si>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</si>
  <si>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</si>
  <si>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</si>
  <si>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</si>
  <si>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</si>
  <si>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</si>
  <si>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</si>
  <si>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</si>
  <si>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</si>
  <si>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</si>
  <si>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</si>
  <si>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</si>
  <si>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</si>
  <si>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</si>
  <si>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</si>
  <si>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</si>
  <si>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</si>
  <si>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</si>
  <si>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SECI-RG300-PL-ELE-201A</t>
  </si>
  <si>
    <t>NIFPS-GTP, GA &amp; Type test reports</t>
  </si>
  <si>
    <t>SECI-RG300-PL-ELE-202</t>
  </si>
  <si>
    <t>ICOG/RMU PANEL-GTP, GA &amp; Type test reports</t>
  </si>
  <si>
    <t>SECI-RG300-PL-ELE-203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</si>
  <si>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</si>
  <si>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</si>
  <si>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</si>
  <si>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</si>
  <si>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</si>
  <si>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</si>
  <si>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</si>
  <si>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</si>
  <si>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</si>
  <si>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</si>
  <si>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</si>
  <si>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</si>
  <si>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</si>
  <si>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</si>
  <si>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</si>
  <si>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</si>
  <si>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</si>
  <si>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</si>
  <si>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</si>
  <si>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</si>
  <si>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</si>
  <si>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</si>
  <si>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</si>
  <si>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</si>
  <si>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</si>
  <si>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</si>
  <si>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</si>
  <si>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</si>
  <si>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</si>
  <si>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</si>
  <si>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</si>
  <si>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</si>
  <si>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</si>
  <si>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</si>
  <si>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</si>
  <si>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</si>
  <si>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</si>
  <si>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</si>
  <si>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</si>
  <si>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</si>
  <si>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</si>
  <si>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</si>
  <si>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</si>
  <si>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</si>
  <si>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</si>
  <si>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</si>
  <si>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</si>
  <si>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</si>
  <si>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</si>
  <si>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</si>
  <si>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</si>
  <si>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</si>
  <si>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</si>
  <si>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</si>
  <si>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</si>
  <si>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</si>
  <si>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</si>
  <si>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</si>
  <si>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</si>
  <si>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</si>
  <si>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</si>
  <si>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Inverter Duty Transformer-MQP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</si>
  <si>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</si>
  <si>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</si>
  <si>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</si>
  <si>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</si>
  <si>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</si>
  <si>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</si>
  <si>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</si>
  <si>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</si>
  <si>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</si>
  <si>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</si>
  <si>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</si>
  <si>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</si>
  <si>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</si>
  <si>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</si>
  <si>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</si>
  <si>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</si>
  <si>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</si>
  <si>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</si>
  <si>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</si>
  <si>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</si>
  <si>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</si>
  <si>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</si>
  <si>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</si>
  <si>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</si>
  <si>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</si>
  <si>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</si>
  <si>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</si>
  <si>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</si>
  <si>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</si>
  <si>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</si>
  <si>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</si>
  <si>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</si>
  <si>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</si>
  <si>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</si>
  <si>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</si>
  <si>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</si>
  <si>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</si>
  <si>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</si>
  <si>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</si>
  <si>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</si>
  <si>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</si>
  <si>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</si>
  <si>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</si>
  <si>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</si>
  <si>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</si>
  <si>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</si>
  <si>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</si>
  <si>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</si>
  <si>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</si>
  <si>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</si>
  <si>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</si>
  <si>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</si>
  <si>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</si>
  <si>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</si>
  <si>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</si>
  <si>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</si>
  <si>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</si>
  <si>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</si>
  <si>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</si>
  <si>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</si>
  <si>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</si>
  <si>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</si>
  <si>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Store Yard Fencing Work</t>
  </si>
  <si>
    <t>Trinity Touch</t>
  </si>
  <si>
    <t>Civil Activities</t>
  </si>
  <si>
    <t>Peripherial Boundary Fencing</t>
  </si>
  <si>
    <t>R5</t>
  </si>
  <si>
    <t>MMS - Pile marking co-ordinates Layout(Plot 1)</t>
  </si>
  <si>
    <t>SECI-RG300-PL-CIV-108A</t>
  </si>
  <si>
    <t>MMS - Pile marking co-ordinates Layout(Plot 2)</t>
  </si>
  <si>
    <t>SECI-RG300-PL-CIV-108B</t>
  </si>
  <si>
    <t>M/s Fuji Electric</t>
  </si>
  <si>
    <t>M/S Guangdong Mingyang Longyuan Power Electronics Co.Ltd</t>
  </si>
  <si>
    <t>M/S ALNICO ELECTRIC PVT LTD</t>
  </si>
  <si>
    <t>M</t>
  </si>
  <si>
    <t>SECI-RG300-PL-CIV-301A</t>
  </si>
  <si>
    <t>Design Calculation for HT Outdoor Panel</t>
  </si>
  <si>
    <t>SECI-RG300-PL-CIV-310</t>
  </si>
  <si>
    <t>GA and Structural details for HT Outdoor Panel</t>
  </si>
  <si>
    <t>SECI-RG300-PL-CIV-311</t>
  </si>
  <si>
    <t>Inverter Duty Transformer-GTP, GA &amp; Type test reports  (Silchar)</t>
  </si>
  <si>
    <t>Fencing Pole Casting</t>
  </si>
  <si>
    <t xml:space="preserve">MDL SUMMARY - 300MW SECI PV </t>
  </si>
  <si>
    <t>SECI-RG300-PL-CIV-302A</t>
  </si>
  <si>
    <t>SECI-RG300-PL-CIV-304A</t>
  </si>
  <si>
    <t>SECI-RG300-PL-CIV-305A</t>
  </si>
  <si>
    <t>Days taken for review/re-submission</t>
  </si>
  <si>
    <t>Planned R0 Submission</t>
  </si>
  <si>
    <t>Approval Planned Date</t>
  </si>
  <si>
    <t>Actual R0 Submission</t>
  </si>
  <si>
    <t>Submission Delay</t>
  </si>
  <si>
    <t>Approval Delay</t>
  </si>
  <si>
    <t>Client Comments in CAT</t>
  </si>
  <si>
    <t>Under SECI Review in days</t>
  </si>
  <si>
    <t>Re-Submission by ARIPL in Days</t>
  </si>
  <si>
    <t>Approved/
Commented Category</t>
  </si>
  <si>
    <t>SECI-RG300-PL-CIV-203A</t>
  </si>
  <si>
    <t>SECI-RG300-PL-CIV-203B</t>
  </si>
  <si>
    <t>Newly Added</t>
  </si>
  <si>
    <t>Gemscab/ Special</t>
  </si>
  <si>
    <t>Polycab</t>
  </si>
  <si>
    <t>Color Code</t>
  </si>
  <si>
    <t>Re-submission</t>
  </si>
  <si>
    <t>Under SECI Review</t>
  </si>
  <si>
    <t>SECI-RG300-PL-CIV-108C</t>
  </si>
  <si>
    <t>SECI-RG300-PL-CIV-302B</t>
  </si>
  <si>
    <t>Design document for Inverter Station (ICOG)</t>
  </si>
  <si>
    <t>Design document for Inverter Station (RMU)</t>
  </si>
  <si>
    <t>SECI-RG300-PL-CIV-301B</t>
  </si>
  <si>
    <t>ARIPl</t>
  </si>
  <si>
    <t>SECI-RG300-PL-MQP-028A</t>
  </si>
  <si>
    <t>AC Cable Tray Support Structure GA Drawing &amp; Design</t>
  </si>
  <si>
    <t>SECI-RG300-PL-CIV-308A</t>
  </si>
  <si>
    <t>ICR CABLE TRAY LAYOUT</t>
  </si>
  <si>
    <t>SECI-RG300-PL-ELE-026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</si>
</sst>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51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name val="Arial"/>
      <family val="2"/>
    </font>
    <font>
      <sz val="8"/>
      <color rgb="FF000000"/>
      <name val="Times New Roman"/>
      <family val="1"/>
    </font>
    <font>
      <b/>
      <sz val="8"/>
      <color rgb="FF000000"/>
      <name val="Aptos Narrow"/>
      <family val="2"/>
    </font>
    <font>
      <b/>
      <sz val="8"/>
      <color rgb="FFFFFFFF"/>
      <name val="Aptos Narrow"/>
      <family val="2"/>
    </font>
    <font>
      <sz val="8"/>
      <color rgb="FF000000"/>
      <name val="Aptos Narrow"/>
      <family val="2"/>
    </font>
    <font>
      <b/>
      <sz val="8"/>
      <color rgb="FF00206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00CC99"/>
        <bgColor rgb="FF000000"/>
      </patternFill>
    </fill>
    <fill>
      <patternFill patternType="solid">
        <fgColor rgb="FF9999FF"/>
        <bgColor rgb="FF000000"/>
      </patternFill>
    </fill>
    <fill>
      <patternFill patternType="solid">
        <fgColor rgb="FF66CC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B4C6E7"/>
        <bgColor rgb="FF000000"/>
      </patternFill>
    </fill>
  </fills>
  <borders count="6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medium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/>
      <diagonal/>
    </border>
    <border>
      <left style="medium">
        <color rgb="FF808080"/>
      </left>
      <right style="thin">
        <color rgb="FF808080"/>
      </right>
      <top/>
      <bottom/>
      <diagonal/>
    </border>
    <border>
      <left style="medium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/>
      <diagonal/>
    </border>
    <border>
      <left style="thin">
        <color rgb="FF808080"/>
      </left>
      <right style="medium">
        <color rgb="FF808080"/>
      </right>
      <top/>
      <bottom/>
      <diagonal/>
    </border>
    <border>
      <left style="thin">
        <color rgb="FF808080"/>
      </left>
      <right style="medium">
        <color rgb="FF808080"/>
      </right>
      <top/>
      <bottom style="thin">
        <color rgb="FF808080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54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0" fontId="34" fillId="17" borderId="41" xfId="0" applyFont="1" applyFill="1" applyBorder="1" applyAlignment="1">
      <alignment horizontal="left" vertical="top" wrapText="1" readingOrder="1"/>
    </xf>
    <xf numFmtId="0" fontId="35" fillId="16" borderId="41" xfId="0" applyFont="1" applyFill="1" applyBorder="1" applyAlignment="1">
      <alignment horizontal="center" wrapText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0" fontId="33" fillId="15" borderId="45" xfId="0" applyFont="1" applyFill="1" applyBorder="1" applyAlignment="1">
      <alignment horizontal="center" vertical="center" wrapText="1" readingOrder="1"/>
    </xf>
    <xf numFmtId="0" fontId="33" fillId="15" borderId="45" xfId="0" applyFont="1" applyFill="1" applyBorder="1" applyAlignment="1">
      <alignment horizontal="center" wrapText="1" readingOrder="1"/>
    </xf>
    <xf numFmtId="0" fontId="34" fillId="18" borderId="5" xfId="0" applyFont="1" applyFill="1" applyBorder="1" applyAlignment="1">
      <alignment horizontal="center" vertical="center" wrapText="1" readingOrder="1"/>
    </xf>
    <xf numFmtId="0" fontId="11" fillId="18" borderId="5" xfId="0" applyFont="1" applyFill="1" applyBorder="1"/>
    <xf numFmtId="0" fontId="41" fillId="18" borderId="5" xfId="0" applyFont="1" applyFill="1" applyBorder="1" applyAlignment="1">
      <alignment horizontal="left" vertical="center" wrapText="1"/>
    </xf>
    <xf numFmtId="15" fontId="11" fillId="18" borderId="5" xfId="0" applyNumberFormat="1" applyFont="1" applyFill="1" applyBorder="1" applyAlignment="1">
      <alignment horizontal="center"/>
    </xf>
    <xf numFmtId="0" fontId="11" fillId="18" borderId="5" xfId="0" applyFont="1" applyFill="1" applyBorder="1" applyAlignment="1">
      <alignment horizontal="center"/>
    </xf>
    <xf numFmtId="0" fontId="43" fillId="15" borderId="41" xfId="0" applyFont="1" applyFill="1" applyBorder="1" applyAlignment="1">
      <alignment horizontal="center" vertical="center" wrapText="1" readingOrder="1"/>
    </xf>
    <xf numFmtId="0" fontId="43" fillId="15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left" wrapText="1" readingOrder="1"/>
    </xf>
    <xf numFmtId="15" fontId="44" fillId="17" borderId="41" xfId="0" applyNumberFormat="1" applyFont="1" applyFill="1" applyBorder="1" applyAlignment="1">
      <alignment horizontal="center" wrapText="1" readingOrder="1"/>
    </xf>
    <xf numFmtId="15" fontId="44" fillId="17" borderId="41" xfId="0" applyNumberFormat="1" applyFont="1" applyFill="1" applyBorder="1" applyAlignment="1">
      <alignment horizontal="center" vertical="center" wrapText="1" readingOrder="1"/>
    </xf>
    <xf numFmtId="0" fontId="44" fillId="17" borderId="41" xfId="0" applyFont="1" applyFill="1" applyBorder="1" applyAlignment="1">
      <alignment horizontal="center" vertical="center" wrapText="1" readingOrder="1"/>
    </xf>
    <xf numFmtId="0" fontId="44" fillId="16" borderId="41" xfId="0" applyFont="1" applyFill="1" applyBorder="1" applyAlignment="1">
      <alignment horizontal="center" wrapText="1" readingOrder="1"/>
    </xf>
    <xf numFmtId="0" fontId="44" fillId="0" borderId="41" xfId="0" applyFont="1" applyBorder="1" applyAlignment="1">
      <alignment horizontal="left" wrapText="1" readingOrder="1"/>
    </xf>
    <xf numFmtId="0" fontId="44" fillId="0" borderId="41" xfId="0" applyFont="1" applyBorder="1" applyAlignment="1">
      <alignment horizontal="center" wrapText="1" readingOrder="1"/>
    </xf>
    <xf numFmtId="15" fontId="44" fillId="0" borderId="41" xfId="0" applyNumberFormat="1" applyFont="1" applyBorder="1" applyAlignment="1">
      <alignment horizontal="center" wrapText="1" readingOrder="1"/>
    </xf>
    <xf numFmtId="15" fontId="44" fillId="16" borderId="41" xfId="0" applyNumberFormat="1" applyFont="1" applyFill="1" applyBorder="1" applyAlignment="1">
      <alignment horizontal="center" wrapText="1" readingOrder="1"/>
    </xf>
    <xf numFmtId="0" fontId="45" fillId="16" borderId="41" xfId="0" applyFont="1" applyFill="1" applyBorder="1" applyAlignment="1">
      <alignment horizontal="center" vertical="center" wrapText="1"/>
    </xf>
    <xf numFmtId="0" fontId="0" fillId="17" borderId="0" xfId="0" applyFill="1" applyAlignment="1">
      <alignment horizontal="center"/>
    </xf>
    <xf numFmtId="0" fontId="44" fillId="16" borderId="41" xfId="0" applyFont="1" applyFill="1" applyBorder="1" applyAlignment="1">
      <alignment horizontal="left" wrapText="1" readingOrder="1"/>
    </xf>
    <xf numFmtId="0" fontId="44" fillId="17" borderId="41" xfId="0" applyFont="1" applyFill="1" applyBorder="1" applyAlignment="1">
      <alignment horizontal="left" vertical="center" wrapText="1" readingOrder="1"/>
    </xf>
    <xf numFmtId="0" fontId="45" fillId="16" borderId="41" xfId="0" applyFont="1" applyFill="1" applyBorder="1" applyAlignment="1">
      <alignment horizontal="center" wrapText="1"/>
    </xf>
    <xf numFmtId="0" fontId="49" fillId="22" borderId="41" xfId="0" applyFont="1" applyFill="1" applyBorder="1" applyAlignment="1">
      <alignment horizontal="center" vertical="center"/>
    </xf>
    <xf numFmtId="0" fontId="49" fillId="0" borderId="41" xfId="0" applyFont="1" applyBorder="1"/>
    <xf numFmtId="0" fontId="49" fillId="0" borderId="41" xfId="0" applyFont="1" applyBorder="1" applyAlignment="1">
      <alignment horizontal="center" vertical="center"/>
    </xf>
    <xf numFmtId="0" fontId="50" fillId="23" borderId="41" xfId="0" applyFont="1" applyFill="1" applyBorder="1" applyAlignment="1">
      <alignment horizontal="center" vertical="center" wrapText="1"/>
    </xf>
    <xf numFmtId="0" fontId="50" fillId="27" borderId="41" xfId="0" applyFont="1" applyFill="1" applyBorder="1" applyAlignment="1">
      <alignment horizontal="center" vertical="center" wrapText="1"/>
    </xf>
    <xf numFmtId="0" fontId="50" fillId="28" borderId="41" xfId="0" applyFont="1" applyFill="1" applyBorder="1" applyAlignment="1">
      <alignment horizontal="center" vertical="center" wrapText="1"/>
    </xf>
    <xf numFmtId="0" fontId="49" fillId="21" borderId="41" xfId="0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 wrapText="1"/>
    </xf>
    <xf numFmtId="0" fontId="49" fillId="21" borderId="41" xfId="7" applyFont="1" applyFill="1" applyBorder="1" applyAlignment="1">
      <alignment vertical="center" wrapText="1"/>
    </xf>
    <xf numFmtId="164" fontId="49" fillId="21" borderId="41" xfId="0" applyNumberFormat="1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/>
    </xf>
    <xf numFmtId="0" fontId="49" fillId="22" borderId="41" xfId="0" applyFont="1" applyFill="1" applyBorder="1" applyAlignment="1">
      <alignment vertical="center" wrapText="1"/>
    </xf>
    <xf numFmtId="0" fontId="49" fillId="22" borderId="41" xfId="7" applyFont="1" applyFill="1" applyBorder="1" applyAlignment="1">
      <alignment vertical="center" wrapText="1"/>
    </xf>
    <xf numFmtId="164" fontId="49" fillId="22" borderId="41" xfId="0" applyNumberFormat="1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 wrapText="1"/>
    </xf>
    <xf numFmtId="0" fontId="49" fillId="29" borderId="41" xfId="7" applyFont="1" applyFill="1" applyBorder="1" applyAlignment="1">
      <alignment vertical="center" wrapText="1"/>
    </xf>
    <xf numFmtId="164" fontId="49" fillId="29" borderId="41" xfId="0" applyNumberFormat="1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/>
    </xf>
    <xf numFmtId="164" fontId="49" fillId="0" borderId="41" xfId="0" applyNumberFormat="1" applyFont="1" applyBorder="1" applyAlignment="1">
      <alignment horizontal="center" vertical="center"/>
    </xf>
    <xf numFmtId="0" fontId="49" fillId="0" borderId="41" xfId="0" applyFont="1" applyBorder="1" applyAlignment="1">
      <alignment vertical="center"/>
    </xf>
    <xf numFmtId="0" fontId="49" fillId="22" borderId="41" xfId="0" applyFont="1" applyFill="1" applyBorder="1" applyAlignment="1">
      <alignment vertical="center"/>
    </xf>
    <xf numFmtId="16" fontId="49" fillId="29" borderId="41" xfId="0" applyNumberFormat="1" applyFont="1" applyFill="1" applyBorder="1" applyAlignment="1">
      <alignment horizontal="center" vertical="center"/>
    </xf>
    <xf numFmtId="0" fontId="49" fillId="0" borderId="41" xfId="0" applyFont="1" applyBorder="1" applyAlignment="1">
      <alignment vertical="center" wrapText="1"/>
    </xf>
    <xf numFmtId="2" fontId="49" fillId="0" borderId="41" xfId="0" applyNumberFormat="1" applyFont="1" applyBorder="1" applyAlignment="1">
      <alignment horizontal="center" vertical="center"/>
    </xf>
    <xf numFmtId="171" fontId="49" fillId="29" borderId="41" xfId="0" applyNumberFormat="1" applyFont="1" applyFill="1" applyBorder="1" applyAlignment="1">
      <alignment horizontal="center" vertical="center"/>
    </xf>
    <xf numFmtId="171" fontId="49" fillId="0" borderId="41" xfId="0" applyNumberFormat="1" applyFont="1" applyBorder="1" applyAlignment="1">
      <alignment horizontal="center" vertical="center"/>
    </xf>
    <xf numFmtId="171" fontId="49" fillId="21" borderId="41" xfId="0" applyNumberFormat="1" applyFont="1" applyFill="1" applyBorder="1" applyAlignment="1">
      <alignment horizontal="center" vertical="center"/>
    </xf>
    <xf numFmtId="171" fontId="49" fillId="22" borderId="41" xfId="0" applyNumberFormat="1" applyFont="1" applyFill="1" applyBorder="1" applyAlignment="1">
      <alignment horizontal="center" vertical="center"/>
    </xf>
    <xf numFmtId="15" fontId="49" fillId="0" borderId="41" xfId="0" applyNumberFormat="1" applyFont="1" applyBorder="1" applyAlignment="1">
      <alignment horizontal="center" vertical="center"/>
    </xf>
    <xf numFmtId="0" fontId="49" fillId="0" borderId="41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/>
    </xf>
    <xf numFmtId="0" fontId="48" fillId="31" borderId="41" xfId="0" applyFont="1" applyFill="1" applyBorder="1" applyAlignment="1">
      <alignment horizontal="center" vertical="center"/>
    </xf>
    <xf numFmtId="0" fontId="48" fillId="31" borderId="41" xfId="0" applyFont="1" applyFill="1" applyBorder="1" applyAlignment="1">
      <alignment horizontal="center" vertical="center" wrapText="1"/>
    </xf>
    <xf numFmtId="0" fontId="49" fillId="30" borderId="41" xfId="0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vertical="center" wrapText="1"/>
    </xf>
    <xf numFmtId="0" fontId="49" fillId="30" borderId="41" xfId="7" applyFont="1" applyFill="1" applyBorder="1" applyAlignment="1">
      <alignment vertical="center" wrapText="1"/>
    </xf>
    <xf numFmtId="164" fontId="49" fillId="30" borderId="41" xfId="0" applyNumberFormat="1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vertical="center"/>
    </xf>
    <xf numFmtId="16" fontId="49" fillId="30" borderId="41" xfId="0" applyNumberFormat="1" applyFont="1" applyFill="1" applyBorder="1" applyAlignment="1">
      <alignment horizontal="center" vertical="center"/>
    </xf>
    <xf numFmtId="0" fontId="46" fillId="0" borderId="41" xfId="0" applyFont="1" applyBorder="1" applyAlignment="1">
      <alignment horizontal="center" vertical="center"/>
    </xf>
    <xf numFmtId="171" fontId="49" fillId="30" borderId="41" xfId="0" applyNumberFormat="1" applyFont="1" applyFill="1" applyBorder="1" applyAlignment="1">
      <alignment horizontal="center" vertical="center"/>
    </xf>
    <xf numFmtId="0" fontId="47" fillId="22" borderId="49" xfId="0" applyFont="1" applyFill="1" applyBorder="1" applyAlignment="1">
      <alignment horizontal="center" vertical="center"/>
    </xf>
    <xf numFmtId="14" fontId="48" fillId="26" borderId="49" xfId="0" applyNumberFormat="1" applyFont="1" applyFill="1" applyBorder="1" applyAlignment="1">
      <alignment horizontal="center" vertical="center"/>
    </xf>
    <xf numFmtId="0" fontId="49" fillId="22" borderId="49" xfId="0" applyFont="1" applyFill="1" applyBorder="1" applyAlignment="1">
      <alignment horizontal="center" vertical="center"/>
    </xf>
    <xf numFmtId="0" fontId="49" fillId="0" borderId="49" xfId="0" applyFont="1" applyBorder="1"/>
    <xf numFmtId="0" fontId="49" fillId="0" borderId="49" xfId="0" applyFont="1" applyBorder="1" applyAlignment="1">
      <alignment horizontal="center" vertical="center"/>
    </xf>
    <xf numFmtId="0" fontId="47" fillId="0" borderId="49" xfId="0" applyFont="1" applyBorder="1" applyAlignment="1">
      <alignment horizontal="center" vertical="center"/>
    </xf>
    <xf numFmtId="0" fontId="47" fillId="30" borderId="49" xfId="0" applyFont="1" applyFill="1" applyBorder="1" applyAlignment="1">
      <alignment horizontal="center" vertical="center"/>
    </xf>
    <xf numFmtId="14" fontId="47" fillId="21" borderId="49" xfId="0" applyNumberFormat="1" applyFont="1" applyFill="1" applyBorder="1" applyAlignment="1">
      <alignment horizontal="center" vertical="center" wrapText="1"/>
    </xf>
    <xf numFmtId="0" fontId="47" fillId="29" borderId="49" xfId="0" applyFont="1" applyFill="1" applyBorder="1" applyAlignment="1">
      <alignment horizontal="center" vertical="center"/>
    </xf>
    <xf numFmtId="14" fontId="47" fillId="0" borderId="50" xfId="0" applyNumberFormat="1" applyFont="1" applyBorder="1" applyAlignment="1">
      <alignment horizontal="center" vertical="center"/>
    </xf>
    <xf numFmtId="0" fontId="48" fillId="31" borderId="51" xfId="0" applyFont="1" applyFill="1" applyBorder="1" applyAlignment="1">
      <alignment horizontal="center" vertical="center"/>
    </xf>
    <xf numFmtId="0" fontId="48" fillId="31" borderId="52" xfId="0" applyFont="1" applyFill="1" applyBorder="1" applyAlignment="1">
      <alignment horizontal="center" vertical="center" wrapText="1"/>
    </xf>
    <xf numFmtId="0" fontId="49" fillId="21" borderId="51" xfId="0" applyFont="1" applyFill="1" applyBorder="1" applyAlignment="1">
      <alignment horizontal="center" vertical="center"/>
    </xf>
    <xf numFmtId="0" fontId="49" fillId="21" borderId="52" xfId="0" applyFont="1" applyFill="1" applyBorder="1" applyAlignment="1">
      <alignment horizontal="center" vertical="center"/>
    </xf>
    <xf numFmtId="0" fontId="49" fillId="22" borderId="51" xfId="0" applyFont="1" applyFill="1" applyBorder="1" applyAlignment="1">
      <alignment horizontal="center" vertical="center"/>
    </xf>
    <xf numFmtId="0" fontId="49" fillId="22" borderId="52" xfId="0" applyFont="1" applyFill="1" applyBorder="1" applyAlignment="1">
      <alignment horizontal="center" vertical="center"/>
    </xf>
    <xf numFmtId="0" fontId="49" fillId="29" borderId="51" xfId="0" applyFont="1" applyFill="1" applyBorder="1" applyAlignment="1">
      <alignment horizontal="center" vertical="center"/>
    </xf>
    <xf numFmtId="0" fontId="49" fillId="29" borderId="52" xfId="0" applyFont="1" applyFill="1" applyBorder="1" applyAlignment="1">
      <alignment horizontal="center" vertical="center"/>
    </xf>
    <xf numFmtId="0" fontId="49" fillId="24" borderId="51" xfId="0" applyFont="1" applyFill="1" applyBorder="1" applyAlignment="1">
      <alignment horizontal="center" vertical="center"/>
    </xf>
    <xf numFmtId="0" fontId="49" fillId="24" borderId="52" xfId="0" applyFont="1" applyFill="1" applyBorder="1" applyAlignment="1">
      <alignment horizontal="center" vertical="center"/>
    </xf>
    <xf numFmtId="0" fontId="49" fillId="30" borderId="51" xfId="0" applyFont="1" applyFill="1" applyBorder="1" applyAlignment="1">
      <alignment horizontal="center" vertical="center"/>
    </xf>
    <xf numFmtId="0" fontId="49" fillId="30" borderId="52" xfId="0" applyFont="1" applyFill="1" applyBorder="1" applyAlignment="1">
      <alignment horizontal="center" vertical="center"/>
    </xf>
    <xf numFmtId="0" fontId="49" fillId="0" borderId="52" xfId="0" applyFont="1" applyBorder="1" applyAlignment="1">
      <alignment horizontal="center" vertical="center"/>
    </xf>
    <xf numFmtId="0" fontId="46" fillId="21" borderId="41" xfId="0" applyFont="1" applyFill="1" applyBorder="1" applyAlignment="1">
      <alignment horizontal="center" vertical="center"/>
    </xf>
    <xf numFmtId="0" fontId="46" fillId="0" borderId="41" xfId="0" applyFont="1" applyBorder="1" applyAlignment="1">
      <alignment wrapText="1"/>
    </xf>
    <xf numFmtId="0" fontId="49" fillId="0" borderId="52" xfId="0" applyFont="1" applyBorder="1" applyAlignment="1">
      <alignment horizontal="center" vertical="center" wrapText="1"/>
    </xf>
    <xf numFmtId="0" fontId="49" fillId="22" borderId="51" xfId="0" applyFont="1" applyFill="1" applyBorder="1" applyAlignment="1">
      <alignment vertical="center"/>
    </xf>
    <xf numFmtId="0" fontId="49" fillId="30" borderId="41" xfId="0" applyFont="1" applyFill="1" applyBorder="1" applyAlignment="1">
      <alignment horizontal="center"/>
    </xf>
    <xf numFmtId="0" fontId="49" fillId="29" borderId="57" xfId="0" applyFont="1" applyFill="1" applyBorder="1" applyAlignment="1">
      <alignment horizontal="center" vertical="center"/>
    </xf>
    <xf numFmtId="164" fontId="49" fillId="29" borderId="57" xfId="0" applyNumberFormat="1" applyFont="1" applyFill="1" applyBorder="1" applyAlignment="1">
      <alignment horizontal="center" vertical="center"/>
    </xf>
    <xf numFmtId="0" fontId="49" fillId="29" borderId="57" xfId="0" applyFont="1" applyFill="1" applyBorder="1" applyAlignment="1">
      <alignment vertical="center"/>
    </xf>
    <xf numFmtId="0" fontId="49" fillId="21" borderId="45" xfId="0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horizontal="center" vertical="center"/>
    </xf>
    <xf numFmtId="0" fontId="49" fillId="22" borderId="41" xfId="0" applyFont="1" applyFill="1" applyBorder="1" applyAlignment="1">
      <alignment horizontal="center" vertical="center"/>
    </xf>
    <xf numFmtId="0" fontId="49" fillId="22" borderId="57" xfId="0" applyFont="1" applyFill="1" applyBorder="1" applyAlignment="1">
      <alignment horizontal="center" vertical="center"/>
    </xf>
    <xf numFmtId="0" fontId="49" fillId="29" borderId="52" xfId="0" applyFont="1" applyFill="1" applyBorder="1" applyAlignment="1">
      <alignment horizontal="center" vertical="center"/>
    </xf>
    <xf numFmtId="0" fontId="49" fillId="29" borderId="58" xfId="0" applyFont="1" applyFill="1" applyBorder="1" applyAlignment="1">
      <alignment horizontal="center" vertical="center"/>
    </xf>
    <xf numFmtId="171" fontId="49" fillId="29" borderId="41" xfId="0" applyNumberFormat="1" applyFont="1" applyFill="1" applyBorder="1" applyAlignment="1">
      <alignment horizontal="center" vertical="center"/>
    </xf>
    <xf numFmtId="171" fontId="49" fillId="22" borderId="41" xfId="0" applyNumberFormat="1" applyFont="1" applyFill="1" applyBorder="1" applyAlignment="1">
      <alignment horizontal="center" vertical="center"/>
    </xf>
    <xf numFmtId="171" fontId="49" fillId="22" borderId="57" xfId="0" applyNumberFormat="1" applyFont="1" applyFill="1" applyBorder="1" applyAlignment="1">
      <alignment horizontal="center" vertical="center"/>
    </xf>
    <xf numFmtId="164" fontId="49" fillId="29" borderId="41" xfId="0" applyNumberFormat="1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horizontal="center" vertical="center"/>
    </xf>
    <xf numFmtId="0" fontId="49" fillId="0" borderId="41" xfId="0" applyFont="1" applyBorder="1" applyAlignment="1">
      <alignment horizontal="center" vertical="center"/>
    </xf>
    <xf numFmtId="0" fontId="49" fillId="30" borderId="52" xfId="0" applyFont="1" applyFill="1" applyBorder="1" applyAlignment="1">
      <alignment horizontal="center" vertical="center"/>
    </xf>
    <xf numFmtId="0" fontId="49" fillId="0" borderId="52" xfId="0" applyFont="1" applyBorder="1" applyAlignment="1">
      <alignment horizontal="center" vertical="center"/>
    </xf>
    <xf numFmtId="0" fontId="49" fillId="29" borderId="51" xfId="0" applyFont="1" applyFill="1" applyBorder="1" applyAlignment="1">
      <alignment horizontal="center" vertical="center"/>
    </xf>
    <xf numFmtId="0" fontId="49" fillId="22" borderId="51" xfId="0" applyFont="1" applyFill="1" applyBorder="1" applyAlignment="1">
      <alignment horizontal="center" vertical="center"/>
    </xf>
    <xf numFmtId="0" fontId="49" fillId="22" borderId="56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 wrapText="1"/>
    </xf>
    <xf numFmtId="0" fontId="49" fillId="22" borderId="41" xfId="0" applyFont="1" applyFill="1" applyBorder="1" applyAlignment="1">
      <alignment vertical="center" wrapText="1"/>
    </xf>
    <xf numFmtId="0" fontId="49" fillId="22" borderId="57" xfId="0" applyFont="1" applyFill="1" applyBorder="1" applyAlignment="1">
      <alignment vertical="center" wrapText="1"/>
    </xf>
    <xf numFmtId="0" fontId="49" fillId="29" borderId="41" xfId="7" applyFont="1" applyFill="1" applyBorder="1" applyAlignment="1">
      <alignment vertical="center" wrapText="1"/>
    </xf>
    <xf numFmtId="0" fontId="49" fillId="22" borderId="41" xfId="7" applyFont="1" applyFill="1" applyBorder="1" applyAlignment="1">
      <alignment vertical="center" wrapText="1"/>
    </xf>
    <xf numFmtId="0" fontId="49" fillId="22" borderId="57" xfId="7" applyFont="1" applyFill="1" applyBorder="1" applyAlignment="1">
      <alignment vertical="center" wrapText="1"/>
    </xf>
    <xf numFmtId="16" fontId="49" fillId="30" borderId="41" xfId="0" applyNumberFormat="1" applyFont="1" applyFill="1" applyBorder="1" applyAlignment="1">
      <alignment horizontal="center" vertical="center"/>
    </xf>
    <xf numFmtId="16" fontId="49" fillId="0" borderId="41" xfId="0" applyNumberFormat="1" applyFont="1" applyBorder="1" applyAlignment="1">
      <alignment horizontal="center" vertical="center"/>
    </xf>
    <xf numFmtId="0" fontId="49" fillId="21" borderId="41" xfId="0" applyFont="1" applyFill="1" applyBorder="1" applyAlignment="1">
      <alignment horizontal="center" vertical="center"/>
    </xf>
    <xf numFmtId="0" fontId="49" fillId="21" borderId="45" xfId="0" applyFont="1" applyFill="1" applyBorder="1" applyAlignment="1">
      <alignment horizontal="center" vertical="center"/>
    </xf>
    <xf numFmtId="0" fontId="49" fillId="21" borderId="47" xfId="0" applyFont="1" applyFill="1" applyBorder="1" applyAlignment="1">
      <alignment horizontal="center" vertical="center"/>
    </xf>
    <xf numFmtId="0" fontId="49" fillId="30" borderId="51" xfId="0" applyFont="1" applyFill="1" applyBorder="1" applyAlignment="1">
      <alignment horizontal="center" vertical="center"/>
    </xf>
    <xf numFmtId="0" fontId="49" fillId="25" borderId="51" xfId="0" applyFont="1" applyFill="1" applyBorder="1" applyAlignment="1">
      <alignment horizontal="center" vertical="center"/>
    </xf>
    <xf numFmtId="0" fontId="49" fillId="25" borderId="41" xfId="0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vertical="center" wrapText="1"/>
    </xf>
    <xf numFmtId="0" fontId="49" fillId="25" borderId="41" xfId="0" applyFont="1" applyFill="1" applyBorder="1" applyAlignment="1">
      <alignment vertical="center" wrapText="1"/>
    </xf>
    <xf numFmtId="0" fontId="49" fillId="30" borderId="41" xfId="7" applyFont="1" applyFill="1" applyBorder="1" applyAlignment="1">
      <alignment vertical="center" wrapText="1"/>
    </xf>
    <xf numFmtId="0" fontId="49" fillId="25" borderId="41" xfId="7" applyFont="1" applyFill="1" applyBorder="1" applyAlignment="1">
      <alignment vertical="center" wrapText="1"/>
    </xf>
    <xf numFmtId="0" fontId="49" fillId="21" borderId="53" xfId="0" applyFont="1" applyFill="1" applyBorder="1" applyAlignment="1">
      <alignment horizontal="center" vertical="center"/>
    </xf>
    <xf numFmtId="0" fontId="49" fillId="21" borderId="55" xfId="0" applyFont="1" applyFill="1" applyBorder="1" applyAlignment="1">
      <alignment horizontal="center" vertical="center"/>
    </xf>
    <xf numFmtId="0" fontId="49" fillId="21" borderId="45" xfId="0" applyFont="1" applyFill="1" applyBorder="1" applyAlignment="1">
      <alignment horizontal="left" vertical="center" wrapText="1"/>
    </xf>
    <xf numFmtId="0" fontId="49" fillId="21" borderId="47" xfId="0" applyFont="1" applyFill="1" applyBorder="1" applyAlignment="1">
      <alignment horizontal="left" vertical="center" wrapText="1"/>
    </xf>
    <xf numFmtId="0" fontId="49" fillId="21" borderId="45" xfId="7" applyFont="1" applyFill="1" applyBorder="1" applyAlignment="1">
      <alignment vertical="center" wrapText="1"/>
    </xf>
    <xf numFmtId="0" fontId="49" fillId="21" borderId="47" xfId="7" applyFont="1" applyFill="1" applyBorder="1" applyAlignment="1">
      <alignment vertical="center" wrapText="1"/>
    </xf>
    <xf numFmtId="171" fontId="49" fillId="21" borderId="45" xfId="0" applyNumberFormat="1" applyFont="1" applyFill="1" applyBorder="1" applyAlignment="1">
      <alignment horizontal="center" vertical="center"/>
    </xf>
    <xf numFmtId="171" fontId="49" fillId="21" borderId="47" xfId="0" applyNumberFormat="1" applyFont="1" applyFill="1" applyBorder="1" applyAlignment="1">
      <alignment horizontal="center" vertical="center"/>
    </xf>
    <xf numFmtId="0" fontId="49" fillId="24" borderId="41" xfId="0" applyFont="1" applyFill="1" applyBorder="1" applyAlignment="1">
      <alignment horizontal="center" vertical="center"/>
    </xf>
    <xf numFmtId="0" fontId="49" fillId="24" borderId="52" xfId="0" applyFont="1" applyFill="1" applyBorder="1" applyAlignment="1">
      <alignment horizontal="center" vertical="center"/>
    </xf>
    <xf numFmtId="0" fontId="49" fillId="21" borderId="45" xfId="0" applyFont="1" applyFill="1" applyBorder="1" applyAlignment="1">
      <alignment vertical="center" wrapText="1"/>
    </xf>
    <xf numFmtId="0" fontId="49" fillId="21" borderId="47" xfId="0" applyFont="1" applyFill="1" applyBorder="1" applyAlignment="1">
      <alignment vertical="center" wrapText="1"/>
    </xf>
    <xf numFmtId="171" fontId="49" fillId="24" borderId="41" xfId="0" applyNumberFormat="1" applyFont="1" applyFill="1" applyBorder="1" applyAlignment="1">
      <alignment horizontal="center" vertical="center"/>
    </xf>
    <xf numFmtId="0" fontId="49" fillId="24" borderId="51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/>
    </xf>
    <xf numFmtId="0" fontId="49" fillId="24" borderId="41" xfId="0" applyFont="1" applyFill="1" applyBorder="1" applyAlignment="1">
      <alignment vertical="center"/>
    </xf>
    <xf numFmtId="16" fontId="49" fillId="29" borderId="41" xfId="0" applyNumberFormat="1" applyFont="1" applyFill="1" applyBorder="1" applyAlignment="1">
      <alignment horizontal="center" vertical="center"/>
    </xf>
    <xf numFmtId="16" fontId="49" fillId="24" borderId="41" xfId="0" applyNumberFormat="1" applyFont="1" applyFill="1" applyBorder="1" applyAlignment="1">
      <alignment horizontal="center" vertical="center"/>
    </xf>
    <xf numFmtId="0" fontId="49" fillId="24" borderId="41" xfId="0" applyFont="1" applyFill="1" applyBorder="1" applyAlignment="1">
      <alignment horizontal="center" vertical="center" wrapText="1"/>
    </xf>
    <xf numFmtId="0" fontId="49" fillId="24" borderId="41" xfId="7" applyFont="1" applyFill="1" applyBorder="1" applyAlignment="1">
      <alignment vertical="center" wrapText="1"/>
    </xf>
    <xf numFmtId="0" fontId="49" fillId="21" borderId="51" xfId="0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 wrapText="1"/>
    </xf>
    <xf numFmtId="0" fontId="49" fillId="21" borderId="41" xfId="7" applyFont="1" applyFill="1" applyBorder="1" applyAlignment="1">
      <alignment vertical="center" wrapText="1"/>
    </xf>
    <xf numFmtId="171" fontId="49" fillId="21" borderId="41" xfId="0" applyNumberFormat="1" applyFont="1" applyFill="1" applyBorder="1" applyAlignment="1">
      <alignment horizontal="center" vertical="center"/>
    </xf>
    <xf numFmtId="0" fontId="49" fillId="21" borderId="46" xfId="0" applyFont="1" applyFill="1" applyBorder="1" applyAlignment="1">
      <alignment horizontal="center" vertical="center"/>
    </xf>
    <xf numFmtId="0" fontId="49" fillId="21" borderId="52" xfId="0" applyFont="1" applyFill="1" applyBorder="1" applyAlignment="1">
      <alignment horizontal="center" vertical="center"/>
    </xf>
    <xf numFmtId="0" fontId="49" fillId="24" borderId="41" xfId="0" applyFont="1" applyFill="1" applyBorder="1" applyAlignment="1">
      <alignment vertical="center" wrapText="1"/>
    </xf>
    <xf numFmtId="0" fontId="49" fillId="21" borderId="54" xfId="0" applyFont="1" applyFill="1" applyBorder="1" applyAlignment="1">
      <alignment horizontal="center" vertical="center"/>
    </xf>
    <xf numFmtId="0" fontId="49" fillId="21" borderId="45" xfId="0" applyFont="1" applyFill="1" applyBorder="1" applyAlignment="1">
      <alignment horizontal="center" vertical="center" wrapText="1"/>
    </xf>
    <xf numFmtId="0" fontId="49" fillId="21" borderId="46" xfId="0" applyFont="1" applyFill="1" applyBorder="1" applyAlignment="1">
      <alignment horizontal="center" vertical="center" wrapText="1"/>
    </xf>
    <xf numFmtId="0" fontId="49" fillId="21" borderId="47" xfId="0" applyFont="1" applyFill="1" applyBorder="1" applyAlignment="1">
      <alignment horizontal="center" vertical="center" wrapText="1"/>
    </xf>
    <xf numFmtId="0" fontId="49" fillId="21" borderId="45" xfId="7" applyFont="1" applyFill="1" applyBorder="1" applyAlignment="1">
      <alignment horizontal="center" vertical="center" wrapText="1"/>
    </xf>
    <xf numFmtId="0" fontId="49" fillId="21" borderId="46" xfId="7" applyFont="1" applyFill="1" applyBorder="1" applyAlignment="1">
      <alignment horizontal="center" vertical="center" wrapText="1"/>
    </xf>
    <xf numFmtId="0" fontId="49" fillId="21" borderId="47" xfId="7" applyFont="1" applyFill="1" applyBorder="1" applyAlignment="1">
      <alignment horizontal="center" vertical="center" wrapText="1"/>
    </xf>
    <xf numFmtId="0" fontId="49" fillId="22" borderId="52" xfId="0" applyFont="1" applyFill="1" applyBorder="1" applyAlignment="1">
      <alignment horizontal="center" vertical="center"/>
    </xf>
    <xf numFmtId="164" fontId="49" fillId="22" borderId="41" xfId="0" applyNumberFormat="1" applyFont="1" applyFill="1" applyBorder="1" applyAlignment="1">
      <alignment horizontal="center" vertical="center"/>
    </xf>
    <xf numFmtId="0" fontId="49" fillId="22" borderId="41" xfId="0" applyFont="1" applyFill="1" applyBorder="1" applyAlignment="1">
      <alignment vertical="center"/>
    </xf>
    <xf numFmtId="15" fontId="49" fillId="29" borderId="41" xfId="0" applyNumberFormat="1" applyFont="1" applyFill="1" applyBorder="1" applyAlignment="1">
      <alignment horizontal="center" vertical="center"/>
    </xf>
    <xf numFmtId="15" fontId="49" fillId="22" borderId="41" xfId="0" applyNumberFormat="1" applyFont="1" applyFill="1" applyBorder="1" applyAlignment="1">
      <alignment horizontal="center" vertical="center"/>
    </xf>
    <xf numFmtId="164" fontId="49" fillId="21" borderId="41" xfId="0" applyNumberFormat="1" applyFont="1" applyFill="1" applyBorder="1" applyAlignment="1">
      <alignment horizontal="center" vertical="center"/>
    </xf>
    <xf numFmtId="164" fontId="49" fillId="0" borderId="41" xfId="0" applyNumberFormat="1" applyFont="1" applyBorder="1" applyAlignment="1">
      <alignment horizontal="center" vertical="center"/>
    </xf>
    <xf numFmtId="0" fontId="49" fillId="21" borderId="41" xfId="0" applyFont="1" applyFill="1" applyBorder="1" applyAlignment="1">
      <alignment horizontal="center" vertical="center" wrapText="1"/>
    </xf>
    <xf numFmtId="164" fontId="49" fillId="30" borderId="41" xfId="0" applyNumberFormat="1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vertical="center"/>
    </xf>
    <xf numFmtId="0" fontId="49" fillId="25" borderId="41" xfId="0" applyFont="1" applyFill="1" applyBorder="1" applyAlignment="1">
      <alignment horizontal="center" vertical="center" wrapText="1"/>
    </xf>
    <xf numFmtId="164" fontId="49" fillId="24" borderId="41" xfId="0" applyNumberFormat="1" applyFont="1" applyFill="1" applyBorder="1" applyAlignment="1">
      <alignment horizontal="center" vertical="center"/>
    </xf>
    <xf numFmtId="15" fontId="49" fillId="24" borderId="41" xfId="0" applyNumberFormat="1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horizontal="center" vertical="center" wrapText="1"/>
    </xf>
    <xf numFmtId="164" fontId="49" fillId="21" borderId="45" xfId="0" applyNumberFormat="1" applyFont="1" applyFill="1" applyBorder="1" applyAlignment="1">
      <alignment horizontal="center" vertical="center"/>
    </xf>
    <xf numFmtId="164" fontId="49" fillId="21" borderId="46" xfId="0" applyNumberFormat="1" applyFont="1" applyFill="1" applyBorder="1" applyAlignment="1">
      <alignment horizontal="center" vertical="center"/>
    </xf>
    <xf numFmtId="164" fontId="49" fillId="21" borderId="47" xfId="0" applyNumberFormat="1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horizontal="left" vertical="center" wrapText="1"/>
    </xf>
    <xf numFmtId="0" fontId="49" fillId="29" borderId="41" xfId="7" applyFont="1" applyFill="1" applyBorder="1" applyAlignment="1">
      <alignment horizontal="left" vertical="center" wrapText="1"/>
    </xf>
    <xf numFmtId="0" fontId="49" fillId="21" borderId="41" xfId="0" applyFont="1" applyFill="1" applyBorder="1" applyAlignment="1">
      <alignment horizontal="left" vertical="center" wrapText="1"/>
    </xf>
    <xf numFmtId="0" fontId="49" fillId="21" borderId="41" xfId="7" applyFont="1" applyFill="1" applyBorder="1" applyAlignment="1">
      <alignment horizontal="left" vertical="center" wrapText="1"/>
    </xf>
    <xf numFmtId="15" fontId="49" fillId="30" borderId="41" xfId="0" applyNumberFormat="1" applyFont="1" applyFill="1" applyBorder="1" applyAlignment="1">
      <alignment horizontal="center" vertical="center"/>
    </xf>
    <xf numFmtId="0" fontId="47" fillId="22" borderId="48" xfId="0" applyFont="1" applyFill="1" applyBorder="1" applyAlignment="1">
      <alignment horizontal="center" vertical="center"/>
    </xf>
    <xf numFmtId="0" fontId="47" fillId="22" borderId="49" xfId="0" applyFont="1" applyFill="1" applyBorder="1" applyAlignment="1">
      <alignment horizontal="center" vertical="center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165" fontId="18" fillId="10" borderId="1" xfId="3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 wrapText="1"/>
    </xf>
    <xf numFmtId="0" fontId="11" fillId="11" borderId="1" xfId="2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  <xf numFmtId="0" fontId="49" fillId="21" borderId="46" xfId="0" applyFont="1" applyFill="1" applyBorder="1" applyAlignment="1">
      <alignment horizontal="left" vertical="center" wrapText="1"/>
    </xf>
    <xf numFmtId="0" fontId="49" fillId="29" borderId="53" xfId="0" applyFont="1" applyFill="1" applyBorder="1" applyAlignment="1">
      <alignment horizontal="center" vertical="center"/>
    </xf>
    <xf numFmtId="0" fontId="49" fillId="29" borderId="45" xfId="0" applyFont="1" applyFill="1" applyBorder="1" applyAlignment="1">
      <alignment horizontal="center" vertical="center"/>
    </xf>
    <xf numFmtId="0" fontId="49" fillId="29" borderId="45" xfId="0" applyFont="1" applyFill="1" applyBorder="1" applyAlignment="1">
      <alignment horizontal="left" vertical="center" wrapText="1"/>
    </xf>
    <xf numFmtId="164" fontId="49" fillId="29" borderId="45" xfId="0" applyNumberFormat="1" applyFont="1" applyFill="1" applyBorder="1" applyAlignment="1">
      <alignment horizontal="center" vertical="center"/>
    </xf>
    <xf numFmtId="0" fontId="49" fillId="29" borderId="59" xfId="0" applyFont="1" applyFill="1" applyBorder="1" applyAlignment="1">
      <alignment horizontal="center" vertical="center"/>
    </xf>
    <xf numFmtId="0" fontId="49" fillId="29" borderId="54" xfId="0" applyFont="1" applyFill="1" applyBorder="1" applyAlignment="1">
      <alignment horizontal="center" vertical="center"/>
    </xf>
    <xf numFmtId="0" fontId="49" fillId="29" borderId="46" xfId="0" applyFont="1" applyFill="1" applyBorder="1" applyAlignment="1">
      <alignment horizontal="center" vertical="center"/>
    </xf>
    <xf numFmtId="0" fontId="49" fillId="29" borderId="46" xfId="0" applyFont="1" applyFill="1" applyBorder="1" applyAlignment="1">
      <alignment horizontal="left" vertical="center" wrapText="1"/>
    </xf>
    <xf numFmtId="164" fontId="49" fillId="29" borderId="46" xfId="0" applyNumberFormat="1" applyFont="1" applyFill="1" applyBorder="1" applyAlignment="1">
      <alignment horizontal="center" vertical="center"/>
    </xf>
    <xf numFmtId="0" fontId="49" fillId="29" borderId="60" xfId="0" applyFont="1" applyFill="1" applyBorder="1" applyAlignment="1">
      <alignment horizontal="center" vertical="center"/>
    </xf>
    <xf numFmtId="0" fontId="49" fillId="29" borderId="55" xfId="0" applyFont="1" applyFill="1" applyBorder="1" applyAlignment="1">
      <alignment horizontal="center" vertical="center"/>
    </xf>
    <xf numFmtId="0" fontId="49" fillId="29" borderId="47" xfId="0" applyFont="1" applyFill="1" applyBorder="1" applyAlignment="1">
      <alignment horizontal="center" vertical="center"/>
    </xf>
    <xf numFmtId="0" fontId="49" fillId="29" borderId="47" xfId="0" applyFont="1" applyFill="1" applyBorder="1" applyAlignment="1">
      <alignment horizontal="left" vertical="center" wrapText="1"/>
    </xf>
    <xf numFmtId="164" fontId="49" fillId="29" borderId="47" xfId="0" applyNumberFormat="1" applyFont="1" applyFill="1" applyBorder="1" applyAlignment="1">
      <alignment horizontal="center" vertical="center"/>
    </xf>
    <xf numFmtId="0" fontId="49" fillId="29" borderId="61" xfId="0" applyFont="1" applyFill="1" applyBorder="1" applyAlignment="1">
      <alignment horizontal="center" vertical="center"/>
    </xf>
    <xf numFmtId="0" fontId="49" fillId="32" borderId="51" xfId="0" applyFont="1" applyFill="1" applyBorder="1" applyAlignment="1">
      <alignment horizontal="center" vertical="center"/>
    </xf>
    <xf numFmtId="0" fontId="49" fillId="32" borderId="41" xfId="0" applyFont="1" applyFill="1" applyBorder="1" applyAlignment="1">
      <alignment horizontal="center" vertical="center"/>
    </xf>
    <xf numFmtId="0" fontId="49" fillId="32" borderId="41" xfId="7" applyFont="1" applyFill="1" applyBorder="1" applyAlignment="1">
      <alignment vertical="center" wrapText="1"/>
    </xf>
    <xf numFmtId="164" fontId="49" fillId="32" borderId="41" xfId="0" applyNumberFormat="1" applyFont="1" applyFill="1" applyBorder="1" applyAlignment="1">
      <alignment horizontal="center" vertical="center"/>
    </xf>
    <xf numFmtId="0" fontId="49" fillId="32" borderId="41" xfId="0" applyFont="1" applyFill="1" applyBorder="1" applyAlignment="1">
      <alignment horizontal="center" vertical="center"/>
    </xf>
    <xf numFmtId="164" fontId="49" fillId="32" borderId="41" xfId="0" applyNumberFormat="1" applyFont="1" applyFill="1" applyBorder="1" applyAlignment="1">
      <alignment horizontal="center" vertical="center"/>
    </xf>
    <xf numFmtId="0" fontId="49" fillId="32" borderId="41" xfId="0" applyFont="1" applyFill="1" applyBorder="1" applyAlignment="1">
      <alignment vertical="center"/>
    </xf>
    <xf numFmtId="0" fontId="49" fillId="32" borderId="52" xfId="0" applyFont="1" applyFill="1" applyBorder="1" applyAlignment="1">
      <alignment horizontal="center" vertical="center"/>
    </xf>
    <xf numFmtId="0" fontId="49" fillId="32" borderId="52" xfId="0" applyFont="1" applyFill="1" applyBorder="1" applyAlignment="1">
      <alignment horizontal="center" vertical="center"/>
    </xf>
    <xf numFmtId="0" fontId="49" fillId="32" borderId="41" xfId="0" applyFont="1" applyFill="1" applyBorder="1" applyAlignment="1">
      <alignment vertical="center"/>
    </xf>
    <xf numFmtId="0" fontId="49" fillId="32" borderId="51" xfId="0" applyFont="1" applyFill="1" applyBorder="1" applyAlignment="1">
      <alignment horizontal="center" vertical="center"/>
    </xf>
    <xf numFmtId="0" fontId="49" fillId="32" borderId="41" xfId="0" applyFont="1" applyFill="1" applyBorder="1" applyAlignment="1">
      <alignment vertical="center" wrapText="1"/>
    </xf>
    <xf numFmtId="0" fontId="49" fillId="32" borderId="41" xfId="7" applyFont="1" applyFill="1" applyBorder="1" applyAlignment="1">
      <alignment vertical="center" wrapText="1"/>
    </xf>
    <xf numFmtId="171" fontId="49" fillId="32" borderId="41" xfId="0" applyNumberFormat="1" applyFont="1" applyFill="1" applyBorder="1" applyAlignment="1">
      <alignment horizontal="center" vertical="center"/>
    </xf>
    <xf numFmtId="0" fontId="49" fillId="32" borderId="41" xfId="0" applyFont="1" applyFill="1" applyBorder="1" applyAlignment="1">
      <alignment vertical="center" wrapText="1"/>
    </xf>
    <xf numFmtId="171" fontId="49" fillId="32" borderId="41" xfId="0" applyNumberFormat="1" applyFont="1" applyFill="1" applyBorder="1" applyAlignment="1">
      <alignment horizontal="center" vertical="center"/>
    </xf>
    <xf numFmtId="0" fontId="49" fillId="21" borderId="59" xfId="0" applyFont="1" applyFill="1" applyBorder="1" applyAlignment="1">
      <alignment horizontal="center" vertical="center"/>
    </xf>
    <xf numFmtId="0" fontId="49" fillId="21" borderId="61" xfId="0" applyFont="1" applyFill="1" applyBorder="1" applyAlignment="1">
      <alignment horizontal="center" vertical="center"/>
    </xf>
    <xf numFmtId="0" fontId="49" fillId="32" borderId="53" xfId="0" applyFont="1" applyFill="1" applyBorder="1" applyAlignment="1">
      <alignment horizontal="center" vertical="center"/>
    </xf>
    <xf numFmtId="0" fontId="49" fillId="32" borderId="45" xfId="0" applyFont="1" applyFill="1" applyBorder="1" applyAlignment="1">
      <alignment horizontal="center" vertical="center"/>
    </xf>
    <xf numFmtId="0" fontId="49" fillId="32" borderId="45" xfId="0" applyFont="1" applyFill="1" applyBorder="1" applyAlignment="1">
      <alignment horizontal="center" vertical="center" wrapText="1"/>
    </xf>
    <xf numFmtId="0" fontId="49" fillId="32" borderId="45" xfId="7" applyFont="1" applyFill="1" applyBorder="1" applyAlignment="1">
      <alignment horizontal="center" vertical="center" wrapText="1"/>
    </xf>
    <xf numFmtId="171" fontId="49" fillId="32" borderId="45" xfId="0" applyNumberFormat="1" applyFont="1" applyFill="1" applyBorder="1" applyAlignment="1">
      <alignment horizontal="center" vertical="center"/>
    </xf>
    <xf numFmtId="0" fontId="49" fillId="32" borderId="59" xfId="0" applyFont="1" applyFill="1" applyBorder="1" applyAlignment="1">
      <alignment horizontal="center" vertical="center"/>
    </xf>
    <xf numFmtId="0" fontId="49" fillId="32" borderId="55" xfId="0" applyFont="1" applyFill="1" applyBorder="1" applyAlignment="1">
      <alignment horizontal="center" vertical="center"/>
    </xf>
    <xf numFmtId="0" fontId="49" fillId="32" borderId="47" xfId="0" applyFont="1" applyFill="1" applyBorder="1" applyAlignment="1">
      <alignment horizontal="center" vertical="center"/>
    </xf>
    <xf numFmtId="0" fontId="49" fillId="32" borderId="47" xfId="0" applyFont="1" applyFill="1" applyBorder="1" applyAlignment="1">
      <alignment horizontal="center" vertical="center" wrapText="1"/>
    </xf>
    <xf numFmtId="0" fontId="49" fillId="32" borderId="47" xfId="7" applyFont="1" applyFill="1" applyBorder="1" applyAlignment="1">
      <alignment horizontal="center" vertical="center" wrapText="1"/>
    </xf>
    <xf numFmtId="171" fontId="49" fillId="32" borderId="47" xfId="0" applyNumberFormat="1" applyFont="1" applyFill="1" applyBorder="1" applyAlignment="1">
      <alignment horizontal="center" vertical="center"/>
    </xf>
    <xf numFmtId="0" fontId="49" fillId="32" borderId="61" xfId="0" applyFont="1" applyFill="1" applyBorder="1" applyAlignment="1">
      <alignment horizontal="center" vertical="center"/>
    </xf>
    <xf numFmtId="0" fontId="49" fillId="32" borderId="45" xfId="0" applyFont="1" applyFill="1" applyBorder="1" applyAlignment="1">
      <alignment vertical="center" wrapText="1"/>
    </xf>
    <xf numFmtId="0" fontId="49" fillId="32" borderId="47" xfId="0" applyFont="1" applyFill="1" applyBorder="1" applyAlignment="1">
      <alignment vertical="center" wrapText="1"/>
    </xf>
    <xf numFmtId="0" fontId="49" fillId="29" borderId="45" xfId="0" applyFont="1" applyFill="1" applyBorder="1" applyAlignment="1">
      <alignment horizontal="center" vertical="center" wrapText="1"/>
    </xf>
    <xf numFmtId="0" fontId="49" fillId="29" borderId="45" xfId="7" applyFont="1" applyFill="1" applyBorder="1" applyAlignment="1">
      <alignment horizontal="center" vertical="center" wrapText="1"/>
    </xf>
    <xf numFmtId="171" fontId="49" fillId="29" borderId="45" xfId="0" applyNumberFormat="1" applyFont="1" applyFill="1" applyBorder="1" applyAlignment="1">
      <alignment horizontal="center" vertical="center"/>
    </xf>
    <xf numFmtId="0" fontId="49" fillId="29" borderId="47" xfId="0" applyFont="1" applyFill="1" applyBorder="1" applyAlignment="1">
      <alignment horizontal="center" vertical="center" wrapText="1"/>
    </xf>
    <xf numFmtId="0" fontId="49" fillId="29" borderId="47" xfId="7" applyFont="1" applyFill="1" applyBorder="1" applyAlignment="1">
      <alignment horizontal="center" vertical="center" wrapText="1"/>
    </xf>
    <xf numFmtId="171" fontId="49" fillId="29" borderId="47" xfId="0" applyNumberFormat="1" applyFont="1" applyFill="1" applyBorder="1" applyAlignment="1">
      <alignment horizontal="center" vertical="center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11</xdr:col>
      <xdr:colOff>903111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80150" y="0"/>
          <a:ext cx="1098961" cy="4811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tabSelected="1" zoomScale="90" zoomScaleNormal="90" zoomScaleSheetLayoutView="80" workbookViewId="0">
      <pane xSplit="6" ySplit="7" topLeftCell="G9" activePane="bottomRight" state="frozen"/>
      <selection pane="topRight" activeCell="G1" sqref="G1"/>
      <selection pane="bottomLeft" activeCell="A8" sqref="A8"/>
      <selection pane="bottomRight" activeCell="H25" sqref="H25"/>
    </sheetView>
  </sheetViews>
  <sheetFormatPr defaultRowHeight="14.5" x14ac:dyDescent="0.35"/>
  <cols>
    <col min="1" max="1" width="46.1796875" bestFit="1" customWidth="1"/>
    <col min="2" max="2" width="9.7265625" customWidth="1"/>
    <col min="3" max="3" width="6.81640625" style="1" customWidth="1"/>
    <col min="4" max="4" width="10.26953125" bestFit="1" customWidth="1"/>
    <col min="6" max="6" width="10.1796875" customWidth="1"/>
    <col min="7" max="7" width="14.90625" bestFit="1" customWidth="1"/>
    <col min="8" max="8" width="14" customWidth="1"/>
    <col min="9" max="9" width="12.1796875" bestFit="1" customWidth="1"/>
    <col min="10" max="10" width="13.81640625" customWidth="1"/>
    <col min="11" max="11" width="13" customWidth="1"/>
    <col min="12" max="12" width="13.54296875" customWidth="1"/>
    <col min="13" max="13" width="8.7265625" customWidth="1"/>
    <col min="14" max="14" width="6.453125" hidden="1" customWidth="1"/>
    <col min="15" max="15" width="5.1796875" hidden="1" customWidth="1"/>
  </cols>
  <sheetData>
    <row r="1" spans="1:15" s="10" customFormat="1" ht="37" customHeight="1" x14ac:dyDescent="0.35">
      <c r="A1" s="339" t="s">
        <v>52</v>
      </c>
      <c r="B1" s="340"/>
      <c r="C1" s="340"/>
      <c r="D1" s="340"/>
      <c r="E1" s="340"/>
      <c r="F1" s="340"/>
      <c r="G1" s="341"/>
      <c r="H1" s="341"/>
      <c r="I1" s="341"/>
      <c r="J1" s="341"/>
      <c r="K1" s="341"/>
      <c r="L1" s="342"/>
    </row>
    <row r="2" spans="1:15" s="13" customFormat="1" ht="12" x14ac:dyDescent="0.35">
      <c r="A2" s="117" t="s">
        <v>48</v>
      </c>
      <c r="B2" s="331" t="s">
        <v>49</v>
      </c>
      <c r="C2" s="332"/>
      <c r="D2" s="332"/>
      <c r="E2" s="332"/>
      <c r="F2" s="332"/>
      <c r="G2" s="114"/>
      <c r="H2" s="114"/>
      <c r="I2" s="114"/>
      <c r="J2" s="114"/>
      <c r="K2" s="114"/>
      <c r="L2" s="115"/>
      <c r="N2" s="142" t="s">
        <v>392</v>
      </c>
      <c r="O2" s="142" t="s">
        <v>393</v>
      </c>
    </row>
    <row r="3" spans="1:15" s="13" customFormat="1" ht="12" x14ac:dyDescent="0.35">
      <c r="A3" s="118" t="s">
        <v>50</v>
      </c>
      <c r="B3" s="333">
        <v>390</v>
      </c>
      <c r="C3" s="334"/>
      <c r="D3" s="334"/>
      <c r="E3" s="334"/>
      <c r="F3" s="335"/>
      <c r="G3" s="114"/>
      <c r="H3" s="114"/>
      <c r="I3" s="114"/>
      <c r="J3" s="114"/>
      <c r="K3" s="114"/>
      <c r="L3" s="115"/>
      <c r="N3" s="141">
        <v>45894</v>
      </c>
      <c r="O3" s="141">
        <v>45870</v>
      </c>
    </row>
    <row r="4" spans="1:15" s="13" customFormat="1" ht="12" x14ac:dyDescent="0.35">
      <c r="A4" s="116" t="s">
        <v>51</v>
      </c>
      <c r="B4" s="336">
        <v>45694</v>
      </c>
      <c r="C4" s="337"/>
      <c r="D4" s="337"/>
      <c r="E4" s="337"/>
      <c r="F4" s="338"/>
      <c r="G4" s="114"/>
      <c r="H4" s="114"/>
      <c r="I4" s="114"/>
      <c r="J4" s="114"/>
      <c r="K4" s="114"/>
      <c r="L4" s="115"/>
      <c r="N4" s="141">
        <f>N3+5</f>
        <v>45899</v>
      </c>
      <c r="O4" s="141">
        <v>45900</v>
      </c>
    </row>
    <row r="5" spans="1:15" s="13" customFormat="1" ht="12" x14ac:dyDescent="0.35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1" t="s">
        <v>401</v>
      </c>
      <c r="L5" s="162" t="s">
        <v>402</v>
      </c>
    </row>
    <row r="6" spans="1:15" s="13" customFormat="1" ht="12" x14ac:dyDescent="0.35">
      <c r="A6" s="116" t="s">
        <v>10</v>
      </c>
      <c r="B6" s="14">
        <v>45898</v>
      </c>
      <c r="C6" s="12"/>
      <c r="D6" s="12"/>
      <c r="E6" s="12"/>
      <c r="F6" s="120"/>
      <c r="G6" s="114"/>
      <c r="H6" s="114"/>
      <c r="I6" s="114"/>
      <c r="J6" s="114"/>
      <c r="K6" s="163">
        <f>N3</f>
        <v>45894</v>
      </c>
      <c r="L6" s="162">
        <v>45870</v>
      </c>
    </row>
    <row r="7" spans="1:15" s="13" customFormat="1" ht="12" x14ac:dyDescent="0.35">
      <c r="A7" s="117"/>
      <c r="B7" s="211"/>
      <c r="C7" s="212"/>
      <c r="D7" s="212"/>
      <c r="E7" s="212"/>
      <c r="F7" s="213"/>
      <c r="G7" s="114"/>
      <c r="H7" s="114"/>
      <c r="I7" s="114"/>
      <c r="J7" s="114"/>
      <c r="K7" s="214">
        <f>N4</f>
        <v>45899</v>
      </c>
      <c r="L7" s="215">
        <f>L6+30</f>
        <v>45900</v>
      </c>
    </row>
    <row r="8" spans="1:15" s="2" customFormat="1" ht="29" x14ac:dyDescent="0.35">
      <c r="A8" s="216" t="s">
        <v>0</v>
      </c>
      <c r="B8" s="216" t="s">
        <v>9</v>
      </c>
      <c r="C8" s="216" t="s">
        <v>3</v>
      </c>
      <c r="D8" s="216" t="s">
        <v>7</v>
      </c>
      <c r="E8" s="216" t="s">
        <v>8</v>
      </c>
      <c r="F8" s="217" t="s">
        <v>59</v>
      </c>
      <c r="G8" s="217" t="s">
        <v>58</v>
      </c>
      <c r="H8" s="217" t="s">
        <v>57</v>
      </c>
      <c r="I8" s="217" t="s">
        <v>61</v>
      </c>
      <c r="J8" s="217" t="s">
        <v>62</v>
      </c>
      <c r="K8" s="217" t="s">
        <v>406</v>
      </c>
      <c r="L8" s="217" t="s">
        <v>407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x14ac:dyDescent="0.35">
      <c r="A10" s="218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x14ac:dyDescent="0.35">
      <c r="A11" s="166" t="s">
        <v>404</v>
      </c>
      <c r="B11" s="8">
        <v>1033</v>
      </c>
      <c r="C11" s="8" t="s">
        <v>5</v>
      </c>
      <c r="D11" s="6">
        <f>'Construction Status'!S4</f>
        <v>945.23</v>
      </c>
      <c r="E11" s="6">
        <f>B11-D11</f>
        <v>87.769999999999982</v>
      </c>
      <c r="F11" s="165">
        <v>0.01</v>
      </c>
      <c r="G11" s="113">
        <f>F11*H11</f>
        <v>9.1503388189738636E-3</v>
      </c>
      <c r="H11" s="18">
        <f>D11/B11</f>
        <v>0.91503388189738633</v>
      </c>
      <c r="I11" s="7">
        <v>1</v>
      </c>
      <c r="J11" s="7">
        <v>5</v>
      </c>
      <c r="K11" s="7">
        <v>3</v>
      </c>
      <c r="L11" s="7" cm="1">
        <f t="array" ref="L11">SUMPRODUCT(('Construction Status'!$U$4:$DF$120)*('Construction Status'!$D$4:$D$120='Construction DASHBOARD'!A11)*('Construction Status'!$U$2:$DF$2&gt;='Construction DASHBOARD'!$O$3)*('Construction Status'!$U$2:$DF$2&lt;='Construction DASHBOARD'!$O$4))</f>
        <v>0</v>
      </c>
      <c r="N11" s="159">
        <v>45894</v>
      </c>
      <c r="O11" s="3">
        <v>1</v>
      </c>
    </row>
    <row r="12" spans="1:15" s="3" customFormat="1" x14ac:dyDescent="0.35">
      <c r="A12" s="166" t="s">
        <v>405</v>
      </c>
      <c r="B12" s="8">
        <v>1033</v>
      </c>
      <c r="C12" s="8" t="s">
        <v>5</v>
      </c>
      <c r="D12" s="6">
        <f>'Construction Status'!S5</f>
        <v>938.82999999999993</v>
      </c>
      <c r="E12" s="6">
        <f>B12-D12</f>
        <v>94.170000000000073</v>
      </c>
      <c r="F12" s="165">
        <v>0.01</v>
      </c>
      <c r="G12" s="113">
        <f>F12*H12</f>
        <v>9.0883833494675697E-3</v>
      </c>
      <c r="H12" s="18">
        <f>D12/B12</f>
        <v>0.90883833494675692</v>
      </c>
      <c r="I12" s="7">
        <f>SUMIF('Construction Status'!$U$2:$DF$2,'Construction DASHBOARD'!$B$6,'Construction Status'!U5:DF5)</f>
        <v>0</v>
      </c>
      <c r="J12" s="7">
        <v>0</v>
      </c>
      <c r="K12" s="7" cm="1">
        <f t="array" ref="K12">SUMPRODUCT(('Construction Status'!$U$4:$DF$120)*('Construction Status'!$D$4:$D$120='Construction DASHBOARD'!A12)*('Construction Status'!$U$2:$DF$2&gt;='Construction DASHBOARD'!$N$3)*('Construction Status'!$U$2:$DF$2&lt;='Construction DASHBOARD'!$N$4))</f>
        <v>0</v>
      </c>
      <c r="L12" s="7" cm="1">
        <f t="array" ref="L12">SUMPRODUCT(('Construction Status'!$U$4:$DF$120)*('Construction Status'!$D$4:$D$120='Construction DASHBOARD'!A12)*('Construction Status'!$U$2:$DF$2&gt;='Construction DASHBOARD'!$O$3)*('Construction Status'!$U$2:$DF$2&lt;='Construction DASHBOARD'!$O$4))</f>
        <v>0</v>
      </c>
      <c r="N12" s="159">
        <v>45895</v>
      </c>
    </row>
    <row r="13" spans="1:15" s="3" customFormat="1" x14ac:dyDescent="0.35">
      <c r="A13" s="218" t="s">
        <v>19</v>
      </c>
      <c r="B13" s="8"/>
      <c r="C13" s="8"/>
      <c r="D13" s="6"/>
      <c r="E13" s="6"/>
      <c r="F13" s="164"/>
      <c r="G13" s="18"/>
      <c r="H13" s="18"/>
      <c r="I13" s="7"/>
      <c r="J13" s="7"/>
      <c r="K13" s="7"/>
      <c r="L13" s="7"/>
      <c r="N13" s="159">
        <v>45896</v>
      </c>
      <c r="O13" s="3">
        <v>1</v>
      </c>
    </row>
    <row r="14" spans="1:15" s="3" customFormat="1" x14ac:dyDescent="0.35">
      <c r="A14" s="219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24" si="0">B14-D14</f>
        <v>0</v>
      </c>
      <c r="F14" s="165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>
        <v>0</v>
      </c>
      <c r="K14" s="7" cm="1">
        <f t="array" ref="K14">SUMPRODUCT(('Construction Status'!$U$4:$DF$120)*('Construction Status'!$D$4:$D$120='Construction DASHBOARD'!A14)*('Construction Status'!$U$2:$DF$2&gt;='Construction DASHBOARD'!$N$3)*('Construction Status'!$U$2:$DF$2&lt;='Construction DASHBOARD'!$N$4))</f>
        <v>0</v>
      </c>
      <c r="L14" s="7" cm="1">
        <f t="array" ref="L14">SUMPRODUCT(('Construction Status'!$U$4:$DF$120)*('Construction Status'!$D$4:$D$120='Construction DASHBOARD'!A14)*('Construction Status'!$U$2:$DF$2&gt;='Construction DASHBOARD'!$O$3)*('Construction Status'!$U$2:$DF$2&lt;='Construction DASHBOARD'!$O$4))</f>
        <v>0</v>
      </c>
      <c r="N14" s="159">
        <v>45897</v>
      </c>
      <c r="O14" s="3">
        <v>1</v>
      </c>
    </row>
    <row r="15" spans="1:15" s="3" customFormat="1" x14ac:dyDescent="0.35">
      <c r="A15" s="219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5">
        <v>7.4999999999999997E-3</v>
      </c>
      <c r="G15" s="113">
        <f t="shared" ref="G15:G26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>
        <v>0</v>
      </c>
      <c r="K15" s="7" cm="1">
        <f t="array" ref="K15">SUMPRODUCT(('Construction Status'!$U$4:$DF$120)*('Construction Status'!$D$4:$D$120='Construction DASHBOARD'!A15)*('Construction Status'!$U$2:$DF$2&gt;='Construction DASHBOARD'!$N$3)*('Construction Status'!$U$2:$DF$2&lt;='Construction DASHBOARD'!$N$4))</f>
        <v>0</v>
      </c>
      <c r="L15" s="7" cm="1">
        <f t="array" ref="L15">SUMPRODUCT(('Construction Status'!$U$4:$DF$120)*('Construction Status'!$D$4:$D$120='Construction DASHBOARD'!A15)*('Construction Status'!$U$2:$DF$2&gt;='Construction DASHBOARD'!$O$3)*('Construction Status'!$U$2:$DF$2&lt;='Construction DASHBOARD'!$O$4))</f>
        <v>0</v>
      </c>
      <c r="N15" s="159">
        <v>45898</v>
      </c>
      <c r="O15" s="3">
        <v>1</v>
      </c>
    </row>
    <row r="16" spans="1:15" s="3" customFormat="1" x14ac:dyDescent="0.35">
      <c r="A16" s="219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5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>
        <v>0</v>
      </c>
      <c r="K16" s="7" cm="1">
        <f t="array" ref="K16">SUMPRODUCT(('Construction Status'!$U$4:$DF$120)*('Construction Status'!$D$4:$D$120='Construction DASHBOARD'!A16)*('Construction Status'!$U$2:$DF$2&gt;='Construction DASHBOARD'!$N$3)*('Construction Status'!$U$2:$DF$2&lt;='Construction DASHBOARD'!$N$4))</f>
        <v>0</v>
      </c>
      <c r="L16" s="7" cm="1">
        <f t="array" ref="L16">SUMPRODUCT(('Construction Status'!$U$4:$DF$120)*('Construction Status'!$D$4:$D$120='Construction DASHBOARD'!A16)*('Construction Status'!$U$2:$DF$2&gt;='Construction DASHBOARD'!$O$3)*('Construction Status'!$U$2:$DF$2&lt;='Construction DASHBOARD'!$O$4))</f>
        <v>0</v>
      </c>
      <c r="N16" s="159">
        <v>45899</v>
      </c>
      <c r="O16" s="3">
        <v>2</v>
      </c>
    </row>
    <row r="17" spans="1:15" s="3" customFormat="1" x14ac:dyDescent="0.35">
      <c r="A17" s="219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5">
        <v>2.5000000000000001E-3</v>
      </c>
      <c r="G17" s="113">
        <f t="shared" si="1"/>
        <v>2.5000000000000001E-3</v>
      </c>
      <c r="H17" s="18">
        <f t="shared" ref="H17:H26" si="2">D17/B17</f>
        <v>1</v>
      </c>
      <c r="I17" s="7">
        <f>SUMIF('Construction Status'!$U$2:$DF$2,'Construction DASHBOARD'!$B$6,'Construction Status'!U9:DF9)</f>
        <v>0</v>
      </c>
      <c r="J17" s="7">
        <v>0</v>
      </c>
      <c r="K17" s="7" cm="1">
        <f t="array" ref="K17">SUMPRODUCT(('Construction Status'!$U$4:$DF$120)*('Construction Status'!$D$4:$D$120='Construction DASHBOARD'!A17)*('Construction Status'!$U$2:$DF$2&gt;='Construction DASHBOARD'!$N$3)*('Construction Status'!$U$2:$DF$2&lt;='Construction DASHBOARD'!$N$4))</f>
        <v>0</v>
      </c>
      <c r="L17" s="7" cm="1">
        <f t="array" ref="L17">SUMPRODUCT(('Construction Status'!$U$4:$DF$120)*('Construction Status'!$D$4:$D$120='Construction DASHBOARD'!A17)*('Construction Status'!$U$2:$DF$2&gt;='Construction DASHBOARD'!$O$3)*('Construction Status'!$U$2:$DF$2&lt;='Construction DASHBOARD'!$O$4))</f>
        <v>0</v>
      </c>
      <c r="N17" s="159">
        <v>45900</v>
      </c>
      <c r="O17" s="3">
        <v>2</v>
      </c>
    </row>
    <row r="18" spans="1:15" s="3" customFormat="1" x14ac:dyDescent="0.35">
      <c r="A18" s="219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5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0</v>
      </c>
      <c r="J18" s="7">
        <v>0</v>
      </c>
      <c r="K18" s="7" cm="1">
        <f t="array" ref="K18">SUMPRODUCT(('Construction Status'!$U$4:$DF$120)*('Construction Status'!$D$4:$D$120='Construction DASHBOARD'!A18)*('Construction Status'!$U$2:$DF$2&gt;='Construction DASHBOARD'!$N$3)*('Construction Status'!$U$2:$DF$2&lt;='Construction DASHBOARD'!$N$4))</f>
        <v>0</v>
      </c>
      <c r="L18" s="7" cm="1">
        <f t="array" ref="L18">SUMPRODUCT(('Construction Status'!$U$4:$DF$120)*('Construction Status'!$D$4:$D$120='Construction DASHBOARD'!A18)*('Construction Status'!$U$2:$DF$2&gt;='Construction DASHBOARD'!$O$3)*('Construction Status'!$U$2:$DF$2&lt;='Construction DASHBOARD'!$O$4))</f>
        <v>0</v>
      </c>
      <c r="N18" s="159"/>
      <c r="O18" s="3">
        <v>1</v>
      </c>
    </row>
    <row r="19" spans="1:15" s="3" customFormat="1" ht="16" x14ac:dyDescent="0.35">
      <c r="A19" s="68" t="s">
        <v>815</v>
      </c>
      <c r="B19" s="8">
        <f>'Construction Status'!K11</f>
        <v>180</v>
      </c>
      <c r="C19" s="8" t="s">
        <v>11</v>
      </c>
      <c r="D19" s="6">
        <f>'Construction Status'!Q11</f>
        <v>180</v>
      </c>
      <c r="E19" s="6">
        <f t="shared" si="0"/>
        <v>0</v>
      </c>
      <c r="F19" s="165">
        <v>2E-3</v>
      </c>
      <c r="G19" s="113">
        <f t="shared" si="1"/>
        <v>2E-3</v>
      </c>
      <c r="H19" s="18">
        <f t="shared" si="2"/>
        <v>1</v>
      </c>
      <c r="I19" s="7">
        <f>SUMIF('Construction Status'!$U$2:$DF$2,'Construction DASHBOARD'!$B$6,'Construction Status'!U11:DF11)</f>
        <v>0</v>
      </c>
      <c r="J19" s="7">
        <v>0</v>
      </c>
      <c r="K19" s="7" cm="1">
        <f t="array" ref="K19">SUMPRODUCT(('Construction Status'!$U$4:$DF$120)*('Construction Status'!$D$4:$D$120='Construction DASHBOARD'!A19)*('Construction Status'!$U$2:$DF$2&gt;='Construction DASHBOARD'!$N$3)*('Construction Status'!$U$2:$DF$2&lt;='Construction DASHBOARD'!$N$4))</f>
        <v>0</v>
      </c>
      <c r="L19" s="7" cm="1">
        <f t="array" ref="L19">SUMPRODUCT(('Construction Status'!$U$4:$DF$120)*('Construction Status'!$D$4:$D$120='Construction DASHBOARD'!A19)*('Construction Status'!$U$2:$DF$2&gt;='Construction DASHBOARD'!$O$3)*('Construction Status'!$U$2:$DF$2&lt;='Construction DASHBOARD'!$O$4))</f>
        <v>0</v>
      </c>
      <c r="N19" s="159"/>
      <c r="O19" s="3">
        <v>1</v>
      </c>
    </row>
    <row r="20" spans="1:15" s="3" customFormat="1" x14ac:dyDescent="0.35">
      <c r="A20" s="218" t="s">
        <v>6</v>
      </c>
      <c r="B20" s="8"/>
      <c r="C20" s="8"/>
      <c r="D20" s="6"/>
      <c r="E20" s="6"/>
      <c r="F20" s="164"/>
      <c r="G20" s="113"/>
      <c r="H20" s="18"/>
      <c r="I20" s="7"/>
      <c r="J20" s="7"/>
      <c r="K20" s="7"/>
      <c r="L20" s="7"/>
      <c r="N20" s="159"/>
    </row>
    <row r="21" spans="1:15" s="3" customFormat="1" x14ac:dyDescent="0.35">
      <c r="A21" s="219" t="s">
        <v>20</v>
      </c>
      <c r="B21" s="8">
        <v>116500</v>
      </c>
      <c r="C21" s="8" t="s">
        <v>315</v>
      </c>
      <c r="D21" s="6">
        <f>'Construction Status'!Q14</f>
        <v>11985</v>
      </c>
      <c r="E21" s="6">
        <f t="shared" si="0"/>
        <v>104515</v>
      </c>
      <c r="F21" s="165">
        <v>0.21</v>
      </c>
      <c r="G21" s="113">
        <f t="shared" si="1"/>
        <v>2.1603862660944204E-2</v>
      </c>
      <c r="H21" s="18">
        <f t="shared" si="2"/>
        <v>0.10287553648068669</v>
      </c>
      <c r="I21" s="7">
        <v>1127</v>
      </c>
      <c r="J21" s="7">
        <v>1000</v>
      </c>
      <c r="K21" s="7">
        <v>3404</v>
      </c>
      <c r="L21" s="7">
        <v>11023</v>
      </c>
      <c r="N21" s="159"/>
    </row>
    <row r="22" spans="1:15" x14ac:dyDescent="0.35">
      <c r="A22" s="219" t="s">
        <v>21</v>
      </c>
      <c r="B22" s="8">
        <v>24</v>
      </c>
      <c r="C22" s="8" t="s">
        <v>2</v>
      </c>
      <c r="D22" s="6">
        <v>0</v>
      </c>
      <c r="E22" s="6">
        <f t="shared" si="0"/>
        <v>24</v>
      </c>
      <c r="F22" s="165">
        <v>0.05</v>
      </c>
      <c r="G22" s="113">
        <f t="shared" si="1"/>
        <v>0</v>
      </c>
      <c r="H22" s="18">
        <f t="shared" si="2"/>
        <v>0</v>
      </c>
      <c r="I22" s="8"/>
      <c r="J22" s="8"/>
      <c r="K22" s="7" cm="1">
        <f t="array" ref="K22">SUMPRODUCT(('Construction Status'!$U$4:$DF$120)*('Construction Status'!$D$4:$D$120='Construction DASHBOARD'!A22)*('Construction Status'!$U$2:$DF$2&gt;='Construction DASHBOARD'!$N$3)*('Construction Status'!$U$2:$DF$2&lt;='Construction DASHBOARD'!$N$4))</f>
        <v>0</v>
      </c>
      <c r="L22" s="7" cm="1">
        <f t="array" ref="L22">SUMPRODUCT(('Construction Status'!$U$4:$DF$120)*('Construction Status'!$D$4:$D$120='Construction DASHBOARD'!A22)*('Construction Status'!$U$2:$DF$2&gt;='Construction DASHBOARD'!$O$3)*('Construction Status'!$U$2:$DF$2&lt;='Construction DASHBOARD'!$O$4))</f>
        <v>0</v>
      </c>
      <c r="N22" s="159"/>
      <c r="O22" s="3">
        <v>4</v>
      </c>
    </row>
    <row r="23" spans="1:15" x14ac:dyDescent="0.35">
      <c r="A23" s="219" t="s">
        <v>22</v>
      </c>
      <c r="B23" s="8">
        <v>24</v>
      </c>
      <c r="C23" s="8" t="s">
        <v>2</v>
      </c>
      <c r="D23" s="6">
        <v>0</v>
      </c>
      <c r="E23" s="6">
        <f t="shared" si="0"/>
        <v>24</v>
      </c>
      <c r="F23" s="165">
        <v>0.05</v>
      </c>
      <c r="G23" s="113">
        <f t="shared" si="1"/>
        <v>0</v>
      </c>
      <c r="H23" s="18">
        <f t="shared" si="2"/>
        <v>0</v>
      </c>
      <c r="I23" s="8"/>
      <c r="J23" s="8"/>
      <c r="K23" s="7" cm="1">
        <f t="array" ref="K23">SUMPRODUCT(('Construction Status'!$U$4:$DF$120)*('Construction Status'!$D$4:$D$120='Construction DASHBOARD'!A23)*('Construction Status'!$U$2:$DF$2&gt;='Construction DASHBOARD'!$N$3)*('Construction Status'!$U$2:$DF$2&lt;='Construction DASHBOARD'!$N$4))</f>
        <v>0</v>
      </c>
      <c r="L23" s="7" cm="1">
        <f t="array" ref="L23">SUMPRODUCT(('Construction Status'!$U$4:$DF$120)*('Construction Status'!$D$4:$D$120='Construction DASHBOARD'!A23)*('Construction Status'!$U$2:$DF$2&gt;='Construction DASHBOARD'!$O$3)*('Construction Status'!$U$2:$DF$2&lt;='Construction DASHBOARD'!$O$4))</f>
        <v>0</v>
      </c>
      <c r="N23" s="159"/>
      <c r="O23" s="3">
        <v>4</v>
      </c>
    </row>
    <row r="24" spans="1:15" x14ac:dyDescent="0.35">
      <c r="A24" s="219" t="s">
        <v>133</v>
      </c>
      <c r="B24" s="8">
        <v>1</v>
      </c>
      <c r="C24" s="8" t="s">
        <v>11</v>
      </c>
      <c r="D24" s="6">
        <v>0.2</v>
      </c>
      <c r="E24" s="6">
        <f t="shared" si="0"/>
        <v>0.8</v>
      </c>
      <c r="F24" s="165">
        <v>0.06</v>
      </c>
      <c r="G24" s="113">
        <f t="shared" si="1"/>
        <v>1.2E-2</v>
      </c>
      <c r="H24" s="18">
        <f t="shared" si="2"/>
        <v>0.2</v>
      </c>
      <c r="I24" s="8"/>
      <c r="J24" s="8"/>
      <c r="K24" s="7" cm="1">
        <f t="array" ref="K24">SUMPRODUCT(('Construction Status'!$U$4:$DF$120)*('Construction Status'!$D$4:$D$120='Construction DASHBOARD'!A24)*('Construction Status'!$U$2:$DF$2&gt;='Construction DASHBOARD'!$N$3)*('Construction Status'!$U$2:$DF$2&lt;='Construction DASHBOARD'!$N$4))</f>
        <v>0</v>
      </c>
      <c r="L24" s="7" cm="1">
        <f t="array" ref="L24">SUMPRODUCT(('Construction Status'!$U$4:$DF$120)*('Construction Status'!$D$4:$D$120='Construction DASHBOARD'!A24)*('Construction Status'!$U$2:$DF$2&gt;='Construction DASHBOARD'!$O$3)*('Construction Status'!$U$2:$DF$2&lt;='Construction DASHBOARD'!$O$4))</f>
        <v>0</v>
      </c>
      <c r="N24" s="159"/>
      <c r="O24" s="3">
        <v>4</v>
      </c>
    </row>
    <row r="25" spans="1:15" ht="17.149999999999999" customHeight="1" x14ac:dyDescent="0.35">
      <c r="A25" s="219" t="s">
        <v>23</v>
      </c>
      <c r="B25" s="8">
        <v>1</v>
      </c>
      <c r="C25" s="8" t="s">
        <v>204</v>
      </c>
      <c r="D25" s="6">
        <f>'Construction Status'!Q17</f>
        <v>0</v>
      </c>
      <c r="E25" s="9">
        <v>1</v>
      </c>
      <c r="F25" s="165">
        <v>0.02</v>
      </c>
      <c r="G25" s="113"/>
      <c r="H25" s="18"/>
      <c r="I25" s="8"/>
      <c r="J25" s="8"/>
      <c r="K25" s="7" cm="1">
        <f t="array" ref="K25">SUMPRODUCT(('Construction Status'!$U$4:$DF$120)*('Construction Status'!$D$4:$D$120='Construction DASHBOARD'!A25)*('Construction Status'!$U$2:$DF$2&gt;='Construction DASHBOARD'!$N$3)*('Construction Status'!$U$2:$DF$2&lt;='Construction DASHBOARD'!$N$4))</f>
        <v>0</v>
      </c>
      <c r="L25" s="7" cm="1">
        <f t="array" ref="L25">SUMPRODUCT(('Construction Status'!$U$4:$DF$120)*('Construction Status'!$D$4:$D$120='Construction DASHBOARD'!A25)*('Construction Status'!$U$2:$DF$2&gt;='Construction DASHBOARD'!$O$3)*('Construction Status'!$U$2:$DF$2&lt;='Construction DASHBOARD'!$O$4))</f>
        <v>0</v>
      </c>
      <c r="N25" s="159"/>
      <c r="O25" s="3">
        <v>4</v>
      </c>
    </row>
    <row r="26" spans="1:15" ht="17.149999999999999" customHeight="1" x14ac:dyDescent="0.35">
      <c r="A26" s="219" t="s">
        <v>838</v>
      </c>
      <c r="B26" s="8">
        <v>21000</v>
      </c>
      <c r="C26" s="8" t="s">
        <v>831</v>
      </c>
      <c r="D26" s="6">
        <f>'Construction Status'!Q35</f>
        <v>5617</v>
      </c>
      <c r="E26" s="9"/>
      <c r="F26" s="165">
        <v>0.02</v>
      </c>
      <c r="G26" s="113">
        <f t="shared" si="1"/>
        <v>5.3495238095238101E-3</v>
      </c>
      <c r="H26" s="18">
        <f t="shared" si="2"/>
        <v>0.26747619047619048</v>
      </c>
      <c r="I26" s="8">
        <v>110</v>
      </c>
      <c r="J26" s="8">
        <v>500</v>
      </c>
      <c r="K26" s="7">
        <v>0</v>
      </c>
      <c r="L26" s="7">
        <v>3530</v>
      </c>
      <c r="N26" s="159"/>
      <c r="O26">
        <v>4</v>
      </c>
    </row>
    <row r="27" spans="1:15" x14ac:dyDescent="0.35">
      <c r="A27" s="218" t="s">
        <v>24</v>
      </c>
      <c r="B27" s="8"/>
      <c r="C27" s="8"/>
      <c r="D27" s="9"/>
      <c r="E27" s="9"/>
      <c r="F27" s="164"/>
      <c r="G27" s="19"/>
      <c r="H27" s="19"/>
      <c r="I27" s="9"/>
      <c r="J27" s="9"/>
      <c r="K27" s="9"/>
      <c r="L27" s="9"/>
      <c r="N27" s="159"/>
      <c r="O27">
        <v>6</v>
      </c>
    </row>
    <row r="28" spans="1:15" x14ac:dyDescent="0.35">
      <c r="A28" s="219" t="s">
        <v>25</v>
      </c>
      <c r="B28" s="8">
        <v>24</v>
      </c>
      <c r="C28" s="8" t="s">
        <v>2</v>
      </c>
      <c r="D28" s="9"/>
      <c r="E28" s="9"/>
      <c r="F28" s="165">
        <v>0.08</v>
      </c>
      <c r="G28" s="19"/>
      <c r="H28" s="19"/>
      <c r="I28" s="9"/>
      <c r="J28" s="9"/>
      <c r="K28" s="9"/>
      <c r="L28" s="9"/>
      <c r="N28" s="159"/>
      <c r="O28">
        <v>6</v>
      </c>
    </row>
    <row r="29" spans="1:15" x14ac:dyDescent="0.35">
      <c r="A29" s="219" t="s">
        <v>26</v>
      </c>
      <c r="B29" s="8">
        <v>24</v>
      </c>
      <c r="C29" s="8" t="s">
        <v>2</v>
      </c>
      <c r="D29" s="9"/>
      <c r="E29" s="9"/>
      <c r="F29" s="165">
        <v>0.06</v>
      </c>
      <c r="G29" s="19"/>
      <c r="H29" s="19"/>
      <c r="I29" s="9"/>
      <c r="J29" s="9"/>
      <c r="K29" s="9"/>
      <c r="L29" s="9"/>
      <c r="N29" s="159"/>
      <c r="O29">
        <v>6</v>
      </c>
    </row>
    <row r="30" spans="1:15" x14ac:dyDescent="0.35">
      <c r="A30" s="218" t="s">
        <v>14</v>
      </c>
      <c r="B30" s="9"/>
      <c r="C30" s="8"/>
      <c r="D30" s="9"/>
      <c r="E30" s="9"/>
      <c r="F30" s="164"/>
      <c r="G30" s="19"/>
      <c r="H30" s="19"/>
      <c r="I30" s="9"/>
      <c r="J30" s="9"/>
      <c r="K30" s="9"/>
      <c r="L30" s="9"/>
      <c r="N30" s="159"/>
      <c r="O30">
        <v>6</v>
      </c>
    </row>
    <row r="31" spans="1:15" x14ac:dyDescent="0.35">
      <c r="A31" s="219" t="s">
        <v>27</v>
      </c>
      <c r="B31" s="8">
        <v>1360</v>
      </c>
      <c r="C31" s="8" t="s">
        <v>17</v>
      </c>
      <c r="D31" s="9"/>
      <c r="E31" s="9"/>
      <c r="F31" s="165">
        <v>0.02</v>
      </c>
      <c r="G31" s="19"/>
      <c r="H31" s="19"/>
      <c r="I31" s="9"/>
      <c r="J31" s="9"/>
      <c r="K31" s="9"/>
      <c r="L31" s="9"/>
      <c r="N31" s="159"/>
      <c r="O31">
        <v>4</v>
      </c>
    </row>
    <row r="32" spans="1:15" x14ac:dyDescent="0.35">
      <c r="A32" s="219" t="s">
        <v>28</v>
      </c>
      <c r="B32" s="8">
        <v>1360</v>
      </c>
      <c r="C32" s="8" t="s">
        <v>17</v>
      </c>
      <c r="D32" s="9"/>
      <c r="E32" s="9"/>
      <c r="F32" s="165">
        <v>0.02</v>
      </c>
      <c r="G32" s="19"/>
      <c r="H32" s="19"/>
      <c r="I32" s="9"/>
      <c r="J32" s="9"/>
      <c r="K32" s="9"/>
      <c r="L32" s="9"/>
      <c r="N32" s="159"/>
    </row>
    <row r="33" spans="1:12" x14ac:dyDescent="0.35">
      <c r="A33" s="219" t="s">
        <v>46</v>
      </c>
      <c r="B33" s="8">
        <v>1360</v>
      </c>
      <c r="C33" s="8" t="s">
        <v>17</v>
      </c>
      <c r="D33" s="9"/>
      <c r="E33" s="9"/>
      <c r="F33" s="165">
        <v>0.03</v>
      </c>
      <c r="G33" s="19"/>
      <c r="H33" s="19"/>
      <c r="I33" s="9"/>
      <c r="J33" s="9"/>
      <c r="K33" s="9"/>
      <c r="L33" s="9"/>
    </row>
    <row r="34" spans="1:12" x14ac:dyDescent="0.35">
      <c r="A34" s="219" t="s">
        <v>29</v>
      </c>
      <c r="B34" s="8">
        <v>1360</v>
      </c>
      <c r="C34" s="8" t="s">
        <v>17</v>
      </c>
      <c r="D34" s="9"/>
      <c r="E34" s="9"/>
      <c r="F34" s="165">
        <v>2.5000000000000001E-2</v>
      </c>
      <c r="G34" s="19"/>
      <c r="H34" s="19"/>
      <c r="I34" s="9"/>
      <c r="J34" s="9"/>
      <c r="K34" s="9"/>
      <c r="L34" s="9"/>
    </row>
    <row r="35" spans="1:12" x14ac:dyDescent="0.35">
      <c r="A35" s="219" t="s">
        <v>55</v>
      </c>
      <c r="B35" s="8">
        <v>1360</v>
      </c>
      <c r="C35" s="8" t="s">
        <v>17</v>
      </c>
      <c r="D35" s="9"/>
      <c r="E35" s="9"/>
      <c r="F35" s="165">
        <v>0.04</v>
      </c>
      <c r="G35" s="19"/>
      <c r="H35" s="19"/>
      <c r="I35" s="9"/>
      <c r="J35" s="9"/>
      <c r="K35" s="9"/>
      <c r="L35" s="9"/>
    </row>
    <row r="36" spans="1:12" x14ac:dyDescent="0.35">
      <c r="A36" s="219" t="s">
        <v>56</v>
      </c>
      <c r="B36" s="8">
        <v>1360</v>
      </c>
      <c r="C36" s="8" t="s">
        <v>17</v>
      </c>
      <c r="D36" s="9"/>
      <c r="E36" s="9"/>
      <c r="F36" s="165">
        <v>0.02</v>
      </c>
      <c r="G36" s="19"/>
      <c r="H36" s="19"/>
      <c r="I36" s="9"/>
      <c r="J36" s="9"/>
      <c r="K36" s="9"/>
      <c r="L36" s="9"/>
    </row>
    <row r="37" spans="1:12" x14ac:dyDescent="0.35">
      <c r="A37" s="219" t="s">
        <v>47</v>
      </c>
      <c r="B37" s="8">
        <v>1360</v>
      </c>
      <c r="C37" s="8" t="s">
        <v>17</v>
      </c>
      <c r="D37" s="9"/>
      <c r="E37" s="9"/>
      <c r="F37" s="165">
        <v>0.02</v>
      </c>
      <c r="G37" s="19"/>
      <c r="H37" s="19"/>
      <c r="I37" s="9"/>
      <c r="J37" s="9"/>
      <c r="K37" s="9"/>
      <c r="L37" s="9"/>
    </row>
    <row r="38" spans="1:12" x14ac:dyDescent="0.35">
      <c r="A38" s="218" t="s">
        <v>15</v>
      </c>
      <c r="B38" s="9"/>
      <c r="C38" s="8"/>
      <c r="D38" s="9"/>
      <c r="E38" s="9"/>
      <c r="F38" s="164"/>
      <c r="G38" s="19"/>
      <c r="H38" s="19"/>
      <c r="I38" s="9"/>
      <c r="J38" s="9"/>
      <c r="K38" s="9"/>
      <c r="L38" s="9"/>
    </row>
    <row r="39" spans="1:12" x14ac:dyDescent="0.35">
      <c r="A39" s="219" t="s">
        <v>30</v>
      </c>
      <c r="B39" s="8">
        <v>24</v>
      </c>
      <c r="C39" s="8" t="s">
        <v>2</v>
      </c>
      <c r="D39" s="9"/>
      <c r="E39" s="9"/>
      <c r="F39" s="165">
        <v>0.02</v>
      </c>
      <c r="G39" s="19"/>
      <c r="H39" s="19"/>
      <c r="I39" s="9"/>
      <c r="J39" s="9"/>
      <c r="K39" s="9"/>
      <c r="L39" s="9"/>
    </row>
    <row r="40" spans="1:12" x14ac:dyDescent="0.35">
      <c r="A40" s="219" t="s">
        <v>31</v>
      </c>
      <c r="B40" s="8">
        <v>24</v>
      </c>
      <c r="C40" s="8" t="s">
        <v>2</v>
      </c>
      <c r="D40" s="9"/>
      <c r="E40" s="9"/>
      <c r="F40" s="165">
        <v>0.02</v>
      </c>
      <c r="G40" s="19"/>
      <c r="H40" s="19"/>
      <c r="I40" s="9"/>
      <c r="J40" s="9"/>
      <c r="K40" s="9"/>
      <c r="L40" s="9"/>
    </row>
    <row r="41" spans="1:12" x14ac:dyDescent="0.35">
      <c r="A41" s="219" t="s">
        <v>32</v>
      </c>
      <c r="B41" s="8">
        <v>24</v>
      </c>
      <c r="C41" s="8" t="s">
        <v>2</v>
      </c>
      <c r="D41" s="9"/>
      <c r="E41" s="9"/>
      <c r="F41" s="165">
        <v>0.04</v>
      </c>
      <c r="G41" s="19"/>
      <c r="H41" s="19"/>
      <c r="I41" s="9"/>
      <c r="J41" s="9"/>
      <c r="K41" s="9"/>
      <c r="L41" s="9"/>
    </row>
    <row r="42" spans="1:12" x14ac:dyDescent="0.35">
      <c r="A42" s="219" t="s">
        <v>33</v>
      </c>
      <c r="B42" s="8">
        <v>24</v>
      </c>
      <c r="C42" s="8" t="s">
        <v>2</v>
      </c>
      <c r="D42" s="9"/>
      <c r="E42" s="9"/>
      <c r="F42" s="165">
        <v>0.01</v>
      </c>
      <c r="G42" s="19"/>
      <c r="H42" s="19"/>
      <c r="I42" s="9"/>
      <c r="J42" s="9"/>
      <c r="K42" s="9"/>
      <c r="L42" s="9"/>
    </row>
    <row r="43" spans="1:12" x14ac:dyDescent="0.35">
      <c r="A43" s="219" t="s">
        <v>34</v>
      </c>
      <c r="B43" s="8">
        <v>24</v>
      </c>
      <c r="C43" s="8" t="s">
        <v>2</v>
      </c>
      <c r="D43" s="9"/>
      <c r="E43" s="9"/>
      <c r="F43" s="165">
        <v>0.01</v>
      </c>
      <c r="G43" s="19"/>
      <c r="H43" s="19"/>
      <c r="I43" s="9"/>
      <c r="J43" s="9"/>
      <c r="K43" s="9"/>
      <c r="L43" s="9"/>
    </row>
    <row r="44" spans="1:12" x14ac:dyDescent="0.35">
      <c r="A44" s="219" t="s">
        <v>16</v>
      </c>
      <c r="B44" s="8">
        <v>24</v>
      </c>
      <c r="C44" s="8" t="s">
        <v>2</v>
      </c>
      <c r="D44" s="9"/>
      <c r="E44" s="9"/>
      <c r="F44" s="165">
        <v>0.02</v>
      </c>
      <c r="G44" s="19"/>
      <c r="H44" s="19"/>
      <c r="I44" s="9"/>
      <c r="J44" s="9"/>
      <c r="K44" s="9"/>
      <c r="L44" s="9"/>
    </row>
    <row r="45" spans="1:12" x14ac:dyDescent="0.35">
      <c r="A45" s="219" t="s">
        <v>35</v>
      </c>
      <c r="B45" s="8">
        <v>24</v>
      </c>
      <c r="C45" s="8" t="s">
        <v>2</v>
      </c>
      <c r="D45" s="9"/>
      <c r="E45" s="9"/>
      <c r="F45" s="165">
        <v>0.01</v>
      </c>
      <c r="G45" s="19"/>
      <c r="H45" s="19"/>
      <c r="I45" s="9"/>
      <c r="J45" s="9"/>
      <c r="K45" s="9"/>
      <c r="L45" s="9"/>
    </row>
    <row r="46" spans="1:12" x14ac:dyDescent="0.35">
      <c r="A46" s="218" t="s">
        <v>36</v>
      </c>
      <c r="B46" s="9"/>
      <c r="C46" s="8"/>
      <c r="D46" s="9"/>
      <c r="E46" s="9"/>
      <c r="F46" s="164"/>
      <c r="G46" s="19"/>
      <c r="H46" s="19"/>
      <c r="I46" s="9"/>
      <c r="J46" s="9"/>
      <c r="K46" s="9"/>
      <c r="L46" s="9"/>
    </row>
    <row r="47" spans="1:12" x14ac:dyDescent="0.35">
      <c r="A47" s="219" t="s">
        <v>37</v>
      </c>
      <c r="B47" s="8">
        <v>1173</v>
      </c>
      <c r="C47" s="8" t="s">
        <v>13</v>
      </c>
      <c r="D47" s="9"/>
      <c r="E47" s="9"/>
      <c r="F47" s="165">
        <v>0.02</v>
      </c>
      <c r="G47" s="19"/>
      <c r="H47" s="19"/>
      <c r="I47" s="9"/>
      <c r="J47" s="9"/>
      <c r="K47" s="9"/>
      <c r="L47" s="9"/>
    </row>
    <row r="48" spans="1:12" x14ac:dyDescent="0.35">
      <c r="A48" s="219" t="s">
        <v>38</v>
      </c>
      <c r="B48" s="8">
        <v>24</v>
      </c>
      <c r="C48" s="8" t="s">
        <v>2</v>
      </c>
      <c r="D48" s="9"/>
      <c r="E48" s="9"/>
      <c r="F48" s="165">
        <v>0.02</v>
      </c>
      <c r="G48" s="19"/>
      <c r="H48" s="19"/>
      <c r="I48" s="9"/>
      <c r="J48" s="9"/>
      <c r="K48" s="9"/>
      <c r="L48" s="9"/>
    </row>
    <row r="49" spans="1:12" x14ac:dyDescent="0.35">
      <c r="A49" s="218" t="s">
        <v>39</v>
      </c>
      <c r="B49" s="9"/>
      <c r="C49" s="8"/>
      <c r="D49" s="9"/>
      <c r="E49" s="9"/>
      <c r="F49" s="165"/>
      <c r="G49" s="19"/>
      <c r="H49" s="19"/>
      <c r="I49" s="9"/>
      <c r="J49" s="9"/>
      <c r="K49" s="9"/>
      <c r="L49" s="9"/>
    </row>
    <row r="50" spans="1:12" x14ac:dyDescent="0.35">
      <c r="A50" s="219" t="s">
        <v>40</v>
      </c>
      <c r="B50" s="8">
        <v>1</v>
      </c>
      <c r="C50" s="8" t="s">
        <v>11</v>
      </c>
      <c r="D50" s="9"/>
      <c r="E50" s="9"/>
      <c r="F50" s="165">
        <v>5.0000000000000001E-3</v>
      </c>
      <c r="G50" s="19"/>
      <c r="H50" s="19"/>
      <c r="I50" s="9"/>
      <c r="J50" s="9"/>
      <c r="K50" s="9"/>
      <c r="L50" s="9"/>
    </row>
    <row r="51" spans="1:12" x14ac:dyDescent="0.35">
      <c r="A51" s="219" t="s">
        <v>41</v>
      </c>
      <c r="B51" s="8">
        <v>1</v>
      </c>
      <c r="C51" s="8" t="s">
        <v>11</v>
      </c>
      <c r="D51" s="9"/>
      <c r="E51" s="9"/>
      <c r="F51" s="165">
        <v>0.01</v>
      </c>
      <c r="G51" s="19"/>
      <c r="H51" s="19"/>
      <c r="I51" s="9"/>
      <c r="J51" s="9"/>
      <c r="K51" s="9"/>
      <c r="L51" s="9"/>
    </row>
    <row r="52" spans="1:12" x14ac:dyDescent="0.35">
      <c r="A52" s="219" t="s">
        <v>296</v>
      </c>
      <c r="B52" s="8">
        <v>1</v>
      </c>
      <c r="C52" s="8" t="s">
        <v>11</v>
      </c>
      <c r="D52" s="9"/>
      <c r="E52" s="9"/>
      <c r="F52" s="165">
        <v>2.5000000000000001E-3</v>
      </c>
      <c r="G52" s="19"/>
      <c r="H52" s="19"/>
      <c r="I52" s="9"/>
      <c r="J52" s="9"/>
      <c r="K52" s="9"/>
      <c r="L52" s="9"/>
    </row>
    <row r="53" spans="1:12" x14ac:dyDescent="0.35">
      <c r="A53" s="219" t="s">
        <v>42</v>
      </c>
      <c r="B53" s="8">
        <v>1</v>
      </c>
      <c r="C53" s="8" t="s">
        <v>11</v>
      </c>
      <c r="D53" s="9"/>
      <c r="E53" s="9"/>
      <c r="F53" s="165">
        <v>2.5000000000000001E-3</v>
      </c>
      <c r="G53" s="19"/>
      <c r="H53" s="19"/>
      <c r="I53" s="9"/>
      <c r="J53" s="9"/>
      <c r="K53" s="9"/>
      <c r="L53" s="9"/>
    </row>
    <row r="54" spans="1:12" x14ac:dyDescent="0.35">
      <c r="A54" s="218" t="s">
        <v>53</v>
      </c>
      <c r="B54" s="9"/>
      <c r="C54" s="8"/>
      <c r="D54" s="9"/>
      <c r="E54" s="9"/>
      <c r="F54" s="165"/>
      <c r="G54" s="19"/>
      <c r="H54" s="19"/>
      <c r="I54" s="9"/>
      <c r="J54" s="9"/>
      <c r="K54" s="9"/>
      <c r="L54" s="9"/>
    </row>
    <row r="55" spans="1:12" x14ac:dyDescent="0.35">
      <c r="A55" s="219" t="s">
        <v>43</v>
      </c>
      <c r="B55" s="8">
        <v>100</v>
      </c>
      <c r="C55" s="8" t="s">
        <v>12</v>
      </c>
      <c r="D55" s="9"/>
      <c r="E55" s="9"/>
      <c r="F55" s="165">
        <v>0.01</v>
      </c>
      <c r="G55" s="19"/>
      <c r="H55" s="19"/>
      <c r="I55" s="9"/>
      <c r="J55" s="9"/>
      <c r="K55" s="9"/>
      <c r="L55" s="9"/>
    </row>
    <row r="56" spans="1:12" x14ac:dyDescent="0.35">
      <c r="A56" s="219" t="s">
        <v>44</v>
      </c>
      <c r="B56" s="8">
        <v>100</v>
      </c>
      <c r="C56" s="8" t="s">
        <v>12</v>
      </c>
      <c r="D56" s="9"/>
      <c r="E56" s="9"/>
      <c r="F56" s="165">
        <v>0.01</v>
      </c>
      <c r="G56" s="19"/>
      <c r="H56" s="19"/>
      <c r="I56" s="9"/>
      <c r="J56" s="9"/>
      <c r="K56" s="9"/>
      <c r="L56" s="9"/>
    </row>
    <row r="57" spans="1:12" x14ac:dyDescent="0.35">
      <c r="A57" s="219" t="s">
        <v>45</v>
      </c>
      <c r="B57" s="8">
        <v>100</v>
      </c>
      <c r="C57" s="8" t="s">
        <v>12</v>
      </c>
      <c r="D57" s="9"/>
      <c r="E57" s="9"/>
      <c r="F57" s="165">
        <v>0.01</v>
      </c>
      <c r="G57" s="19"/>
      <c r="H57" s="19"/>
      <c r="I57" s="9"/>
      <c r="J57" s="9"/>
      <c r="K57" s="9"/>
      <c r="L57" s="9"/>
    </row>
    <row r="58" spans="1:12" x14ac:dyDescent="0.35">
      <c r="A58" s="219" t="s">
        <v>54</v>
      </c>
      <c r="B58" s="8">
        <v>100</v>
      </c>
      <c r="C58" s="8" t="s">
        <v>12</v>
      </c>
      <c r="D58" s="9"/>
      <c r="E58" s="9"/>
      <c r="F58" s="165">
        <v>0.01</v>
      </c>
      <c r="G58" s="19"/>
      <c r="H58" s="19"/>
      <c r="I58" s="9"/>
      <c r="J58" s="9"/>
      <c r="K58" s="9"/>
      <c r="L58" s="9"/>
    </row>
    <row r="59" spans="1:12" x14ac:dyDescent="0.35">
      <c r="A59" s="9"/>
      <c r="B59" s="9"/>
      <c r="C59" s="8"/>
      <c r="D59" s="9"/>
      <c r="E59" s="9"/>
      <c r="F59" s="220">
        <f>SUM(F11:F58)</f>
        <v>1.0000000000000002</v>
      </c>
      <c r="G59" s="220">
        <f>SUM(G11:G58)</f>
        <v>8.2192108638909439E-2</v>
      </c>
      <c r="H59" s="9"/>
      <c r="I59" s="9"/>
      <c r="J59" s="9"/>
      <c r="K59" s="9"/>
      <c r="L59" s="9"/>
    </row>
    <row r="60" spans="1:12" x14ac:dyDescent="0.35">
      <c r="G60" s="17"/>
    </row>
    <row r="70" spans="2:3" x14ac:dyDescent="0.35">
      <c r="B70" s="20"/>
      <c r="C70" s="99"/>
    </row>
    <row r="71" spans="2:3" x14ac:dyDescent="0.35">
      <c r="B71" s="20" t="s">
        <v>9</v>
      </c>
      <c r="C71" s="21">
        <f>F59</f>
        <v>1.0000000000000002</v>
      </c>
    </row>
    <row r="72" spans="2:3" x14ac:dyDescent="0.35">
      <c r="B72" s="20" t="s">
        <v>60</v>
      </c>
      <c r="C72" s="21">
        <f>G59</f>
        <v>8.2192108638909439E-2</v>
      </c>
    </row>
    <row r="73" spans="2:3" x14ac:dyDescent="0.35">
      <c r="B73" s="20" t="s">
        <v>8</v>
      </c>
      <c r="C73" s="21">
        <f>C71-C72</f>
        <v>0.91780789136109076</v>
      </c>
    </row>
    <row r="74" spans="2:3" x14ac:dyDescent="0.35">
      <c r="B74" s="20"/>
      <c r="C74" s="99"/>
    </row>
    <row r="75" spans="2:3" x14ac:dyDescent="0.35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687AF-C793-4B19-A255-BBE1A4EF8439}">
  <dimension ref="A1:V295"/>
  <sheetViews>
    <sheetView workbookViewId="0">
      <selection activeCell="G62" sqref="G62"/>
    </sheetView>
  </sheetViews>
  <sheetFormatPr defaultRowHeight="14.5" x14ac:dyDescent="0.35"/>
  <cols>
    <col min="1" max="1" width="8.81640625" bestFit="1" customWidth="1"/>
    <col min="4" max="4" width="26.1796875" customWidth="1"/>
    <col min="5" max="5" width="16.36328125" bestFit="1" customWidth="1"/>
    <col min="7" max="8" width="16.7265625" bestFit="1" customWidth="1"/>
    <col min="9" max="9" width="18.08984375" bestFit="1" customWidth="1"/>
    <col min="10" max="11" width="8.81640625" hidden="1" customWidth="1"/>
    <col min="13" max="14" width="16.7265625" bestFit="1" customWidth="1"/>
    <col min="16" max="17" width="8.81640625" bestFit="1" customWidth="1"/>
    <col min="18" max="18" width="16.7265625" bestFit="1" customWidth="1"/>
    <col min="21" max="21" width="15.90625" bestFit="1" customWidth="1"/>
    <col min="22" max="22" width="18.08984375" hidden="1" customWidth="1"/>
  </cols>
  <sheetData>
    <row r="1" spans="1:22" ht="21" x14ac:dyDescent="0.35">
      <c r="A1" s="433" t="s">
        <v>839</v>
      </c>
      <c r="B1" s="434"/>
      <c r="C1" s="434"/>
      <c r="D1" s="434"/>
      <c r="E1" s="434"/>
      <c r="F1" s="434"/>
      <c r="G1" s="434"/>
      <c r="H1" s="299"/>
      <c r="I1" s="300">
        <f ca="1">TODAY()</f>
        <v>45898</v>
      </c>
      <c r="J1" s="301"/>
      <c r="K1" s="302"/>
      <c r="L1" s="303"/>
      <c r="M1" s="304" t="s">
        <v>858</v>
      </c>
      <c r="N1" s="305" t="s">
        <v>859</v>
      </c>
      <c r="O1" s="306" t="s">
        <v>860</v>
      </c>
      <c r="P1" s="307" t="s">
        <v>397</v>
      </c>
      <c r="Q1" s="303"/>
      <c r="R1" s="303"/>
      <c r="S1" s="303"/>
      <c r="T1" s="303"/>
      <c r="U1" s="303"/>
      <c r="V1" s="308">
        <f ca="1">TODAY()</f>
        <v>45898</v>
      </c>
    </row>
    <row r="2" spans="1:22" ht="42" x14ac:dyDescent="0.35">
      <c r="A2" s="309" t="s">
        <v>443</v>
      </c>
      <c r="B2" s="289" t="s">
        <v>444</v>
      </c>
      <c r="C2" s="289" t="s">
        <v>444</v>
      </c>
      <c r="D2" s="289" t="s">
        <v>445</v>
      </c>
      <c r="E2" s="290" t="s">
        <v>446</v>
      </c>
      <c r="F2" s="290" t="s">
        <v>447</v>
      </c>
      <c r="G2" s="261" t="s">
        <v>844</v>
      </c>
      <c r="H2" s="261" t="s">
        <v>845</v>
      </c>
      <c r="I2" s="260" t="s">
        <v>846</v>
      </c>
      <c r="J2" s="262" t="s">
        <v>847</v>
      </c>
      <c r="K2" s="262" t="s">
        <v>848</v>
      </c>
      <c r="L2" s="290" t="s">
        <v>448</v>
      </c>
      <c r="M2" s="290" t="s">
        <v>449</v>
      </c>
      <c r="N2" s="290" t="s">
        <v>450</v>
      </c>
      <c r="O2" s="290" t="s">
        <v>849</v>
      </c>
      <c r="P2" s="290" t="s">
        <v>850</v>
      </c>
      <c r="Q2" s="290" t="s">
        <v>851</v>
      </c>
      <c r="R2" s="290" t="s">
        <v>451</v>
      </c>
      <c r="S2" s="290" t="s">
        <v>452</v>
      </c>
      <c r="T2" s="290" t="s">
        <v>852</v>
      </c>
      <c r="U2" s="290" t="s">
        <v>319</v>
      </c>
      <c r="V2" s="310" t="s">
        <v>843</v>
      </c>
    </row>
    <row r="3" spans="1:22" x14ac:dyDescent="0.35">
      <c r="A3" s="397">
        <v>1</v>
      </c>
      <c r="B3" s="367" t="s">
        <v>453</v>
      </c>
      <c r="C3" s="398" t="s">
        <v>454</v>
      </c>
      <c r="D3" s="399" t="s">
        <v>455</v>
      </c>
      <c r="E3" s="367" t="s">
        <v>456</v>
      </c>
      <c r="F3" s="367" t="s">
        <v>457</v>
      </c>
      <c r="G3" s="416">
        <v>45698</v>
      </c>
      <c r="H3" s="416">
        <f>G3+15</f>
        <v>45713</v>
      </c>
      <c r="I3" s="416">
        <v>45698</v>
      </c>
      <c r="J3" s="367">
        <f>I3-G3</f>
        <v>0</v>
      </c>
      <c r="K3" s="367"/>
      <c r="L3" s="263" t="s">
        <v>458</v>
      </c>
      <c r="M3" s="266">
        <v>45698</v>
      </c>
      <c r="N3" s="266"/>
      <c r="O3" s="267"/>
      <c r="P3" s="263"/>
      <c r="Q3" s="263"/>
      <c r="R3" s="367"/>
      <c r="S3" s="367" t="s">
        <v>397</v>
      </c>
      <c r="T3" s="367" t="s">
        <v>459</v>
      </c>
      <c r="U3" s="367" t="s">
        <v>461</v>
      </c>
      <c r="V3" s="402"/>
    </row>
    <row r="4" spans="1:22" x14ac:dyDescent="0.35">
      <c r="A4" s="357"/>
      <c r="B4" s="344"/>
      <c r="C4" s="360"/>
      <c r="D4" s="363"/>
      <c r="E4" s="344"/>
      <c r="F4" s="344"/>
      <c r="G4" s="412"/>
      <c r="H4" s="412"/>
      <c r="I4" s="412"/>
      <c r="J4" s="344"/>
      <c r="K4" s="344"/>
      <c r="L4" s="263" t="s">
        <v>460</v>
      </c>
      <c r="M4" s="266">
        <v>45700</v>
      </c>
      <c r="N4" s="266">
        <v>45700</v>
      </c>
      <c r="O4" s="267"/>
      <c r="P4" s="263">
        <f>N4-M4</f>
        <v>0</v>
      </c>
      <c r="Q4" s="263">
        <f>M5-N4</f>
        <v>2</v>
      </c>
      <c r="R4" s="344"/>
      <c r="S4" s="344"/>
      <c r="T4" s="344"/>
      <c r="U4" s="344"/>
      <c r="V4" s="411"/>
    </row>
    <row r="5" spans="1:22" x14ac:dyDescent="0.35">
      <c r="A5" s="357"/>
      <c r="B5" s="344"/>
      <c r="C5" s="360"/>
      <c r="D5" s="363"/>
      <c r="E5" s="344"/>
      <c r="F5" s="344"/>
      <c r="G5" s="412"/>
      <c r="H5" s="412"/>
      <c r="I5" s="412"/>
      <c r="J5" s="344"/>
      <c r="K5" s="344"/>
      <c r="L5" s="263" t="s">
        <v>462</v>
      </c>
      <c r="M5" s="266">
        <v>45702</v>
      </c>
      <c r="N5" s="266">
        <v>45705</v>
      </c>
      <c r="O5" s="267"/>
      <c r="P5" s="263">
        <f>N5-M5</f>
        <v>3</v>
      </c>
      <c r="Q5" s="263">
        <f>M6-N5</f>
        <v>2</v>
      </c>
      <c r="R5" s="344"/>
      <c r="S5" s="344"/>
      <c r="T5" s="344"/>
      <c r="U5" s="344"/>
      <c r="V5" s="411"/>
    </row>
    <row r="6" spans="1:22" x14ac:dyDescent="0.35">
      <c r="A6" s="357"/>
      <c r="B6" s="344"/>
      <c r="C6" s="360"/>
      <c r="D6" s="363"/>
      <c r="E6" s="344"/>
      <c r="F6" s="344"/>
      <c r="G6" s="412"/>
      <c r="H6" s="412"/>
      <c r="I6" s="412"/>
      <c r="J6" s="344"/>
      <c r="K6" s="344"/>
      <c r="L6" s="263" t="s">
        <v>463</v>
      </c>
      <c r="M6" s="266">
        <v>45707</v>
      </c>
      <c r="N6" s="266"/>
      <c r="O6" s="267"/>
      <c r="P6" s="263">
        <f ca="1">I1-M6</f>
        <v>191</v>
      </c>
      <c r="Q6" s="263"/>
      <c r="R6" s="344"/>
      <c r="S6" s="344"/>
      <c r="T6" s="344"/>
      <c r="U6" s="344"/>
      <c r="V6" s="411"/>
    </row>
    <row r="7" spans="1:22" x14ac:dyDescent="0.35">
      <c r="A7" s="356">
        <v>2</v>
      </c>
      <c r="B7" s="343" t="s">
        <v>453</v>
      </c>
      <c r="C7" s="359" t="s">
        <v>454</v>
      </c>
      <c r="D7" s="362" t="s">
        <v>465</v>
      </c>
      <c r="E7" s="343" t="s">
        <v>466</v>
      </c>
      <c r="F7" s="343" t="s">
        <v>467</v>
      </c>
      <c r="G7" s="351">
        <v>45740</v>
      </c>
      <c r="H7" s="351">
        <f>G7+15</f>
        <v>45755</v>
      </c>
      <c r="I7" s="351">
        <v>45740</v>
      </c>
      <c r="J7" s="343">
        <f>I7-G7</f>
        <v>0</v>
      </c>
      <c r="K7" s="343">
        <f>R7-H7</f>
        <v>0</v>
      </c>
      <c r="L7" s="271" t="s">
        <v>458</v>
      </c>
      <c r="M7" s="274">
        <v>45740</v>
      </c>
      <c r="N7" s="274">
        <v>45743</v>
      </c>
      <c r="O7" s="275" t="s">
        <v>468</v>
      </c>
      <c r="P7" s="271">
        <f>N7-M7</f>
        <v>3</v>
      </c>
      <c r="Q7" s="271">
        <f>M8-N7</f>
        <v>6</v>
      </c>
      <c r="R7" s="414">
        <f>N8</f>
        <v>45755</v>
      </c>
      <c r="S7" s="343" t="str">
        <f>U7</f>
        <v>Approved</v>
      </c>
      <c r="T7" s="343" t="str">
        <f>O8</f>
        <v>CAT -IV</v>
      </c>
      <c r="U7" s="343" t="s">
        <v>397</v>
      </c>
      <c r="V7" s="346">
        <f>N8-M8</f>
        <v>6</v>
      </c>
    </row>
    <row r="8" spans="1:22" x14ac:dyDescent="0.35">
      <c r="A8" s="390"/>
      <c r="B8" s="385"/>
      <c r="C8" s="403"/>
      <c r="D8" s="396"/>
      <c r="E8" s="385"/>
      <c r="F8" s="385"/>
      <c r="G8" s="422"/>
      <c r="H8" s="422"/>
      <c r="I8" s="422"/>
      <c r="J8" s="385"/>
      <c r="K8" s="385"/>
      <c r="L8" s="271" t="s">
        <v>460</v>
      </c>
      <c r="M8" s="274">
        <v>45749</v>
      </c>
      <c r="N8" s="274">
        <v>45755</v>
      </c>
      <c r="O8" s="275" t="s">
        <v>469</v>
      </c>
      <c r="P8" s="271">
        <f>N8-M8</f>
        <v>6</v>
      </c>
      <c r="Q8" s="271"/>
      <c r="R8" s="423"/>
      <c r="S8" s="385"/>
      <c r="T8" s="385"/>
      <c r="U8" s="385"/>
      <c r="V8" s="386"/>
    </row>
    <row r="9" spans="1:22" ht="52.5" x14ac:dyDescent="0.35">
      <c r="A9" s="315">
        <v>3</v>
      </c>
      <c r="B9" s="271" t="s">
        <v>453</v>
      </c>
      <c r="C9" s="272" t="s">
        <v>454</v>
      </c>
      <c r="D9" s="273" t="s">
        <v>470</v>
      </c>
      <c r="E9" s="271" t="s">
        <v>471</v>
      </c>
      <c r="F9" s="271" t="s">
        <v>457</v>
      </c>
      <c r="G9" s="274">
        <v>45740</v>
      </c>
      <c r="H9" s="274">
        <f>G9+15</f>
        <v>45755</v>
      </c>
      <c r="I9" s="274"/>
      <c r="J9" s="271"/>
      <c r="K9" s="271"/>
      <c r="L9" s="271" t="s">
        <v>458</v>
      </c>
      <c r="M9" s="274"/>
      <c r="N9" s="274"/>
      <c r="O9" s="275"/>
      <c r="P9" s="271"/>
      <c r="Q9" s="271"/>
      <c r="R9" s="271"/>
      <c r="S9" s="271"/>
      <c r="T9" s="271"/>
      <c r="U9" s="271" t="s">
        <v>397</v>
      </c>
      <c r="V9" s="316"/>
    </row>
    <row r="10" spans="1:22" x14ac:dyDescent="0.35">
      <c r="A10" s="370">
        <v>4</v>
      </c>
      <c r="B10" s="352" t="s">
        <v>453</v>
      </c>
      <c r="C10" s="373" t="s">
        <v>454</v>
      </c>
      <c r="D10" s="375" t="s">
        <v>473</v>
      </c>
      <c r="E10" s="352" t="s">
        <v>474</v>
      </c>
      <c r="F10" s="352" t="s">
        <v>467</v>
      </c>
      <c r="G10" s="419">
        <v>45768</v>
      </c>
      <c r="H10" s="419">
        <f>G10+21</f>
        <v>45789</v>
      </c>
      <c r="I10" s="419">
        <v>45768</v>
      </c>
      <c r="J10" s="352">
        <f>I10-G10</f>
        <v>0</v>
      </c>
      <c r="K10" s="352">
        <f ca="1">I1-H10</f>
        <v>109</v>
      </c>
      <c r="L10" s="291" t="s">
        <v>458</v>
      </c>
      <c r="M10" s="294">
        <v>45768</v>
      </c>
      <c r="N10" s="294">
        <v>45776</v>
      </c>
      <c r="O10" s="295" t="s">
        <v>468</v>
      </c>
      <c r="P10" s="291">
        <f>N10-M10</f>
        <v>8</v>
      </c>
      <c r="Q10" s="291">
        <f>M11-N10</f>
        <v>51</v>
      </c>
      <c r="R10" s="432"/>
      <c r="S10" s="352" t="s">
        <v>482</v>
      </c>
      <c r="T10" s="352" t="str">
        <f>O10</f>
        <v>CAT -IV R</v>
      </c>
      <c r="U10" s="352" t="s">
        <v>464</v>
      </c>
      <c r="V10" s="354"/>
    </row>
    <row r="11" spans="1:22" x14ac:dyDescent="0.35">
      <c r="A11" s="390"/>
      <c r="B11" s="385"/>
      <c r="C11" s="403"/>
      <c r="D11" s="396"/>
      <c r="E11" s="385"/>
      <c r="F11" s="385"/>
      <c r="G11" s="422"/>
      <c r="H11" s="422"/>
      <c r="I11" s="422"/>
      <c r="J11" s="385"/>
      <c r="K11" s="385"/>
      <c r="L11" s="291" t="s">
        <v>460</v>
      </c>
      <c r="M11" s="294">
        <v>45827</v>
      </c>
      <c r="N11" s="294">
        <v>45866</v>
      </c>
      <c r="O11" s="295" t="s">
        <v>468</v>
      </c>
      <c r="P11" s="291">
        <f>N11-M11</f>
        <v>39</v>
      </c>
      <c r="Q11" s="291">
        <f ca="1">I1-N11</f>
        <v>32</v>
      </c>
      <c r="R11" s="423"/>
      <c r="S11" s="385"/>
      <c r="T11" s="385"/>
      <c r="U11" s="385"/>
      <c r="V11" s="386"/>
    </row>
    <row r="12" spans="1:22" ht="52.5" x14ac:dyDescent="0.35">
      <c r="A12" s="313">
        <v>5</v>
      </c>
      <c r="B12" s="257" t="s">
        <v>453</v>
      </c>
      <c r="C12" s="268" t="s">
        <v>454</v>
      </c>
      <c r="D12" s="269" t="s">
        <v>475</v>
      </c>
      <c r="E12" s="259" t="s">
        <v>476</v>
      </c>
      <c r="F12" s="257" t="s">
        <v>467</v>
      </c>
      <c r="G12" s="270">
        <v>45814</v>
      </c>
      <c r="H12" s="270">
        <f>G12+15</f>
        <v>45829</v>
      </c>
      <c r="I12" s="270"/>
      <c r="J12" s="257"/>
      <c r="K12" s="257">
        <f ca="1">I1-H12</f>
        <v>69</v>
      </c>
      <c r="L12" s="259"/>
      <c r="M12" s="276"/>
      <c r="N12" s="276"/>
      <c r="O12" s="277"/>
      <c r="P12" s="259"/>
      <c r="Q12" s="259"/>
      <c r="R12" s="259"/>
      <c r="S12" s="259"/>
      <c r="T12" s="259"/>
      <c r="U12" s="259"/>
      <c r="V12" s="321"/>
    </row>
    <row r="13" spans="1:22" x14ac:dyDescent="0.35">
      <c r="A13" s="356">
        <v>6</v>
      </c>
      <c r="B13" s="343" t="s">
        <v>453</v>
      </c>
      <c r="C13" s="359" t="s">
        <v>454</v>
      </c>
      <c r="D13" s="362" t="s">
        <v>477</v>
      </c>
      <c r="E13" s="343" t="s">
        <v>478</v>
      </c>
      <c r="F13" s="343" t="s">
        <v>467</v>
      </c>
      <c r="G13" s="351">
        <v>45814</v>
      </c>
      <c r="H13" s="351">
        <f>G13+14</f>
        <v>45828</v>
      </c>
      <c r="I13" s="351">
        <v>45815</v>
      </c>
      <c r="J13" s="343">
        <f>I13-G13</f>
        <v>1</v>
      </c>
      <c r="K13" s="343">
        <f>R13-H13</f>
        <v>18</v>
      </c>
      <c r="L13" s="271" t="s">
        <v>458</v>
      </c>
      <c r="M13" s="274">
        <v>45815</v>
      </c>
      <c r="N13" s="274">
        <v>45828</v>
      </c>
      <c r="O13" s="275" t="s">
        <v>468</v>
      </c>
      <c r="P13" s="271">
        <f>N13-M13</f>
        <v>13</v>
      </c>
      <c r="Q13" s="271">
        <f>M14-N13</f>
        <v>6</v>
      </c>
      <c r="R13" s="351">
        <f>N14</f>
        <v>45846</v>
      </c>
      <c r="S13" s="343" t="s">
        <v>397</v>
      </c>
      <c r="T13" s="343" t="s">
        <v>469</v>
      </c>
      <c r="U13" s="343" t="s">
        <v>397</v>
      </c>
      <c r="V13" s="346">
        <f>N14-M14</f>
        <v>12</v>
      </c>
    </row>
    <row r="14" spans="1:22" x14ac:dyDescent="0.35">
      <c r="A14" s="390"/>
      <c r="B14" s="385"/>
      <c r="C14" s="403"/>
      <c r="D14" s="396"/>
      <c r="E14" s="385"/>
      <c r="F14" s="385"/>
      <c r="G14" s="422"/>
      <c r="H14" s="422"/>
      <c r="I14" s="422"/>
      <c r="J14" s="385"/>
      <c r="K14" s="385"/>
      <c r="L14" s="271" t="s">
        <v>460</v>
      </c>
      <c r="M14" s="274">
        <v>45834</v>
      </c>
      <c r="N14" s="274">
        <v>45846</v>
      </c>
      <c r="O14" s="275" t="s">
        <v>469</v>
      </c>
      <c r="P14" s="271">
        <f>N14-M14</f>
        <v>12</v>
      </c>
      <c r="Q14" s="271"/>
      <c r="R14" s="343"/>
      <c r="S14" s="385"/>
      <c r="T14" s="385"/>
      <c r="U14" s="385"/>
      <c r="V14" s="386"/>
    </row>
    <row r="15" spans="1:22" x14ac:dyDescent="0.35">
      <c r="A15" s="356">
        <v>7</v>
      </c>
      <c r="B15" s="343" t="s">
        <v>453</v>
      </c>
      <c r="C15" s="359" t="s">
        <v>454</v>
      </c>
      <c r="D15" s="362" t="s">
        <v>479</v>
      </c>
      <c r="E15" s="343" t="s">
        <v>480</v>
      </c>
      <c r="F15" s="343" t="s">
        <v>457</v>
      </c>
      <c r="G15" s="351">
        <v>45742</v>
      </c>
      <c r="H15" s="351">
        <f>G15+15</f>
        <v>45757</v>
      </c>
      <c r="I15" s="351">
        <v>45742</v>
      </c>
      <c r="J15" s="343">
        <f>I15-G15</f>
        <v>0</v>
      </c>
      <c r="K15" s="343">
        <f>R15-H15</f>
        <v>76</v>
      </c>
      <c r="L15" s="271" t="s">
        <v>458</v>
      </c>
      <c r="M15" s="274">
        <v>45742</v>
      </c>
      <c r="N15" s="274">
        <v>45751</v>
      </c>
      <c r="O15" s="275" t="s">
        <v>481</v>
      </c>
      <c r="P15" s="271">
        <f>N15-M15</f>
        <v>9</v>
      </c>
      <c r="Q15" s="271">
        <f>M16-N15</f>
        <v>0</v>
      </c>
      <c r="R15" s="351">
        <f>N16</f>
        <v>45833</v>
      </c>
      <c r="S15" s="343" t="s">
        <v>397</v>
      </c>
      <c r="T15" s="343" t="str">
        <f>O16</f>
        <v>CAT - I</v>
      </c>
      <c r="U15" s="343" t="s">
        <v>397</v>
      </c>
      <c r="V15" s="346">
        <f ca="1">V1-M16</f>
        <v>147</v>
      </c>
    </row>
    <row r="16" spans="1:22" x14ac:dyDescent="0.35">
      <c r="A16" s="357"/>
      <c r="B16" s="344"/>
      <c r="C16" s="360"/>
      <c r="D16" s="363"/>
      <c r="E16" s="344"/>
      <c r="F16" s="344"/>
      <c r="G16" s="412"/>
      <c r="H16" s="412"/>
      <c r="I16" s="412"/>
      <c r="J16" s="344"/>
      <c r="K16" s="344"/>
      <c r="L16" s="271" t="s">
        <v>460</v>
      </c>
      <c r="M16" s="274">
        <v>45751</v>
      </c>
      <c r="N16" s="274">
        <v>45833</v>
      </c>
      <c r="O16" s="275" t="s">
        <v>472</v>
      </c>
      <c r="P16" s="271">
        <f>N16-M16</f>
        <v>82</v>
      </c>
      <c r="Q16" s="271"/>
      <c r="R16" s="343"/>
      <c r="S16" s="344"/>
      <c r="T16" s="344"/>
      <c r="U16" s="344"/>
      <c r="V16" s="411"/>
    </row>
    <row r="17" spans="1:22" ht="42" x14ac:dyDescent="0.35">
      <c r="A17" s="319">
        <v>8</v>
      </c>
      <c r="B17" s="291" t="s">
        <v>453</v>
      </c>
      <c r="C17" s="292" t="s">
        <v>454</v>
      </c>
      <c r="D17" s="293" t="s">
        <v>483</v>
      </c>
      <c r="E17" s="291" t="s">
        <v>484</v>
      </c>
      <c r="F17" s="291" t="s">
        <v>467</v>
      </c>
      <c r="G17" s="294">
        <v>45771</v>
      </c>
      <c r="H17" s="294">
        <f>G17+21</f>
        <v>45792</v>
      </c>
      <c r="I17" s="294">
        <f>M17</f>
        <v>45772</v>
      </c>
      <c r="J17" s="291">
        <f>I17-G17</f>
        <v>1</v>
      </c>
      <c r="K17" s="291">
        <f ca="1">I1-H17</f>
        <v>106</v>
      </c>
      <c r="L17" s="291" t="s">
        <v>458</v>
      </c>
      <c r="M17" s="294">
        <v>45772</v>
      </c>
      <c r="N17" s="294">
        <v>45833</v>
      </c>
      <c r="O17" s="295" t="s">
        <v>468</v>
      </c>
      <c r="P17" s="291">
        <f>N17-M17</f>
        <v>61</v>
      </c>
      <c r="Q17" s="291">
        <f ca="1">I1-N17</f>
        <v>65</v>
      </c>
      <c r="R17" s="291"/>
      <c r="S17" s="291" t="s">
        <v>489</v>
      </c>
      <c r="T17" s="291" t="str">
        <f>O17</f>
        <v>CAT -IV R</v>
      </c>
      <c r="U17" s="291" t="s">
        <v>464</v>
      </c>
      <c r="V17" s="320">
        <f ca="1">V1-M17</f>
        <v>126</v>
      </c>
    </row>
    <row r="18" spans="1:22" ht="21" x14ac:dyDescent="0.35">
      <c r="A18" s="313">
        <v>9</v>
      </c>
      <c r="B18" s="257" t="s">
        <v>453</v>
      </c>
      <c r="C18" s="268" t="s">
        <v>454</v>
      </c>
      <c r="D18" s="269" t="s">
        <v>485</v>
      </c>
      <c r="E18" s="257" t="s">
        <v>486</v>
      </c>
      <c r="F18" s="257" t="s">
        <v>467</v>
      </c>
      <c r="G18" s="270"/>
      <c r="H18" s="270"/>
      <c r="I18" s="270"/>
      <c r="J18" s="257"/>
      <c r="K18" s="257"/>
      <c r="L18" s="257"/>
      <c r="M18" s="270"/>
      <c r="N18" s="270"/>
      <c r="O18" s="278"/>
      <c r="P18" s="257"/>
      <c r="Q18" s="257"/>
      <c r="R18" s="257"/>
      <c r="S18" s="257"/>
      <c r="T18" s="257"/>
      <c r="U18" s="257"/>
      <c r="V18" s="314"/>
    </row>
    <row r="19" spans="1:22" x14ac:dyDescent="0.35">
      <c r="A19" s="356">
        <v>10</v>
      </c>
      <c r="B19" s="343" t="s">
        <v>453</v>
      </c>
      <c r="C19" s="359" t="s">
        <v>454</v>
      </c>
      <c r="D19" s="362" t="s">
        <v>487</v>
      </c>
      <c r="E19" s="343" t="s">
        <v>488</v>
      </c>
      <c r="F19" s="343" t="s">
        <v>467</v>
      </c>
      <c r="G19" s="351">
        <v>45772</v>
      </c>
      <c r="H19" s="351">
        <f>G19+7</f>
        <v>45779</v>
      </c>
      <c r="I19" s="351">
        <v>45772</v>
      </c>
      <c r="J19" s="343">
        <f>I19-G19</f>
        <v>0</v>
      </c>
      <c r="K19" s="343">
        <f>R19-H19</f>
        <v>88</v>
      </c>
      <c r="L19" s="271" t="s">
        <v>458</v>
      </c>
      <c r="M19" s="274">
        <v>45772</v>
      </c>
      <c r="N19" s="274">
        <v>45778</v>
      </c>
      <c r="O19" s="275" t="s">
        <v>468</v>
      </c>
      <c r="P19" s="271">
        <f>N19-M19</f>
        <v>6</v>
      </c>
      <c r="Q19" s="271">
        <f>M20-N19</f>
        <v>70</v>
      </c>
      <c r="R19" s="351">
        <f>N22</f>
        <v>45867</v>
      </c>
      <c r="S19" s="343" t="s">
        <v>482</v>
      </c>
      <c r="T19" s="343" t="str">
        <f>O22</f>
        <v>CAT -IV</v>
      </c>
      <c r="U19" s="343" t="s">
        <v>397</v>
      </c>
      <c r="V19" s="346">
        <f ca="1">V1-N19</f>
        <v>120</v>
      </c>
    </row>
    <row r="20" spans="1:22" x14ac:dyDescent="0.35">
      <c r="A20" s="390"/>
      <c r="B20" s="385"/>
      <c r="C20" s="403"/>
      <c r="D20" s="396"/>
      <c r="E20" s="385"/>
      <c r="F20" s="385"/>
      <c r="G20" s="422"/>
      <c r="H20" s="422"/>
      <c r="I20" s="422"/>
      <c r="J20" s="385"/>
      <c r="K20" s="385"/>
      <c r="L20" s="271" t="s">
        <v>460</v>
      </c>
      <c r="M20" s="274">
        <v>45848</v>
      </c>
      <c r="N20" s="274">
        <v>45850</v>
      </c>
      <c r="O20" s="275" t="s">
        <v>468</v>
      </c>
      <c r="P20" s="271">
        <f ca="1">I1-M20</f>
        <v>50</v>
      </c>
      <c r="Q20" s="271"/>
      <c r="R20" s="343"/>
      <c r="S20" s="385"/>
      <c r="T20" s="385"/>
      <c r="U20" s="385"/>
      <c r="V20" s="386"/>
    </row>
    <row r="21" spans="1:22" x14ac:dyDescent="0.35">
      <c r="A21" s="390"/>
      <c r="B21" s="385"/>
      <c r="C21" s="403"/>
      <c r="D21" s="396"/>
      <c r="E21" s="385"/>
      <c r="F21" s="385"/>
      <c r="G21" s="422"/>
      <c r="H21" s="422"/>
      <c r="I21" s="422"/>
      <c r="J21" s="385"/>
      <c r="K21" s="385"/>
      <c r="L21" s="271" t="s">
        <v>462</v>
      </c>
      <c r="M21" s="274">
        <v>45862</v>
      </c>
      <c r="N21" s="274">
        <v>45863</v>
      </c>
      <c r="O21" s="275" t="s">
        <v>468</v>
      </c>
      <c r="P21" s="271"/>
      <c r="Q21" s="271"/>
      <c r="R21" s="343"/>
      <c r="S21" s="385"/>
      <c r="T21" s="385"/>
      <c r="U21" s="385"/>
      <c r="V21" s="386"/>
    </row>
    <row r="22" spans="1:22" x14ac:dyDescent="0.35">
      <c r="A22" s="390"/>
      <c r="B22" s="385"/>
      <c r="C22" s="403"/>
      <c r="D22" s="396"/>
      <c r="E22" s="385"/>
      <c r="F22" s="385"/>
      <c r="G22" s="422"/>
      <c r="H22" s="422"/>
      <c r="I22" s="422"/>
      <c r="J22" s="385"/>
      <c r="K22" s="385"/>
      <c r="L22" s="271" t="s">
        <v>463</v>
      </c>
      <c r="M22" s="274">
        <v>45866</v>
      </c>
      <c r="N22" s="274">
        <v>45867</v>
      </c>
      <c r="O22" s="275" t="s">
        <v>469</v>
      </c>
      <c r="P22" s="271"/>
      <c r="Q22" s="271"/>
      <c r="R22" s="343"/>
      <c r="S22" s="385"/>
      <c r="T22" s="385"/>
      <c r="U22" s="385"/>
      <c r="V22" s="386"/>
    </row>
    <row r="23" spans="1:22" x14ac:dyDescent="0.35">
      <c r="A23" s="356">
        <v>11</v>
      </c>
      <c r="B23" s="343" t="s">
        <v>453</v>
      </c>
      <c r="C23" s="359" t="s">
        <v>454</v>
      </c>
      <c r="D23" s="362" t="s">
        <v>490</v>
      </c>
      <c r="E23" s="343" t="s">
        <v>491</v>
      </c>
      <c r="F23" s="343" t="s">
        <v>457</v>
      </c>
      <c r="G23" s="351">
        <v>45769</v>
      </c>
      <c r="H23" s="351">
        <f>G23+21</f>
        <v>45790</v>
      </c>
      <c r="I23" s="351">
        <v>45769</v>
      </c>
      <c r="J23" s="343">
        <f>I23-G23</f>
        <v>0</v>
      </c>
      <c r="K23" s="343">
        <f>R23-H23</f>
        <v>3</v>
      </c>
      <c r="L23" s="271" t="s">
        <v>458</v>
      </c>
      <c r="M23" s="274">
        <v>45769</v>
      </c>
      <c r="N23" s="274">
        <v>45771</v>
      </c>
      <c r="O23" s="275" t="s">
        <v>459</v>
      </c>
      <c r="P23" s="271">
        <f>N23-M23</f>
        <v>2</v>
      </c>
      <c r="Q23" s="271">
        <f>M24-N23</f>
        <v>6</v>
      </c>
      <c r="R23" s="414">
        <f>N25</f>
        <v>45793</v>
      </c>
      <c r="S23" s="343" t="s">
        <v>482</v>
      </c>
      <c r="T23" s="343" t="str">
        <f>O25</f>
        <v>CAT - I</v>
      </c>
      <c r="U23" s="343" t="s">
        <v>397</v>
      </c>
      <c r="V23" s="346">
        <f>N25-M25</f>
        <v>7</v>
      </c>
    </row>
    <row r="24" spans="1:22" x14ac:dyDescent="0.35">
      <c r="A24" s="390"/>
      <c r="B24" s="385"/>
      <c r="C24" s="403"/>
      <c r="D24" s="396"/>
      <c r="E24" s="385"/>
      <c r="F24" s="385"/>
      <c r="G24" s="422"/>
      <c r="H24" s="422"/>
      <c r="I24" s="422"/>
      <c r="J24" s="385"/>
      <c r="K24" s="385"/>
      <c r="L24" s="271" t="s">
        <v>460</v>
      </c>
      <c r="M24" s="274">
        <v>45777</v>
      </c>
      <c r="N24" s="274">
        <v>45778</v>
      </c>
      <c r="O24" s="275" t="s">
        <v>481</v>
      </c>
      <c r="P24" s="271">
        <f>N24-M24</f>
        <v>1</v>
      </c>
      <c r="Q24" s="271">
        <f>M25-N24</f>
        <v>8</v>
      </c>
      <c r="R24" s="423"/>
      <c r="S24" s="385"/>
      <c r="T24" s="385"/>
      <c r="U24" s="385"/>
      <c r="V24" s="386"/>
    </row>
    <row r="25" spans="1:22" x14ac:dyDescent="0.35">
      <c r="A25" s="390"/>
      <c r="B25" s="385"/>
      <c r="C25" s="403"/>
      <c r="D25" s="396"/>
      <c r="E25" s="385"/>
      <c r="F25" s="385"/>
      <c r="G25" s="422"/>
      <c r="H25" s="422"/>
      <c r="I25" s="422"/>
      <c r="J25" s="385"/>
      <c r="K25" s="385"/>
      <c r="L25" s="271" t="s">
        <v>462</v>
      </c>
      <c r="M25" s="274">
        <v>45786</v>
      </c>
      <c r="N25" s="274">
        <v>45793</v>
      </c>
      <c r="O25" s="275" t="s">
        <v>472</v>
      </c>
      <c r="P25" s="271">
        <f>N25-M25</f>
        <v>7</v>
      </c>
      <c r="Q25" s="271"/>
      <c r="R25" s="423"/>
      <c r="S25" s="385"/>
      <c r="T25" s="385"/>
      <c r="U25" s="385"/>
      <c r="V25" s="386"/>
    </row>
    <row r="26" spans="1:22" ht="31.5" x14ac:dyDescent="0.35">
      <c r="A26" s="315">
        <v>12</v>
      </c>
      <c r="B26" s="271" t="s">
        <v>453</v>
      </c>
      <c r="C26" s="272" t="s">
        <v>454</v>
      </c>
      <c r="D26" s="273" t="s">
        <v>492</v>
      </c>
      <c r="E26" s="271" t="s">
        <v>493</v>
      </c>
      <c r="F26" s="271" t="s">
        <v>467</v>
      </c>
      <c r="G26" s="274">
        <v>45801</v>
      </c>
      <c r="H26" s="274">
        <f>G26+21</f>
        <v>45822</v>
      </c>
      <c r="I26" s="274">
        <v>45843</v>
      </c>
      <c r="J26" s="271">
        <f>I26-G26</f>
        <v>42</v>
      </c>
      <c r="K26" s="271">
        <f>R26-H26</f>
        <v>23</v>
      </c>
      <c r="L26" s="271" t="s">
        <v>458</v>
      </c>
      <c r="M26" s="274">
        <v>45843</v>
      </c>
      <c r="N26" s="274">
        <v>45845</v>
      </c>
      <c r="O26" s="275" t="s">
        <v>469</v>
      </c>
      <c r="P26" s="271">
        <f>N26-M26</f>
        <v>2</v>
      </c>
      <c r="Q26" s="271"/>
      <c r="R26" s="274">
        <f>N26</f>
        <v>45845</v>
      </c>
      <c r="S26" s="271" t="s">
        <v>482</v>
      </c>
      <c r="T26" s="271" t="str">
        <f>T23</f>
        <v>CAT - I</v>
      </c>
      <c r="U26" s="271" t="s">
        <v>397</v>
      </c>
      <c r="V26" s="316"/>
    </row>
    <row r="27" spans="1:22" ht="31.5" x14ac:dyDescent="0.35">
      <c r="A27" s="313">
        <v>13</v>
      </c>
      <c r="B27" s="257" t="s">
        <v>453</v>
      </c>
      <c r="C27" s="268" t="s">
        <v>454</v>
      </c>
      <c r="D27" s="269" t="s">
        <v>494</v>
      </c>
      <c r="E27" s="259" t="s">
        <v>495</v>
      </c>
      <c r="F27" s="257" t="s">
        <v>467</v>
      </c>
      <c r="G27" s="270">
        <v>45741</v>
      </c>
      <c r="H27" s="270">
        <f>G27+15</f>
        <v>45756</v>
      </c>
      <c r="I27" s="270"/>
      <c r="J27" s="257"/>
      <c r="K27" s="257">
        <f ca="1">$I$1-H27</f>
        <v>142</v>
      </c>
      <c r="L27" s="259"/>
      <c r="M27" s="276"/>
      <c r="N27" s="276"/>
      <c r="O27" s="277"/>
      <c r="P27" s="259"/>
      <c r="Q27" s="259"/>
      <c r="R27" s="259"/>
      <c r="S27" s="259"/>
      <c r="T27" s="259"/>
      <c r="U27" s="259"/>
      <c r="V27" s="321"/>
    </row>
    <row r="28" spans="1:22" ht="42" x14ac:dyDescent="0.35">
      <c r="A28" s="313">
        <v>14</v>
      </c>
      <c r="B28" s="257" t="s">
        <v>453</v>
      </c>
      <c r="C28" s="268" t="s">
        <v>454</v>
      </c>
      <c r="D28" s="269" t="s">
        <v>496</v>
      </c>
      <c r="E28" s="259" t="s">
        <v>497</v>
      </c>
      <c r="F28" s="257" t="s">
        <v>457</v>
      </c>
      <c r="G28" s="270">
        <v>45741</v>
      </c>
      <c r="H28" s="270">
        <f>G28+14</f>
        <v>45755</v>
      </c>
      <c r="I28" s="270"/>
      <c r="J28" s="257"/>
      <c r="K28" s="257">
        <f ca="1">$I$1-H28</f>
        <v>143</v>
      </c>
      <c r="L28" s="259"/>
      <c r="M28" s="276"/>
      <c r="N28" s="276"/>
      <c r="O28" s="277"/>
      <c r="P28" s="259"/>
      <c r="Q28" s="259"/>
      <c r="R28" s="259"/>
      <c r="S28" s="259"/>
      <c r="T28" s="259"/>
      <c r="U28" s="259"/>
      <c r="V28" s="321"/>
    </row>
    <row r="29" spans="1:22" x14ac:dyDescent="0.35">
      <c r="A29" s="356">
        <v>1</v>
      </c>
      <c r="B29" s="343" t="s">
        <v>6</v>
      </c>
      <c r="C29" s="359" t="s">
        <v>498</v>
      </c>
      <c r="D29" s="362" t="s">
        <v>499</v>
      </c>
      <c r="E29" s="343" t="s">
        <v>500</v>
      </c>
      <c r="F29" s="343" t="s">
        <v>457</v>
      </c>
      <c r="G29" s="351">
        <v>45727</v>
      </c>
      <c r="H29" s="351">
        <f>G29+21</f>
        <v>45748</v>
      </c>
      <c r="I29" s="351">
        <v>45727</v>
      </c>
      <c r="J29" s="343">
        <f>I29-G29</f>
        <v>0</v>
      </c>
      <c r="K29" s="343">
        <f>R29-H29</f>
        <v>62</v>
      </c>
      <c r="L29" s="271" t="s">
        <v>458</v>
      </c>
      <c r="M29" s="274">
        <v>45727</v>
      </c>
      <c r="N29" s="274">
        <v>45736</v>
      </c>
      <c r="O29" s="275" t="s">
        <v>459</v>
      </c>
      <c r="P29" s="271">
        <f>N29-M29</f>
        <v>9</v>
      </c>
      <c r="Q29" s="271">
        <f>M30-N29</f>
        <v>19</v>
      </c>
      <c r="R29" s="351">
        <f>N31</f>
        <v>45810</v>
      </c>
      <c r="S29" s="343" t="s">
        <v>397</v>
      </c>
      <c r="T29" s="343" t="str">
        <f>O31</f>
        <v>CAT - I</v>
      </c>
      <c r="U29" s="343" t="s">
        <v>397</v>
      </c>
      <c r="V29" s="346">
        <f ca="1">V1-M31</f>
        <v>93</v>
      </c>
    </row>
    <row r="30" spans="1:22" x14ac:dyDescent="0.35">
      <c r="A30" s="390"/>
      <c r="B30" s="385"/>
      <c r="C30" s="403"/>
      <c r="D30" s="396"/>
      <c r="E30" s="385"/>
      <c r="F30" s="385"/>
      <c r="G30" s="422"/>
      <c r="H30" s="422"/>
      <c r="I30" s="422"/>
      <c r="J30" s="385"/>
      <c r="K30" s="385"/>
      <c r="L30" s="271" t="s">
        <v>460</v>
      </c>
      <c r="M30" s="274">
        <v>45755</v>
      </c>
      <c r="N30" s="274">
        <v>45758</v>
      </c>
      <c r="O30" s="275" t="s">
        <v>481</v>
      </c>
      <c r="P30" s="271">
        <f>N30-M30</f>
        <v>3</v>
      </c>
      <c r="Q30" s="271">
        <f>M31-N30</f>
        <v>47</v>
      </c>
      <c r="R30" s="385"/>
      <c r="S30" s="385"/>
      <c r="T30" s="385"/>
      <c r="U30" s="385"/>
      <c r="V30" s="386"/>
    </row>
    <row r="31" spans="1:22" x14ac:dyDescent="0.35">
      <c r="A31" s="390"/>
      <c r="B31" s="385"/>
      <c r="C31" s="403"/>
      <c r="D31" s="396"/>
      <c r="E31" s="385"/>
      <c r="F31" s="385"/>
      <c r="G31" s="422"/>
      <c r="H31" s="422"/>
      <c r="I31" s="422"/>
      <c r="J31" s="385"/>
      <c r="K31" s="385"/>
      <c r="L31" s="271" t="s">
        <v>462</v>
      </c>
      <c r="M31" s="274">
        <v>45805</v>
      </c>
      <c r="N31" s="274">
        <v>45810</v>
      </c>
      <c r="O31" s="275" t="s">
        <v>472</v>
      </c>
      <c r="P31" s="271">
        <f>N31-M31</f>
        <v>5</v>
      </c>
      <c r="Q31" s="271"/>
      <c r="R31" s="385"/>
      <c r="S31" s="385"/>
      <c r="T31" s="385"/>
      <c r="U31" s="385"/>
      <c r="V31" s="386"/>
    </row>
    <row r="32" spans="1:22" x14ac:dyDescent="0.35">
      <c r="A32" s="356">
        <v>2</v>
      </c>
      <c r="B32" s="343" t="s">
        <v>6</v>
      </c>
      <c r="C32" s="359" t="s">
        <v>498</v>
      </c>
      <c r="D32" s="362" t="s">
        <v>813</v>
      </c>
      <c r="E32" s="343" t="s">
        <v>501</v>
      </c>
      <c r="F32" s="343" t="s">
        <v>457</v>
      </c>
      <c r="G32" s="351">
        <v>45805</v>
      </c>
      <c r="H32" s="351">
        <f>G32+21</f>
        <v>45826</v>
      </c>
      <c r="I32" s="351">
        <v>45811</v>
      </c>
      <c r="J32" s="343">
        <f>I32-G32</f>
        <v>6</v>
      </c>
      <c r="K32" s="343">
        <f>R32-H32</f>
        <v>20</v>
      </c>
      <c r="L32" s="271" t="s">
        <v>458</v>
      </c>
      <c r="M32" s="274">
        <v>45811</v>
      </c>
      <c r="N32" s="274">
        <v>45818</v>
      </c>
      <c r="O32" s="275" t="s">
        <v>459</v>
      </c>
      <c r="P32" s="271">
        <f>N32-M32</f>
        <v>7</v>
      </c>
      <c r="Q32" s="271">
        <f>M33-N32</f>
        <v>15</v>
      </c>
      <c r="R32" s="351">
        <f>N33</f>
        <v>45846</v>
      </c>
      <c r="S32" s="343" t="s">
        <v>397</v>
      </c>
      <c r="T32" s="343" t="str">
        <f>O33</f>
        <v>CAT - I</v>
      </c>
      <c r="U32" s="343" t="s">
        <v>397</v>
      </c>
      <c r="V32" s="346">
        <f ca="1">V1-M32</f>
        <v>87</v>
      </c>
    </row>
    <row r="33" spans="1:22" x14ac:dyDescent="0.35">
      <c r="A33" s="390"/>
      <c r="B33" s="385"/>
      <c r="C33" s="403"/>
      <c r="D33" s="396"/>
      <c r="E33" s="385"/>
      <c r="F33" s="385"/>
      <c r="G33" s="422"/>
      <c r="H33" s="422"/>
      <c r="I33" s="422"/>
      <c r="J33" s="385"/>
      <c r="K33" s="385"/>
      <c r="L33" s="271" t="s">
        <v>460</v>
      </c>
      <c r="M33" s="274">
        <v>45833</v>
      </c>
      <c r="N33" s="274">
        <v>45846</v>
      </c>
      <c r="O33" s="275" t="s">
        <v>472</v>
      </c>
      <c r="P33" s="271">
        <f ca="1">I1-M33</f>
        <v>65</v>
      </c>
      <c r="Q33" s="271"/>
      <c r="R33" s="385"/>
      <c r="S33" s="385"/>
      <c r="T33" s="385"/>
      <c r="U33" s="385"/>
      <c r="V33" s="386"/>
    </row>
    <row r="34" spans="1:22" x14ac:dyDescent="0.35">
      <c r="A34" s="356">
        <v>3</v>
      </c>
      <c r="B34" s="343" t="s">
        <v>6</v>
      </c>
      <c r="C34" s="359" t="s">
        <v>498</v>
      </c>
      <c r="D34" s="362" t="s">
        <v>502</v>
      </c>
      <c r="E34" s="343" t="s">
        <v>503</v>
      </c>
      <c r="F34" s="343" t="s">
        <v>457</v>
      </c>
      <c r="G34" s="351">
        <v>45795</v>
      </c>
      <c r="H34" s="351">
        <f>G34+21</f>
        <v>45816</v>
      </c>
      <c r="I34" s="351">
        <v>45813</v>
      </c>
      <c r="J34" s="343">
        <f>I34-G34</f>
        <v>18</v>
      </c>
      <c r="K34" s="343">
        <f>R34-H34</f>
        <v>52</v>
      </c>
      <c r="L34" s="271" t="s">
        <v>458</v>
      </c>
      <c r="M34" s="274">
        <v>45813</v>
      </c>
      <c r="N34" s="274">
        <v>45828</v>
      </c>
      <c r="O34" s="391" t="s">
        <v>472</v>
      </c>
      <c r="P34" s="271">
        <f t="shared" ref="P34:P40" si="0">N34-M34</f>
        <v>15</v>
      </c>
      <c r="Q34" s="271">
        <f>M35-N34</f>
        <v>21</v>
      </c>
      <c r="R34" s="351">
        <f>N35</f>
        <v>45868</v>
      </c>
      <c r="S34" s="343" t="s">
        <v>397</v>
      </c>
      <c r="T34" s="343" t="str">
        <f>O34</f>
        <v>CAT - I</v>
      </c>
      <c r="U34" s="343" t="s">
        <v>397</v>
      </c>
      <c r="V34" s="346">
        <f ca="1">V1-M34</f>
        <v>85</v>
      </c>
    </row>
    <row r="35" spans="1:22" x14ac:dyDescent="0.35">
      <c r="A35" s="390"/>
      <c r="B35" s="385"/>
      <c r="C35" s="403"/>
      <c r="D35" s="396"/>
      <c r="E35" s="385"/>
      <c r="F35" s="385"/>
      <c r="G35" s="422"/>
      <c r="H35" s="422"/>
      <c r="I35" s="422"/>
      <c r="J35" s="385"/>
      <c r="K35" s="385"/>
      <c r="L35" s="271" t="s">
        <v>460</v>
      </c>
      <c r="M35" s="274">
        <v>45849</v>
      </c>
      <c r="N35" s="274">
        <v>45868</v>
      </c>
      <c r="O35" s="391"/>
      <c r="P35" s="271">
        <f ca="1">I1-M35</f>
        <v>49</v>
      </c>
      <c r="Q35" s="271"/>
      <c r="R35" s="385"/>
      <c r="S35" s="385"/>
      <c r="T35" s="385"/>
      <c r="U35" s="385"/>
      <c r="V35" s="386"/>
    </row>
    <row r="36" spans="1:22" x14ac:dyDescent="0.35">
      <c r="A36" s="356">
        <v>4</v>
      </c>
      <c r="B36" s="343" t="s">
        <v>6</v>
      </c>
      <c r="C36" s="359" t="s">
        <v>498</v>
      </c>
      <c r="D36" s="362" t="s">
        <v>504</v>
      </c>
      <c r="E36" s="343" t="s">
        <v>505</v>
      </c>
      <c r="F36" s="343" t="s">
        <v>457</v>
      </c>
      <c r="G36" s="351">
        <v>45751</v>
      </c>
      <c r="H36" s="351">
        <f>G36+21</f>
        <v>45772</v>
      </c>
      <c r="I36" s="351">
        <v>45727</v>
      </c>
      <c r="J36" s="343">
        <f>I36-G36</f>
        <v>-24</v>
      </c>
      <c r="K36" s="343">
        <f>R36-H36</f>
        <v>53</v>
      </c>
      <c r="L36" s="271" t="s">
        <v>458</v>
      </c>
      <c r="M36" s="274">
        <v>45727</v>
      </c>
      <c r="N36" s="274">
        <v>45736</v>
      </c>
      <c r="O36" s="275" t="s">
        <v>481</v>
      </c>
      <c r="P36" s="271">
        <f t="shared" si="0"/>
        <v>9</v>
      </c>
      <c r="Q36" s="271">
        <f>M37-N36</f>
        <v>19</v>
      </c>
      <c r="R36" s="393">
        <f>N40</f>
        <v>45825</v>
      </c>
      <c r="S36" s="343" t="s">
        <v>397</v>
      </c>
      <c r="T36" s="343" t="str">
        <f>O41</f>
        <v>CAT - I</v>
      </c>
      <c r="U36" s="343" t="s">
        <v>397</v>
      </c>
      <c r="V36" s="346">
        <f>N38-M38</f>
        <v>1</v>
      </c>
    </row>
    <row r="37" spans="1:22" x14ac:dyDescent="0.35">
      <c r="A37" s="390"/>
      <c r="B37" s="385"/>
      <c r="C37" s="395"/>
      <c r="D37" s="396"/>
      <c r="E37" s="385"/>
      <c r="F37" s="385"/>
      <c r="G37" s="422"/>
      <c r="H37" s="422"/>
      <c r="I37" s="422"/>
      <c r="J37" s="385"/>
      <c r="K37" s="385"/>
      <c r="L37" s="271" t="s">
        <v>460</v>
      </c>
      <c r="M37" s="274">
        <v>45755</v>
      </c>
      <c r="N37" s="274">
        <v>45758</v>
      </c>
      <c r="O37" s="275" t="s">
        <v>472</v>
      </c>
      <c r="P37" s="271">
        <f t="shared" si="0"/>
        <v>3</v>
      </c>
      <c r="Q37" s="271">
        <f>M38-N37</f>
        <v>25</v>
      </c>
      <c r="R37" s="393"/>
      <c r="S37" s="385"/>
      <c r="T37" s="385"/>
      <c r="U37" s="385"/>
      <c r="V37" s="386"/>
    </row>
    <row r="38" spans="1:22" x14ac:dyDescent="0.35">
      <c r="A38" s="390"/>
      <c r="B38" s="385"/>
      <c r="C38" s="395"/>
      <c r="D38" s="396"/>
      <c r="E38" s="385"/>
      <c r="F38" s="385"/>
      <c r="G38" s="422"/>
      <c r="H38" s="422"/>
      <c r="I38" s="422"/>
      <c r="J38" s="385"/>
      <c r="K38" s="385"/>
      <c r="L38" s="271" t="s">
        <v>462</v>
      </c>
      <c r="M38" s="274">
        <v>45783</v>
      </c>
      <c r="N38" s="274">
        <v>45784</v>
      </c>
      <c r="O38" s="275" t="s">
        <v>472</v>
      </c>
      <c r="P38" s="271">
        <f t="shared" si="0"/>
        <v>1</v>
      </c>
      <c r="Q38" s="271">
        <f>M39-N38</f>
        <v>21</v>
      </c>
      <c r="R38" s="393"/>
      <c r="S38" s="385"/>
      <c r="T38" s="385"/>
      <c r="U38" s="385"/>
      <c r="V38" s="386"/>
    </row>
    <row r="39" spans="1:22" x14ac:dyDescent="0.35">
      <c r="A39" s="390"/>
      <c r="B39" s="385"/>
      <c r="C39" s="395"/>
      <c r="D39" s="396"/>
      <c r="E39" s="385"/>
      <c r="F39" s="385"/>
      <c r="G39" s="422"/>
      <c r="H39" s="422"/>
      <c r="I39" s="422"/>
      <c r="J39" s="385"/>
      <c r="K39" s="385"/>
      <c r="L39" s="271" t="s">
        <v>463</v>
      </c>
      <c r="M39" s="274">
        <v>45805</v>
      </c>
      <c r="N39" s="274">
        <v>45807</v>
      </c>
      <c r="O39" s="275" t="s">
        <v>481</v>
      </c>
      <c r="P39" s="271">
        <f t="shared" si="0"/>
        <v>2</v>
      </c>
      <c r="Q39" s="271"/>
      <c r="R39" s="393"/>
      <c r="S39" s="385"/>
      <c r="T39" s="385"/>
      <c r="U39" s="385"/>
      <c r="V39" s="386"/>
    </row>
    <row r="40" spans="1:22" x14ac:dyDescent="0.35">
      <c r="A40" s="390"/>
      <c r="B40" s="385"/>
      <c r="C40" s="395"/>
      <c r="D40" s="396"/>
      <c r="E40" s="385"/>
      <c r="F40" s="385"/>
      <c r="G40" s="422"/>
      <c r="H40" s="422"/>
      <c r="I40" s="422"/>
      <c r="J40" s="385"/>
      <c r="K40" s="385"/>
      <c r="L40" s="271" t="s">
        <v>816</v>
      </c>
      <c r="M40" s="274">
        <v>45825</v>
      </c>
      <c r="N40" s="274">
        <v>45825</v>
      </c>
      <c r="O40" s="275" t="s">
        <v>472</v>
      </c>
      <c r="P40" s="271">
        <f t="shared" si="0"/>
        <v>0</v>
      </c>
      <c r="Q40" s="271"/>
      <c r="R40" s="393"/>
      <c r="S40" s="385"/>
      <c r="T40" s="385"/>
      <c r="U40" s="385"/>
      <c r="V40" s="386"/>
    </row>
    <row r="41" spans="1:22" x14ac:dyDescent="0.35">
      <c r="A41" s="390"/>
      <c r="B41" s="385"/>
      <c r="C41" s="395"/>
      <c r="D41" s="396"/>
      <c r="E41" s="385"/>
      <c r="F41" s="385"/>
      <c r="G41" s="422"/>
      <c r="H41" s="422"/>
      <c r="I41" s="422"/>
      <c r="J41" s="385"/>
      <c r="K41" s="385"/>
      <c r="L41" s="271" t="s">
        <v>823</v>
      </c>
      <c r="M41" s="274">
        <v>45855</v>
      </c>
      <c r="N41" s="274">
        <v>45859</v>
      </c>
      <c r="O41" s="275" t="s">
        <v>472</v>
      </c>
      <c r="P41" s="271">
        <f>N41-M41</f>
        <v>4</v>
      </c>
      <c r="Q41" s="271"/>
      <c r="R41" s="393"/>
      <c r="S41" s="385"/>
      <c r="T41" s="385"/>
      <c r="U41" s="385"/>
      <c r="V41" s="386"/>
    </row>
    <row r="42" spans="1:22" x14ac:dyDescent="0.35">
      <c r="A42" s="356">
        <v>5</v>
      </c>
      <c r="B42" s="343" t="s">
        <v>6</v>
      </c>
      <c r="C42" s="359" t="s">
        <v>498</v>
      </c>
      <c r="D42" s="362" t="s">
        <v>506</v>
      </c>
      <c r="E42" s="343" t="s">
        <v>508</v>
      </c>
      <c r="F42" s="343" t="s">
        <v>457</v>
      </c>
      <c r="G42" s="351">
        <v>45811</v>
      </c>
      <c r="H42" s="351">
        <f>G42+15</f>
        <v>45826</v>
      </c>
      <c r="I42" s="351">
        <v>45811</v>
      </c>
      <c r="J42" s="343">
        <f>I42-G42</f>
        <v>0</v>
      </c>
      <c r="K42" s="343">
        <f>R42-H42</f>
        <v>20</v>
      </c>
      <c r="L42" s="271" t="s">
        <v>458</v>
      </c>
      <c r="M42" s="274">
        <v>45811</v>
      </c>
      <c r="N42" s="274">
        <v>45818</v>
      </c>
      <c r="O42" s="275" t="s">
        <v>459</v>
      </c>
      <c r="P42" s="271">
        <f>N42-M42</f>
        <v>7</v>
      </c>
      <c r="Q42" s="271">
        <f>M43-N42</f>
        <v>15</v>
      </c>
      <c r="R42" s="351">
        <f>N43</f>
        <v>45846</v>
      </c>
      <c r="S42" s="343" t="s">
        <v>397</v>
      </c>
      <c r="T42" s="343" t="str">
        <f>O43</f>
        <v>CAT - I</v>
      </c>
      <c r="U42" s="343" t="s">
        <v>397</v>
      </c>
      <c r="V42" s="316">
        <f ca="1">V1-M42</f>
        <v>87</v>
      </c>
    </row>
    <row r="43" spans="1:22" x14ac:dyDescent="0.35">
      <c r="A43" s="390"/>
      <c r="B43" s="385"/>
      <c r="C43" s="403"/>
      <c r="D43" s="396"/>
      <c r="E43" s="385"/>
      <c r="F43" s="385"/>
      <c r="G43" s="422"/>
      <c r="H43" s="422"/>
      <c r="I43" s="422"/>
      <c r="J43" s="385"/>
      <c r="K43" s="385"/>
      <c r="L43" s="271" t="s">
        <v>460</v>
      </c>
      <c r="M43" s="274">
        <v>45833</v>
      </c>
      <c r="N43" s="274">
        <v>45846</v>
      </c>
      <c r="O43" s="275" t="s">
        <v>472</v>
      </c>
      <c r="P43" s="271">
        <f>N43-M43</f>
        <v>13</v>
      </c>
      <c r="Q43" s="271"/>
      <c r="R43" s="343"/>
      <c r="S43" s="385"/>
      <c r="T43" s="385"/>
      <c r="U43" s="385"/>
      <c r="V43" s="318"/>
    </row>
    <row r="44" spans="1:22" x14ac:dyDescent="0.35">
      <c r="A44" s="356">
        <v>6</v>
      </c>
      <c r="B44" s="343" t="s">
        <v>6</v>
      </c>
      <c r="C44" s="359" t="s">
        <v>498</v>
      </c>
      <c r="D44" s="362" t="s">
        <v>507</v>
      </c>
      <c r="E44" s="343" t="s">
        <v>508</v>
      </c>
      <c r="F44" s="343" t="s">
        <v>457</v>
      </c>
      <c r="G44" s="351">
        <v>45751</v>
      </c>
      <c r="H44" s="351">
        <f>G44+21</f>
        <v>45772</v>
      </c>
      <c r="I44" s="351">
        <v>45727</v>
      </c>
      <c r="J44" s="343">
        <f>I44-G44</f>
        <v>-24</v>
      </c>
      <c r="K44" s="343">
        <f>R44-H44</f>
        <v>-14</v>
      </c>
      <c r="L44" s="271" t="s">
        <v>458</v>
      </c>
      <c r="M44" s="274">
        <v>45727</v>
      </c>
      <c r="N44" s="274">
        <v>45736</v>
      </c>
      <c r="O44" s="275" t="s">
        <v>459</v>
      </c>
      <c r="P44" s="271">
        <f t="shared" ref="P44:P59" si="1">N44-M44</f>
        <v>9</v>
      </c>
      <c r="Q44" s="271">
        <f>M45-N44</f>
        <v>19</v>
      </c>
      <c r="R44" s="393">
        <v>45758</v>
      </c>
      <c r="S44" s="343" t="s">
        <v>397</v>
      </c>
      <c r="T44" s="343" t="str">
        <f>O45</f>
        <v>CAT - I</v>
      </c>
      <c r="U44" s="343" t="s">
        <v>397</v>
      </c>
      <c r="V44" s="346"/>
    </row>
    <row r="45" spans="1:22" x14ac:dyDescent="0.35">
      <c r="A45" s="390"/>
      <c r="B45" s="385"/>
      <c r="C45" s="403"/>
      <c r="D45" s="396"/>
      <c r="E45" s="385"/>
      <c r="F45" s="385"/>
      <c r="G45" s="422"/>
      <c r="H45" s="422"/>
      <c r="I45" s="422"/>
      <c r="J45" s="385"/>
      <c r="K45" s="385"/>
      <c r="L45" s="271" t="s">
        <v>460</v>
      </c>
      <c r="M45" s="274">
        <v>45755</v>
      </c>
      <c r="N45" s="274">
        <v>45758</v>
      </c>
      <c r="O45" s="275" t="s">
        <v>472</v>
      </c>
      <c r="P45" s="271">
        <f t="shared" si="1"/>
        <v>3</v>
      </c>
      <c r="Q45" s="271"/>
      <c r="R45" s="393"/>
      <c r="S45" s="385"/>
      <c r="T45" s="385"/>
      <c r="U45" s="385"/>
      <c r="V45" s="386"/>
    </row>
    <row r="46" spans="1:22" x14ac:dyDescent="0.35">
      <c r="A46" s="356">
        <v>7</v>
      </c>
      <c r="B46" s="343" t="s">
        <v>6</v>
      </c>
      <c r="C46" s="359" t="s">
        <v>498</v>
      </c>
      <c r="D46" s="362" t="s">
        <v>509</v>
      </c>
      <c r="E46" s="343" t="s">
        <v>510</v>
      </c>
      <c r="F46" s="343" t="s">
        <v>467</v>
      </c>
      <c r="G46" s="351">
        <v>45769</v>
      </c>
      <c r="H46" s="351">
        <f>G46+15</f>
        <v>45784</v>
      </c>
      <c r="I46" s="351">
        <v>45769</v>
      </c>
      <c r="J46" s="343">
        <f>I46-G46</f>
        <v>0</v>
      </c>
      <c r="K46" s="343">
        <f>R46-H46</f>
        <v>-5</v>
      </c>
      <c r="L46" s="271" t="s">
        <v>458</v>
      </c>
      <c r="M46" s="274">
        <v>45769</v>
      </c>
      <c r="N46" s="274">
        <v>45779</v>
      </c>
      <c r="O46" s="275" t="s">
        <v>511</v>
      </c>
      <c r="P46" s="271">
        <f t="shared" si="1"/>
        <v>10</v>
      </c>
      <c r="Q46" s="271">
        <f>M47-N46</f>
        <v>3</v>
      </c>
      <c r="R46" s="414">
        <f>N46</f>
        <v>45779</v>
      </c>
      <c r="S46" s="343" t="s">
        <v>397</v>
      </c>
      <c r="T46" s="343" t="str">
        <f>O47</f>
        <v xml:space="preserve">CAT -IV </v>
      </c>
      <c r="U46" s="343" t="s">
        <v>397</v>
      </c>
      <c r="V46" s="346"/>
    </row>
    <row r="47" spans="1:22" x14ac:dyDescent="0.35">
      <c r="A47" s="390"/>
      <c r="B47" s="385"/>
      <c r="C47" s="395"/>
      <c r="D47" s="396"/>
      <c r="E47" s="385"/>
      <c r="F47" s="385"/>
      <c r="G47" s="422"/>
      <c r="H47" s="422"/>
      <c r="I47" s="422"/>
      <c r="J47" s="385"/>
      <c r="K47" s="385"/>
      <c r="L47" s="271" t="s">
        <v>460</v>
      </c>
      <c r="M47" s="274">
        <v>45782</v>
      </c>
      <c r="N47" s="274">
        <v>45784</v>
      </c>
      <c r="O47" s="275" t="s">
        <v>511</v>
      </c>
      <c r="P47" s="271">
        <f t="shared" si="1"/>
        <v>2</v>
      </c>
      <c r="Q47" s="271">
        <f>M49-N47</f>
        <v>41</v>
      </c>
      <c r="R47" s="414"/>
      <c r="S47" s="385"/>
      <c r="T47" s="385"/>
      <c r="U47" s="385"/>
      <c r="V47" s="386"/>
    </row>
    <row r="48" spans="1:22" x14ac:dyDescent="0.35">
      <c r="A48" s="390"/>
      <c r="B48" s="385"/>
      <c r="C48" s="395"/>
      <c r="D48" s="396"/>
      <c r="E48" s="385"/>
      <c r="F48" s="385"/>
      <c r="G48" s="422"/>
      <c r="H48" s="422"/>
      <c r="I48" s="422"/>
      <c r="J48" s="385"/>
      <c r="K48" s="385"/>
      <c r="L48" s="271" t="s">
        <v>462</v>
      </c>
      <c r="M48" s="274">
        <v>45805</v>
      </c>
      <c r="N48" s="274">
        <v>45807</v>
      </c>
      <c r="O48" s="275" t="s">
        <v>511</v>
      </c>
      <c r="P48" s="271">
        <f t="shared" si="1"/>
        <v>2</v>
      </c>
      <c r="Q48" s="271">
        <f>M49-N48</f>
        <v>18</v>
      </c>
      <c r="R48" s="414"/>
      <c r="S48" s="385"/>
      <c r="T48" s="385"/>
      <c r="U48" s="385"/>
      <c r="V48" s="386"/>
    </row>
    <row r="49" spans="1:22" x14ac:dyDescent="0.35">
      <c r="A49" s="390"/>
      <c r="B49" s="385"/>
      <c r="C49" s="395"/>
      <c r="D49" s="396"/>
      <c r="E49" s="385"/>
      <c r="F49" s="385"/>
      <c r="G49" s="422"/>
      <c r="H49" s="422"/>
      <c r="I49" s="422"/>
      <c r="J49" s="385"/>
      <c r="K49" s="385"/>
      <c r="L49" s="271" t="s">
        <v>463</v>
      </c>
      <c r="M49" s="274">
        <v>45825</v>
      </c>
      <c r="N49" s="274">
        <v>45825</v>
      </c>
      <c r="O49" s="275" t="s">
        <v>511</v>
      </c>
      <c r="P49" s="271">
        <f t="shared" si="1"/>
        <v>0</v>
      </c>
      <c r="Q49" s="271"/>
      <c r="R49" s="414"/>
      <c r="S49" s="385"/>
      <c r="T49" s="385"/>
      <c r="U49" s="385"/>
      <c r="V49" s="386"/>
    </row>
    <row r="50" spans="1:22" x14ac:dyDescent="0.35">
      <c r="A50" s="390"/>
      <c r="B50" s="385"/>
      <c r="C50" s="395"/>
      <c r="D50" s="396"/>
      <c r="E50" s="385"/>
      <c r="F50" s="385"/>
      <c r="G50" s="422"/>
      <c r="H50" s="422"/>
      <c r="I50" s="422"/>
      <c r="J50" s="385"/>
      <c r="K50" s="385"/>
      <c r="L50" s="271" t="s">
        <v>816</v>
      </c>
      <c r="M50" s="274">
        <v>45838</v>
      </c>
      <c r="N50" s="274">
        <v>45838</v>
      </c>
      <c r="O50" s="275" t="s">
        <v>511</v>
      </c>
      <c r="P50" s="271">
        <f t="shared" si="1"/>
        <v>0</v>
      </c>
      <c r="Q50" s="271"/>
      <c r="R50" s="414"/>
      <c r="S50" s="385"/>
      <c r="T50" s="385"/>
      <c r="U50" s="385"/>
      <c r="V50" s="318"/>
    </row>
    <row r="51" spans="1:22" x14ac:dyDescent="0.35">
      <c r="A51" s="390"/>
      <c r="B51" s="385"/>
      <c r="C51" s="395"/>
      <c r="D51" s="396"/>
      <c r="E51" s="385"/>
      <c r="F51" s="385"/>
      <c r="G51" s="422"/>
      <c r="H51" s="422"/>
      <c r="I51" s="422"/>
      <c r="J51" s="385"/>
      <c r="K51" s="385"/>
      <c r="L51" s="271" t="s">
        <v>823</v>
      </c>
      <c r="M51" s="274">
        <v>45866</v>
      </c>
      <c r="N51" s="279">
        <v>45868</v>
      </c>
      <c r="O51" s="275" t="s">
        <v>511</v>
      </c>
      <c r="P51" s="271">
        <f>N51-M51</f>
        <v>2</v>
      </c>
      <c r="Q51" s="271"/>
      <c r="R51" s="414"/>
      <c r="S51" s="385"/>
      <c r="T51" s="385"/>
      <c r="U51" s="385"/>
      <c r="V51" s="318"/>
    </row>
    <row r="52" spans="1:22" x14ac:dyDescent="0.35">
      <c r="A52" s="356">
        <v>8</v>
      </c>
      <c r="B52" s="343" t="s">
        <v>6</v>
      </c>
      <c r="C52" s="359" t="s">
        <v>498</v>
      </c>
      <c r="D52" s="362" t="s">
        <v>512</v>
      </c>
      <c r="E52" s="343" t="s">
        <v>513</v>
      </c>
      <c r="F52" s="343" t="s">
        <v>467</v>
      </c>
      <c r="G52" s="351">
        <v>45811</v>
      </c>
      <c r="H52" s="351">
        <f>G52+15</f>
        <v>45826</v>
      </c>
      <c r="I52" s="351">
        <v>45811</v>
      </c>
      <c r="J52" s="343">
        <f>I52-G52</f>
        <v>0</v>
      </c>
      <c r="K52" s="343">
        <f>R52-H52</f>
        <v>20</v>
      </c>
      <c r="L52" s="271" t="s">
        <v>458</v>
      </c>
      <c r="M52" s="274">
        <v>45811</v>
      </c>
      <c r="N52" s="274">
        <v>45818</v>
      </c>
      <c r="O52" s="275" t="s">
        <v>468</v>
      </c>
      <c r="P52" s="271">
        <f t="shared" si="1"/>
        <v>7</v>
      </c>
      <c r="Q52" s="271">
        <f>M53-N52</f>
        <v>15</v>
      </c>
      <c r="R52" s="351">
        <f>N53</f>
        <v>45846</v>
      </c>
      <c r="S52" s="343" t="s">
        <v>397</v>
      </c>
      <c r="T52" s="343" t="str">
        <f>O53</f>
        <v xml:space="preserve">CAT -IV </v>
      </c>
      <c r="U52" s="343" t="s">
        <v>397</v>
      </c>
      <c r="V52" s="316"/>
    </row>
    <row r="53" spans="1:22" x14ac:dyDescent="0.35">
      <c r="A53" s="390"/>
      <c r="B53" s="385"/>
      <c r="C53" s="403"/>
      <c r="D53" s="396"/>
      <c r="E53" s="385"/>
      <c r="F53" s="385"/>
      <c r="G53" s="422"/>
      <c r="H53" s="422"/>
      <c r="I53" s="422"/>
      <c r="J53" s="385"/>
      <c r="K53" s="385"/>
      <c r="L53" s="271" t="s">
        <v>460</v>
      </c>
      <c r="M53" s="274">
        <v>45833</v>
      </c>
      <c r="N53" s="274">
        <v>45846</v>
      </c>
      <c r="O53" s="275" t="s">
        <v>511</v>
      </c>
      <c r="P53" s="271">
        <f t="shared" si="1"/>
        <v>13</v>
      </c>
      <c r="Q53" s="271"/>
      <c r="R53" s="385"/>
      <c r="S53" s="385"/>
      <c r="T53" s="385"/>
      <c r="U53" s="385"/>
      <c r="V53" s="318"/>
    </row>
    <row r="54" spans="1:22" ht="42" x14ac:dyDescent="0.35">
      <c r="A54" s="315">
        <v>9</v>
      </c>
      <c r="B54" s="271" t="s">
        <v>6</v>
      </c>
      <c r="C54" s="272" t="s">
        <v>498</v>
      </c>
      <c r="D54" s="273" t="s">
        <v>514</v>
      </c>
      <c r="E54" s="271" t="s">
        <v>861</v>
      </c>
      <c r="F54" s="271" t="s">
        <v>467</v>
      </c>
      <c r="G54" s="274">
        <v>45824</v>
      </c>
      <c r="H54" s="274">
        <f>G54+5</f>
        <v>45829</v>
      </c>
      <c r="I54" s="274">
        <v>45842</v>
      </c>
      <c r="J54" s="271">
        <f>I54-G54</f>
        <v>18</v>
      </c>
      <c r="K54" s="271">
        <f>R54-H54</f>
        <v>16</v>
      </c>
      <c r="L54" s="271" t="s">
        <v>458</v>
      </c>
      <c r="M54" s="274">
        <v>45842</v>
      </c>
      <c r="N54" s="274">
        <v>45845</v>
      </c>
      <c r="O54" s="275" t="s">
        <v>511</v>
      </c>
      <c r="P54" s="271">
        <f t="shared" si="1"/>
        <v>3</v>
      </c>
      <c r="Q54" s="271"/>
      <c r="R54" s="279">
        <v>45845</v>
      </c>
      <c r="S54" s="271" t="s">
        <v>397</v>
      </c>
      <c r="T54" s="271" t="s">
        <v>511</v>
      </c>
      <c r="U54" s="271" t="s">
        <v>397</v>
      </c>
      <c r="V54" s="316"/>
    </row>
    <row r="55" spans="1:22" ht="42" x14ac:dyDescent="0.35">
      <c r="A55" s="319">
        <v>10</v>
      </c>
      <c r="B55" s="291" t="s">
        <v>6</v>
      </c>
      <c r="C55" s="292" t="s">
        <v>498</v>
      </c>
      <c r="D55" s="293" t="s">
        <v>824</v>
      </c>
      <c r="E55" s="291" t="s">
        <v>825</v>
      </c>
      <c r="F55" s="291" t="s">
        <v>467</v>
      </c>
      <c r="G55" s="294">
        <v>45824</v>
      </c>
      <c r="H55" s="294">
        <f>G55+5</f>
        <v>45829</v>
      </c>
      <c r="I55" s="294">
        <v>45848</v>
      </c>
      <c r="J55" s="291">
        <f>I55-G55</f>
        <v>24</v>
      </c>
      <c r="K55" s="291">
        <f ca="1">I1-H55</f>
        <v>69</v>
      </c>
      <c r="L55" s="291" t="s">
        <v>458</v>
      </c>
      <c r="M55" s="294">
        <v>45848</v>
      </c>
      <c r="N55" s="294">
        <v>45850</v>
      </c>
      <c r="O55" s="295" t="s">
        <v>468</v>
      </c>
      <c r="P55" s="291">
        <f t="shared" si="1"/>
        <v>2</v>
      </c>
      <c r="Q55" s="291">
        <f ca="1">I1-N55</f>
        <v>48</v>
      </c>
      <c r="R55" s="296"/>
      <c r="S55" s="291" t="s">
        <v>489</v>
      </c>
      <c r="T55" s="291" t="str">
        <f>O55</f>
        <v>CAT -IV R</v>
      </c>
      <c r="U55" s="291" t="s">
        <v>464</v>
      </c>
      <c r="V55" s="320"/>
    </row>
    <row r="56" spans="1:22" ht="42" x14ac:dyDescent="0.35">
      <c r="A56" s="315">
        <v>11</v>
      </c>
      <c r="B56" s="271" t="s">
        <v>6</v>
      </c>
      <c r="C56" s="272" t="s">
        <v>498</v>
      </c>
      <c r="D56" s="273" t="s">
        <v>826</v>
      </c>
      <c r="E56" s="271" t="s">
        <v>827</v>
      </c>
      <c r="F56" s="271" t="s">
        <v>467</v>
      </c>
      <c r="G56" s="274">
        <v>45824</v>
      </c>
      <c r="H56" s="274">
        <f>G56+5</f>
        <v>45829</v>
      </c>
      <c r="I56" s="274">
        <v>45848</v>
      </c>
      <c r="J56" s="271">
        <f>I56-G56</f>
        <v>24</v>
      </c>
      <c r="K56" s="271">
        <f>R56-H56</f>
        <v>21</v>
      </c>
      <c r="L56" s="271" t="s">
        <v>458</v>
      </c>
      <c r="M56" s="274">
        <v>45848</v>
      </c>
      <c r="N56" s="274">
        <v>45850</v>
      </c>
      <c r="O56" s="275" t="s">
        <v>511</v>
      </c>
      <c r="P56" s="271">
        <f t="shared" si="1"/>
        <v>2</v>
      </c>
      <c r="Q56" s="271"/>
      <c r="R56" s="279">
        <f>N56</f>
        <v>45850</v>
      </c>
      <c r="S56" s="271" t="s">
        <v>397</v>
      </c>
      <c r="T56" s="271" t="s">
        <v>511</v>
      </c>
      <c r="U56" s="271" t="s">
        <v>397</v>
      </c>
      <c r="V56" s="316"/>
    </row>
    <row r="57" spans="1:22" x14ac:dyDescent="0.35">
      <c r="A57" s="397">
        <v>1</v>
      </c>
      <c r="B57" s="367" t="s">
        <v>6</v>
      </c>
      <c r="C57" s="398" t="s">
        <v>515</v>
      </c>
      <c r="D57" s="399" t="s">
        <v>516</v>
      </c>
      <c r="E57" s="367" t="s">
        <v>517</v>
      </c>
      <c r="F57" s="367" t="s">
        <v>457</v>
      </c>
      <c r="G57" s="416">
        <v>45763</v>
      </c>
      <c r="H57" s="416">
        <f>G57+21</f>
        <v>45784</v>
      </c>
      <c r="I57" s="416">
        <v>45763</v>
      </c>
      <c r="J57" s="367">
        <f>I57-G57</f>
        <v>0</v>
      </c>
      <c r="K57" s="367">
        <f ca="1">I1-H57</f>
        <v>114</v>
      </c>
      <c r="L57" s="263" t="s">
        <v>458</v>
      </c>
      <c r="M57" s="266">
        <v>45763</v>
      </c>
      <c r="N57" s="266">
        <v>45784</v>
      </c>
      <c r="O57" s="267" t="s">
        <v>459</v>
      </c>
      <c r="P57" s="263">
        <f t="shared" si="1"/>
        <v>21</v>
      </c>
      <c r="Q57" s="263">
        <f>M61-N57</f>
        <v>69</v>
      </c>
      <c r="R57" s="263"/>
      <c r="S57" s="367" t="s">
        <v>489</v>
      </c>
      <c r="T57" s="367" t="str">
        <f>O61</f>
        <v>CAT - II</v>
      </c>
      <c r="U57" s="367" t="s">
        <v>461</v>
      </c>
      <c r="V57" s="402"/>
    </row>
    <row r="58" spans="1:22" x14ac:dyDescent="0.35">
      <c r="A58" s="397"/>
      <c r="B58" s="367"/>
      <c r="C58" s="398"/>
      <c r="D58" s="399"/>
      <c r="E58" s="353"/>
      <c r="F58" s="353"/>
      <c r="G58" s="417"/>
      <c r="H58" s="417"/>
      <c r="I58" s="417"/>
      <c r="J58" s="353"/>
      <c r="K58" s="353"/>
      <c r="L58" s="263" t="s">
        <v>460</v>
      </c>
      <c r="M58" s="266">
        <v>45791</v>
      </c>
      <c r="N58" s="266">
        <v>45800</v>
      </c>
      <c r="O58" s="267" t="s">
        <v>459</v>
      </c>
      <c r="P58" s="263">
        <f t="shared" si="1"/>
        <v>9</v>
      </c>
      <c r="Q58" s="263">
        <f>M59-N58</f>
        <v>16</v>
      </c>
      <c r="R58" s="263"/>
      <c r="S58" s="353"/>
      <c r="T58" s="353"/>
      <c r="U58" s="353"/>
      <c r="V58" s="355"/>
    </row>
    <row r="59" spans="1:22" x14ac:dyDescent="0.35">
      <c r="A59" s="397"/>
      <c r="B59" s="367"/>
      <c r="C59" s="398"/>
      <c r="D59" s="399"/>
      <c r="E59" s="353"/>
      <c r="F59" s="353"/>
      <c r="G59" s="417"/>
      <c r="H59" s="417"/>
      <c r="I59" s="417"/>
      <c r="J59" s="353"/>
      <c r="K59" s="353"/>
      <c r="L59" s="263" t="s">
        <v>462</v>
      </c>
      <c r="M59" s="266">
        <v>45816</v>
      </c>
      <c r="N59" s="266">
        <v>45821</v>
      </c>
      <c r="O59" s="267" t="s">
        <v>459</v>
      </c>
      <c r="P59" s="263">
        <f t="shared" si="1"/>
        <v>5</v>
      </c>
      <c r="Q59" s="263">
        <f>M61-N59</f>
        <v>32</v>
      </c>
      <c r="R59" s="263"/>
      <c r="S59" s="353"/>
      <c r="T59" s="353"/>
      <c r="U59" s="353"/>
      <c r="V59" s="355"/>
    </row>
    <row r="60" spans="1:22" x14ac:dyDescent="0.35">
      <c r="A60" s="397"/>
      <c r="B60" s="367"/>
      <c r="C60" s="398"/>
      <c r="D60" s="399"/>
      <c r="E60" s="353"/>
      <c r="F60" s="353"/>
      <c r="G60" s="417"/>
      <c r="H60" s="417"/>
      <c r="I60" s="417"/>
      <c r="J60" s="353"/>
      <c r="K60" s="353"/>
      <c r="L60" s="263" t="s">
        <v>463</v>
      </c>
      <c r="M60" s="266">
        <v>45825</v>
      </c>
      <c r="N60" s="266">
        <v>45827</v>
      </c>
      <c r="O60" s="267" t="s">
        <v>481</v>
      </c>
      <c r="P60" s="263">
        <f>N60-M60</f>
        <v>2</v>
      </c>
      <c r="Q60" s="263"/>
      <c r="R60" s="263"/>
      <c r="S60" s="353"/>
      <c r="T60" s="353"/>
      <c r="U60" s="353"/>
      <c r="V60" s="355"/>
    </row>
    <row r="61" spans="1:22" x14ac:dyDescent="0.35">
      <c r="A61" s="397"/>
      <c r="B61" s="367"/>
      <c r="C61" s="398"/>
      <c r="D61" s="399"/>
      <c r="E61" s="353"/>
      <c r="F61" s="353"/>
      <c r="G61" s="417"/>
      <c r="H61" s="417"/>
      <c r="I61" s="417"/>
      <c r="J61" s="353"/>
      <c r="K61" s="353"/>
      <c r="L61" s="263" t="s">
        <v>816</v>
      </c>
      <c r="M61" s="266">
        <v>45853</v>
      </c>
      <c r="N61" s="266"/>
      <c r="O61" s="267" t="s">
        <v>481</v>
      </c>
      <c r="P61" s="263">
        <f ca="1">I1-M61</f>
        <v>45</v>
      </c>
      <c r="Q61" s="263"/>
      <c r="R61" s="263"/>
      <c r="S61" s="353"/>
      <c r="T61" s="353"/>
      <c r="U61" s="353"/>
      <c r="V61" s="355"/>
    </row>
    <row r="62" spans="1:22" ht="63" x14ac:dyDescent="0.35">
      <c r="A62" s="315">
        <v>2</v>
      </c>
      <c r="B62" s="271" t="s">
        <v>6</v>
      </c>
      <c r="C62" s="272" t="s">
        <v>515</v>
      </c>
      <c r="D62" s="273" t="s">
        <v>518</v>
      </c>
      <c r="E62" s="271" t="s">
        <v>519</v>
      </c>
      <c r="F62" s="271" t="s">
        <v>457</v>
      </c>
      <c r="G62" s="274">
        <v>45809</v>
      </c>
      <c r="H62" s="274">
        <f>G62+15</f>
        <v>45824</v>
      </c>
      <c r="I62" s="274">
        <v>45853</v>
      </c>
      <c r="J62" s="271">
        <f>I62-G62</f>
        <v>44</v>
      </c>
      <c r="K62" s="271">
        <f>N62-H62</f>
        <v>48</v>
      </c>
      <c r="L62" s="271" t="s">
        <v>462</v>
      </c>
      <c r="M62" s="274">
        <v>45867</v>
      </c>
      <c r="N62" s="274">
        <v>45872</v>
      </c>
      <c r="O62" s="275" t="s">
        <v>472</v>
      </c>
      <c r="P62" s="271">
        <f>N62-M62</f>
        <v>5</v>
      </c>
      <c r="Q62" s="271"/>
      <c r="R62" s="271"/>
      <c r="S62" s="271" t="s">
        <v>397</v>
      </c>
      <c r="T62" s="271" t="str">
        <f>O62</f>
        <v>CAT - I</v>
      </c>
      <c r="U62" s="271" t="s">
        <v>397</v>
      </c>
      <c r="V62" s="316"/>
    </row>
    <row r="63" spans="1:22" ht="63" x14ac:dyDescent="0.35">
      <c r="A63" s="315">
        <v>3</v>
      </c>
      <c r="B63" s="271" t="s">
        <v>6</v>
      </c>
      <c r="C63" s="272" t="s">
        <v>515</v>
      </c>
      <c r="D63" s="273" t="s">
        <v>520</v>
      </c>
      <c r="E63" s="271" t="s">
        <v>853</v>
      </c>
      <c r="F63" s="271" t="s">
        <v>457</v>
      </c>
      <c r="G63" s="274">
        <v>45813</v>
      </c>
      <c r="H63" s="274">
        <f>G63+15</f>
        <v>45828</v>
      </c>
      <c r="I63" s="274">
        <f>M63</f>
        <v>45867</v>
      </c>
      <c r="J63" s="271">
        <f>I63-G63</f>
        <v>54</v>
      </c>
      <c r="K63" s="271">
        <f>R63-H63</f>
        <v>44</v>
      </c>
      <c r="L63" s="271" t="s">
        <v>462</v>
      </c>
      <c r="M63" s="274">
        <v>45867</v>
      </c>
      <c r="N63" s="274">
        <v>45872</v>
      </c>
      <c r="O63" s="275" t="s">
        <v>472</v>
      </c>
      <c r="P63" s="271"/>
      <c r="Q63" s="271"/>
      <c r="R63" s="274">
        <f>N63</f>
        <v>45872</v>
      </c>
      <c r="S63" s="271" t="s">
        <v>397</v>
      </c>
      <c r="T63" s="271" t="str">
        <f>O63</f>
        <v>CAT - I</v>
      </c>
      <c r="U63" s="271" t="s">
        <v>397</v>
      </c>
      <c r="V63" s="316"/>
    </row>
    <row r="64" spans="1:22" x14ac:dyDescent="0.35">
      <c r="A64" s="356">
        <v>3</v>
      </c>
      <c r="B64" s="343" t="s">
        <v>6</v>
      </c>
      <c r="C64" s="359" t="s">
        <v>515</v>
      </c>
      <c r="D64" s="359" t="s">
        <v>520</v>
      </c>
      <c r="E64" s="343" t="s">
        <v>854</v>
      </c>
      <c r="F64" s="343" t="s">
        <v>457</v>
      </c>
      <c r="G64" s="351">
        <v>45813</v>
      </c>
      <c r="H64" s="351">
        <f>G64+15</f>
        <v>45828</v>
      </c>
      <c r="I64" s="351">
        <f>M64</f>
        <v>45867</v>
      </c>
      <c r="J64" s="343">
        <f>I64-G64</f>
        <v>54</v>
      </c>
      <c r="K64" s="343">
        <f>R64-H64</f>
        <v>55</v>
      </c>
      <c r="L64" s="271" t="s">
        <v>458</v>
      </c>
      <c r="M64" s="274">
        <v>45867</v>
      </c>
      <c r="N64" s="274">
        <v>45872</v>
      </c>
      <c r="O64" s="275" t="s">
        <v>459</v>
      </c>
      <c r="P64" s="271">
        <f>N64-M64</f>
        <v>5</v>
      </c>
      <c r="Q64" s="271">
        <f>M65-N64</f>
        <v>9</v>
      </c>
      <c r="R64" s="351">
        <f>N65</f>
        <v>45883</v>
      </c>
      <c r="S64" s="343" t="s">
        <v>397</v>
      </c>
      <c r="T64" s="343" t="str">
        <f>O65</f>
        <v>CAT - I</v>
      </c>
      <c r="U64" s="343" t="s">
        <v>397</v>
      </c>
      <c r="V64" s="346"/>
    </row>
    <row r="65" spans="1:22" x14ac:dyDescent="0.35">
      <c r="A65" s="390"/>
      <c r="B65" s="385"/>
      <c r="C65" s="359"/>
      <c r="D65" s="403"/>
      <c r="E65" s="385"/>
      <c r="F65" s="385"/>
      <c r="G65" s="422"/>
      <c r="H65" s="422"/>
      <c r="I65" s="422"/>
      <c r="J65" s="385"/>
      <c r="K65" s="385"/>
      <c r="L65" s="271" t="s">
        <v>460</v>
      </c>
      <c r="M65" s="274">
        <v>45881</v>
      </c>
      <c r="N65" s="274">
        <v>45883</v>
      </c>
      <c r="O65" s="275" t="s">
        <v>472</v>
      </c>
      <c r="P65" s="271">
        <f>N65-M65</f>
        <v>2</v>
      </c>
      <c r="Q65" s="271"/>
      <c r="R65" s="343"/>
      <c r="S65" s="385"/>
      <c r="T65" s="385"/>
      <c r="U65" s="385"/>
      <c r="V65" s="386"/>
    </row>
    <row r="66" spans="1:22" ht="42" x14ac:dyDescent="0.35">
      <c r="A66" s="313">
        <v>4</v>
      </c>
      <c r="B66" s="257" t="s">
        <v>6</v>
      </c>
      <c r="C66" s="268" t="s">
        <v>515</v>
      </c>
      <c r="D66" s="269" t="s">
        <v>521</v>
      </c>
      <c r="E66" s="259" t="s">
        <v>522</v>
      </c>
      <c r="F66" s="259" t="s">
        <v>457</v>
      </c>
      <c r="G66" s="276">
        <v>45838</v>
      </c>
      <c r="H66" s="276">
        <f>G66+7</f>
        <v>45845</v>
      </c>
      <c r="I66" s="276"/>
      <c r="J66" s="259">
        <f ca="1">$I$1-G66</f>
        <v>60</v>
      </c>
      <c r="K66" s="257">
        <f ca="1">$I$1-H66</f>
        <v>53</v>
      </c>
      <c r="L66" s="259"/>
      <c r="M66" s="276"/>
      <c r="N66" s="276"/>
      <c r="O66" s="277"/>
      <c r="P66" s="259"/>
      <c r="Q66" s="259"/>
      <c r="R66" s="259"/>
      <c r="S66" s="259"/>
      <c r="T66" s="259"/>
      <c r="U66" s="259"/>
      <c r="V66" s="321"/>
    </row>
    <row r="67" spans="1:22" ht="73.5" x14ac:dyDescent="0.35">
      <c r="A67" s="313">
        <v>5</v>
      </c>
      <c r="B67" s="257" t="s">
        <v>6</v>
      </c>
      <c r="C67" s="268" t="s">
        <v>515</v>
      </c>
      <c r="D67" s="269" t="s">
        <v>523</v>
      </c>
      <c r="E67" s="259" t="s">
        <v>524</v>
      </c>
      <c r="F67" s="259" t="s">
        <v>457</v>
      </c>
      <c r="G67" s="276">
        <v>45874</v>
      </c>
      <c r="H67" s="276">
        <f>G67+12</f>
        <v>45886</v>
      </c>
      <c r="I67" s="276"/>
      <c r="J67" s="259">
        <f t="shared" ref="J67:K71" ca="1" si="2">$I$1-G67</f>
        <v>24</v>
      </c>
      <c r="K67" s="257">
        <f ca="1">$I$1-H67</f>
        <v>12</v>
      </c>
      <c r="L67" s="259"/>
      <c r="M67" s="276"/>
      <c r="N67" s="276"/>
      <c r="O67" s="277"/>
      <c r="P67" s="259"/>
      <c r="Q67" s="259"/>
      <c r="R67" s="259"/>
      <c r="S67" s="259"/>
      <c r="T67" s="259"/>
      <c r="U67" s="259"/>
      <c r="V67" s="321"/>
    </row>
    <row r="68" spans="1:22" ht="31.5" x14ac:dyDescent="0.35">
      <c r="A68" s="313">
        <v>6</v>
      </c>
      <c r="B68" s="257" t="s">
        <v>6</v>
      </c>
      <c r="C68" s="268" t="s">
        <v>515</v>
      </c>
      <c r="D68" s="269" t="s">
        <v>525</v>
      </c>
      <c r="E68" s="259" t="s">
        <v>526</v>
      </c>
      <c r="F68" s="259" t="s">
        <v>457</v>
      </c>
      <c r="G68" s="276">
        <v>45905</v>
      </c>
      <c r="H68" s="276">
        <f>G68+15</f>
        <v>45920</v>
      </c>
      <c r="I68" s="276"/>
      <c r="J68" s="259">
        <f t="shared" ca="1" si="2"/>
        <v>-7</v>
      </c>
      <c r="K68" s="257">
        <f t="shared" ca="1" si="2"/>
        <v>-22</v>
      </c>
      <c r="L68" s="259"/>
      <c r="M68" s="276"/>
      <c r="N68" s="276"/>
      <c r="O68" s="277"/>
      <c r="P68" s="259"/>
      <c r="Q68" s="259"/>
      <c r="R68" s="259"/>
      <c r="S68" s="259"/>
      <c r="T68" s="259"/>
      <c r="U68" s="259"/>
      <c r="V68" s="321"/>
    </row>
    <row r="69" spans="1:22" ht="31.5" x14ac:dyDescent="0.35">
      <c r="A69" s="313">
        <v>7</v>
      </c>
      <c r="B69" s="257" t="s">
        <v>6</v>
      </c>
      <c r="C69" s="268" t="s">
        <v>515</v>
      </c>
      <c r="D69" s="269" t="s">
        <v>527</v>
      </c>
      <c r="E69" s="259" t="s">
        <v>528</v>
      </c>
      <c r="F69" s="259" t="s">
        <v>457</v>
      </c>
      <c r="G69" s="276">
        <v>45908</v>
      </c>
      <c r="H69" s="276">
        <f>G69+15</f>
        <v>45923</v>
      </c>
      <c r="I69" s="276"/>
      <c r="J69" s="259">
        <f t="shared" ca="1" si="2"/>
        <v>-10</v>
      </c>
      <c r="K69" s="257">
        <f t="shared" ca="1" si="2"/>
        <v>-25</v>
      </c>
      <c r="L69" s="259"/>
      <c r="M69" s="276"/>
      <c r="N69" s="276"/>
      <c r="O69" s="277"/>
      <c r="P69" s="259"/>
      <c r="Q69" s="259"/>
      <c r="R69" s="259"/>
      <c r="S69" s="259"/>
      <c r="T69" s="259"/>
      <c r="U69" s="259"/>
      <c r="V69" s="321"/>
    </row>
    <row r="70" spans="1:22" ht="52.5" x14ac:dyDescent="0.35">
      <c r="A70" s="313">
        <v>8</v>
      </c>
      <c r="B70" s="257" t="s">
        <v>6</v>
      </c>
      <c r="C70" s="268" t="s">
        <v>515</v>
      </c>
      <c r="D70" s="269" t="s">
        <v>529</v>
      </c>
      <c r="E70" s="259" t="s">
        <v>530</v>
      </c>
      <c r="F70" s="259" t="s">
        <v>457</v>
      </c>
      <c r="G70" s="276">
        <v>45858</v>
      </c>
      <c r="H70" s="276">
        <f>G70+15</f>
        <v>45873</v>
      </c>
      <c r="I70" s="276"/>
      <c r="J70" s="259">
        <f t="shared" ca="1" si="2"/>
        <v>40</v>
      </c>
      <c r="K70" s="257">
        <f t="shared" ca="1" si="2"/>
        <v>25</v>
      </c>
      <c r="L70" s="259"/>
      <c r="M70" s="276"/>
      <c r="N70" s="276"/>
      <c r="O70" s="277"/>
      <c r="P70" s="259"/>
      <c r="Q70" s="259"/>
      <c r="R70" s="259"/>
      <c r="S70" s="259"/>
      <c r="T70" s="259"/>
      <c r="U70" s="259"/>
      <c r="V70" s="321"/>
    </row>
    <row r="71" spans="1:22" ht="42" x14ac:dyDescent="0.35">
      <c r="A71" s="313">
        <v>9</v>
      </c>
      <c r="B71" s="257" t="s">
        <v>6</v>
      </c>
      <c r="C71" s="268" t="s">
        <v>515</v>
      </c>
      <c r="D71" s="269" t="s">
        <v>531</v>
      </c>
      <c r="E71" s="259" t="s">
        <v>532</v>
      </c>
      <c r="F71" s="259" t="s">
        <v>457</v>
      </c>
      <c r="G71" s="276">
        <v>45868</v>
      </c>
      <c r="H71" s="276">
        <f>G71+15</f>
        <v>45883</v>
      </c>
      <c r="I71" s="276"/>
      <c r="J71" s="259">
        <f t="shared" ca="1" si="2"/>
        <v>30</v>
      </c>
      <c r="K71" s="257">
        <f t="shared" ca="1" si="2"/>
        <v>15</v>
      </c>
      <c r="L71" s="259"/>
      <c r="M71" s="276"/>
      <c r="N71" s="276"/>
      <c r="O71" s="277"/>
      <c r="P71" s="259"/>
      <c r="Q71" s="259"/>
      <c r="R71" s="259"/>
      <c r="S71" s="259"/>
      <c r="T71" s="259"/>
      <c r="U71" s="259"/>
      <c r="V71" s="321"/>
    </row>
    <row r="72" spans="1:22" x14ac:dyDescent="0.35">
      <c r="A72" s="397">
        <v>1</v>
      </c>
      <c r="B72" s="367" t="s">
        <v>6</v>
      </c>
      <c r="C72" s="430" t="s">
        <v>533</v>
      </c>
      <c r="D72" s="431" t="s">
        <v>863</v>
      </c>
      <c r="E72" s="367" t="s">
        <v>832</v>
      </c>
      <c r="F72" s="367" t="s">
        <v>457</v>
      </c>
      <c r="G72" s="416">
        <v>45794</v>
      </c>
      <c r="H72" s="416">
        <f>G72+7</f>
        <v>45801</v>
      </c>
      <c r="I72" s="416">
        <v>45834</v>
      </c>
      <c r="J72" s="367">
        <f>I72-G72</f>
        <v>40</v>
      </c>
      <c r="K72" s="367">
        <f ca="1">I1-H72</f>
        <v>97</v>
      </c>
      <c r="L72" s="263" t="s">
        <v>458</v>
      </c>
      <c r="M72" s="266">
        <v>45834</v>
      </c>
      <c r="N72" s="266">
        <v>45845</v>
      </c>
      <c r="O72" s="267" t="s">
        <v>459</v>
      </c>
      <c r="P72" s="263">
        <f>N72-M72</f>
        <v>11</v>
      </c>
      <c r="Q72" s="263">
        <f ca="1">I1-N72</f>
        <v>53</v>
      </c>
      <c r="R72" s="367"/>
      <c r="S72" s="367" t="s">
        <v>482</v>
      </c>
      <c r="T72" s="367" t="str">
        <f>O72</f>
        <v>CAT - III</v>
      </c>
      <c r="U72" s="367" t="s">
        <v>461</v>
      </c>
      <c r="V72" s="402"/>
    </row>
    <row r="73" spans="1:22" x14ac:dyDescent="0.35">
      <c r="A73" s="397"/>
      <c r="B73" s="367"/>
      <c r="C73" s="430"/>
      <c r="D73" s="431"/>
      <c r="E73" s="367"/>
      <c r="F73" s="367"/>
      <c r="G73" s="416"/>
      <c r="H73" s="416"/>
      <c r="I73" s="416"/>
      <c r="J73" s="367"/>
      <c r="K73" s="367"/>
      <c r="L73" s="263" t="s">
        <v>460</v>
      </c>
      <c r="M73" s="266">
        <v>45856</v>
      </c>
      <c r="N73" s="266">
        <v>45862</v>
      </c>
      <c r="O73" s="267" t="s">
        <v>459</v>
      </c>
      <c r="P73" s="263"/>
      <c r="Q73" s="263"/>
      <c r="R73" s="367"/>
      <c r="S73" s="367"/>
      <c r="T73" s="367"/>
      <c r="U73" s="367"/>
      <c r="V73" s="402"/>
    </row>
    <row r="74" spans="1:22" x14ac:dyDescent="0.35">
      <c r="A74" s="397"/>
      <c r="B74" s="367"/>
      <c r="C74" s="430"/>
      <c r="D74" s="431"/>
      <c r="E74" s="367"/>
      <c r="F74" s="367"/>
      <c r="G74" s="416"/>
      <c r="H74" s="416"/>
      <c r="I74" s="416"/>
      <c r="J74" s="367"/>
      <c r="K74" s="367"/>
      <c r="L74" s="263" t="s">
        <v>462</v>
      </c>
      <c r="M74" s="266">
        <v>45867</v>
      </c>
      <c r="N74" s="266">
        <v>45888</v>
      </c>
      <c r="O74" s="267" t="s">
        <v>459</v>
      </c>
      <c r="P74" s="263"/>
      <c r="Q74" s="263"/>
      <c r="R74" s="367"/>
      <c r="S74" s="367"/>
      <c r="T74" s="367"/>
      <c r="U74" s="367"/>
      <c r="V74" s="402"/>
    </row>
    <row r="75" spans="1:22" x14ac:dyDescent="0.35">
      <c r="A75" s="397"/>
      <c r="B75" s="367"/>
      <c r="C75" s="430"/>
      <c r="D75" s="431"/>
      <c r="E75" s="367"/>
      <c r="F75" s="367"/>
      <c r="G75" s="416"/>
      <c r="H75" s="416"/>
      <c r="I75" s="416"/>
      <c r="J75" s="367"/>
      <c r="K75" s="367"/>
      <c r="L75" s="263" t="s">
        <v>463</v>
      </c>
      <c r="M75" s="266">
        <v>45891</v>
      </c>
      <c r="N75" s="266"/>
      <c r="O75" s="267"/>
      <c r="P75" s="263"/>
      <c r="Q75" s="263"/>
      <c r="R75" s="367"/>
      <c r="S75" s="367"/>
      <c r="T75" s="367"/>
      <c r="U75" s="367"/>
      <c r="V75" s="402"/>
    </row>
    <row r="76" spans="1:22" x14ac:dyDescent="0.35">
      <c r="A76" s="397">
        <v>2</v>
      </c>
      <c r="B76" s="367" t="s">
        <v>6</v>
      </c>
      <c r="C76" s="430" t="s">
        <v>533</v>
      </c>
      <c r="D76" s="431" t="s">
        <v>864</v>
      </c>
      <c r="E76" s="367" t="s">
        <v>865</v>
      </c>
      <c r="F76" s="367" t="s">
        <v>457</v>
      </c>
      <c r="G76" s="416">
        <v>45794</v>
      </c>
      <c r="H76" s="416">
        <f>G76+7</f>
        <v>45801</v>
      </c>
      <c r="I76" s="416">
        <v>45860</v>
      </c>
      <c r="J76" s="367">
        <f>I76-G76</f>
        <v>66</v>
      </c>
      <c r="K76" s="367">
        <f ca="1">I1-H76</f>
        <v>97</v>
      </c>
      <c r="L76" s="263" t="s">
        <v>458</v>
      </c>
      <c r="M76" s="266">
        <v>45861</v>
      </c>
      <c r="N76" s="266"/>
      <c r="O76" s="267"/>
      <c r="P76" s="263"/>
      <c r="Q76" s="263"/>
      <c r="R76" s="367"/>
      <c r="S76" s="367" t="s">
        <v>482</v>
      </c>
      <c r="T76" s="367" t="str">
        <f>O77</f>
        <v>CAT - III</v>
      </c>
      <c r="U76" s="367" t="s">
        <v>461</v>
      </c>
      <c r="V76" s="402"/>
    </row>
    <row r="77" spans="1:22" x14ac:dyDescent="0.35">
      <c r="A77" s="397"/>
      <c r="B77" s="367"/>
      <c r="C77" s="430"/>
      <c r="D77" s="431"/>
      <c r="E77" s="367"/>
      <c r="F77" s="367"/>
      <c r="G77" s="416"/>
      <c r="H77" s="416"/>
      <c r="I77" s="416"/>
      <c r="J77" s="367"/>
      <c r="K77" s="367"/>
      <c r="L77" s="263" t="s">
        <v>458</v>
      </c>
      <c r="M77" s="266">
        <v>45870</v>
      </c>
      <c r="N77" s="266">
        <v>45891</v>
      </c>
      <c r="O77" s="267" t="s">
        <v>459</v>
      </c>
      <c r="P77" s="263">
        <f>N77-M77</f>
        <v>21</v>
      </c>
      <c r="Q77" s="263">
        <f>M78-N77</f>
        <v>4</v>
      </c>
      <c r="R77" s="367"/>
      <c r="S77" s="367"/>
      <c r="T77" s="367"/>
      <c r="U77" s="367"/>
      <c r="V77" s="402"/>
    </row>
    <row r="78" spans="1:22" x14ac:dyDescent="0.35">
      <c r="A78" s="397"/>
      <c r="B78" s="367"/>
      <c r="C78" s="430"/>
      <c r="D78" s="431"/>
      <c r="E78" s="367"/>
      <c r="F78" s="367"/>
      <c r="G78" s="416"/>
      <c r="H78" s="416"/>
      <c r="I78" s="416"/>
      <c r="J78" s="367"/>
      <c r="K78" s="367"/>
      <c r="L78" s="263" t="s">
        <v>460</v>
      </c>
      <c r="M78" s="266">
        <v>45895</v>
      </c>
      <c r="N78" s="266"/>
      <c r="O78" s="267"/>
      <c r="P78" s="263"/>
      <c r="Q78" s="263"/>
      <c r="R78" s="367"/>
      <c r="S78" s="367"/>
      <c r="T78" s="367"/>
      <c r="U78" s="367"/>
      <c r="V78" s="402"/>
    </row>
    <row r="79" spans="1:22" x14ac:dyDescent="0.35">
      <c r="A79" s="356">
        <v>3</v>
      </c>
      <c r="B79" s="343" t="s">
        <v>6</v>
      </c>
      <c r="C79" s="428" t="s">
        <v>533</v>
      </c>
      <c r="D79" s="429" t="s">
        <v>534</v>
      </c>
      <c r="E79" s="343" t="s">
        <v>840</v>
      </c>
      <c r="F79" s="343" t="s">
        <v>457</v>
      </c>
      <c r="G79" s="351">
        <v>45794</v>
      </c>
      <c r="H79" s="351">
        <f>G79+7</f>
        <v>45801</v>
      </c>
      <c r="I79" s="351">
        <v>45834</v>
      </c>
      <c r="J79" s="343">
        <f>I79-G79</f>
        <v>40</v>
      </c>
      <c r="K79" s="343">
        <f ca="1">I1-H79</f>
        <v>97</v>
      </c>
      <c r="L79" s="271" t="s">
        <v>458</v>
      </c>
      <c r="M79" s="274">
        <v>45834</v>
      </c>
      <c r="N79" s="274">
        <v>45845</v>
      </c>
      <c r="O79" s="275" t="s">
        <v>459</v>
      </c>
      <c r="P79" s="271">
        <f>N79-M79</f>
        <v>11</v>
      </c>
      <c r="Q79" s="271">
        <f>M80-N79</f>
        <v>10</v>
      </c>
      <c r="R79" s="343"/>
      <c r="S79" s="343" t="s">
        <v>397</v>
      </c>
      <c r="T79" s="343" t="str">
        <f>O82</f>
        <v>CAT - I</v>
      </c>
      <c r="U79" s="343" t="s">
        <v>397</v>
      </c>
      <c r="V79" s="346"/>
    </row>
    <row r="80" spans="1:22" x14ac:dyDescent="0.35">
      <c r="A80" s="356"/>
      <c r="B80" s="343"/>
      <c r="C80" s="428"/>
      <c r="D80" s="429"/>
      <c r="E80" s="343"/>
      <c r="F80" s="343"/>
      <c r="G80" s="351"/>
      <c r="H80" s="351"/>
      <c r="I80" s="351"/>
      <c r="J80" s="343"/>
      <c r="K80" s="343"/>
      <c r="L80" s="271" t="s">
        <v>460</v>
      </c>
      <c r="M80" s="274">
        <v>45855</v>
      </c>
      <c r="N80" s="274"/>
      <c r="O80" s="275" t="s">
        <v>459</v>
      </c>
      <c r="P80" s="271"/>
      <c r="Q80" s="271"/>
      <c r="R80" s="343"/>
      <c r="S80" s="343"/>
      <c r="T80" s="343"/>
      <c r="U80" s="343"/>
      <c r="V80" s="346"/>
    </row>
    <row r="81" spans="1:22" x14ac:dyDescent="0.35">
      <c r="A81" s="356"/>
      <c r="B81" s="343"/>
      <c r="C81" s="428"/>
      <c r="D81" s="429"/>
      <c r="E81" s="343"/>
      <c r="F81" s="343"/>
      <c r="G81" s="351"/>
      <c r="H81" s="351"/>
      <c r="I81" s="351"/>
      <c r="J81" s="343"/>
      <c r="K81" s="343"/>
      <c r="L81" s="271" t="s">
        <v>458</v>
      </c>
      <c r="M81" s="274">
        <v>45867</v>
      </c>
      <c r="N81" s="274">
        <v>45872</v>
      </c>
      <c r="O81" s="275" t="s">
        <v>481</v>
      </c>
      <c r="P81" s="271">
        <f>N81-M81</f>
        <v>5</v>
      </c>
      <c r="Q81" s="271">
        <f ca="1">I1-N81</f>
        <v>26</v>
      </c>
      <c r="R81" s="343"/>
      <c r="S81" s="343"/>
      <c r="T81" s="343"/>
      <c r="U81" s="343"/>
      <c r="V81" s="346"/>
    </row>
    <row r="82" spans="1:22" x14ac:dyDescent="0.35">
      <c r="A82" s="356"/>
      <c r="B82" s="343"/>
      <c r="C82" s="428"/>
      <c r="D82" s="429"/>
      <c r="E82" s="343"/>
      <c r="F82" s="343"/>
      <c r="G82" s="351"/>
      <c r="H82" s="351"/>
      <c r="I82" s="351"/>
      <c r="J82" s="343"/>
      <c r="K82" s="343"/>
      <c r="L82" s="271" t="s">
        <v>460</v>
      </c>
      <c r="M82" s="274">
        <v>45873</v>
      </c>
      <c r="N82" s="274">
        <v>45875</v>
      </c>
      <c r="O82" s="275" t="s">
        <v>472</v>
      </c>
      <c r="P82" s="271">
        <f>N82-M82</f>
        <v>2</v>
      </c>
      <c r="Q82" s="271"/>
      <c r="R82" s="343"/>
      <c r="S82" s="343"/>
      <c r="T82" s="343"/>
      <c r="U82" s="343"/>
      <c r="V82" s="346"/>
    </row>
    <row r="83" spans="1:22" ht="63" x14ac:dyDescent="0.35">
      <c r="A83" s="319">
        <v>3</v>
      </c>
      <c r="B83" s="291" t="s">
        <v>6</v>
      </c>
      <c r="C83" s="292" t="s">
        <v>533</v>
      </c>
      <c r="D83" s="293" t="s">
        <v>534</v>
      </c>
      <c r="E83" s="291" t="s">
        <v>862</v>
      </c>
      <c r="F83" s="291" t="s">
        <v>457</v>
      </c>
      <c r="G83" s="294">
        <v>45794</v>
      </c>
      <c r="H83" s="294">
        <v>45801</v>
      </c>
      <c r="I83" s="294">
        <f>I79</f>
        <v>45834</v>
      </c>
      <c r="J83" s="291">
        <f>I83-G83</f>
        <v>40</v>
      </c>
      <c r="K83" s="291">
        <f ca="1">I1-H83</f>
        <v>97</v>
      </c>
      <c r="L83" s="291" t="s">
        <v>460</v>
      </c>
      <c r="M83" s="294">
        <v>45882</v>
      </c>
      <c r="N83" s="294">
        <v>45887</v>
      </c>
      <c r="O83" s="295" t="str">
        <f>O81</f>
        <v>CAT - II</v>
      </c>
      <c r="P83" s="291">
        <f>N83-M83</f>
        <v>5</v>
      </c>
      <c r="Q83" s="291">
        <f ca="1">I1-N83</f>
        <v>11</v>
      </c>
      <c r="R83" s="291"/>
      <c r="S83" s="291" t="s">
        <v>489</v>
      </c>
      <c r="T83" s="291" t="str">
        <f>O83</f>
        <v>CAT - II</v>
      </c>
      <c r="U83" s="291" t="s">
        <v>464</v>
      </c>
      <c r="V83" s="320"/>
    </row>
    <row r="84" spans="1:22" x14ac:dyDescent="0.35">
      <c r="A84" s="370">
        <v>4</v>
      </c>
      <c r="B84" s="352" t="s">
        <v>6</v>
      </c>
      <c r="C84" s="373" t="s">
        <v>533</v>
      </c>
      <c r="D84" s="375" t="s">
        <v>535</v>
      </c>
      <c r="E84" s="352" t="s">
        <v>536</v>
      </c>
      <c r="F84" s="352" t="s">
        <v>457</v>
      </c>
      <c r="G84" s="419">
        <v>45797</v>
      </c>
      <c r="H84" s="419">
        <f>G84+12</f>
        <v>45809</v>
      </c>
      <c r="I84" s="419">
        <f>M84</f>
        <v>45860</v>
      </c>
      <c r="J84" s="352">
        <f>I84-G84</f>
        <v>63</v>
      </c>
      <c r="K84" s="352">
        <f ca="1">I1-H84</f>
        <v>89</v>
      </c>
      <c r="L84" s="291" t="s">
        <v>458</v>
      </c>
      <c r="M84" s="294">
        <v>45860</v>
      </c>
      <c r="N84" s="294"/>
      <c r="O84" s="295"/>
      <c r="P84" s="291"/>
      <c r="Q84" s="291"/>
      <c r="R84" s="291"/>
      <c r="S84" s="352" t="s">
        <v>489</v>
      </c>
      <c r="T84" s="352" t="s">
        <v>458</v>
      </c>
      <c r="U84" s="352" t="s">
        <v>464</v>
      </c>
      <c r="V84" s="354"/>
    </row>
    <row r="85" spans="1:22" x14ac:dyDescent="0.35">
      <c r="A85" s="370"/>
      <c r="B85" s="352"/>
      <c r="C85" s="373"/>
      <c r="D85" s="375"/>
      <c r="E85" s="352"/>
      <c r="F85" s="352"/>
      <c r="G85" s="419"/>
      <c r="H85" s="419"/>
      <c r="I85" s="419"/>
      <c r="J85" s="352"/>
      <c r="K85" s="352"/>
      <c r="L85" s="291" t="s">
        <v>458</v>
      </c>
      <c r="M85" s="294">
        <v>45870</v>
      </c>
      <c r="N85" s="294">
        <v>45891</v>
      </c>
      <c r="O85" s="295"/>
      <c r="P85" s="291"/>
      <c r="Q85" s="291"/>
      <c r="R85" s="291"/>
      <c r="S85" s="352"/>
      <c r="T85" s="352"/>
      <c r="U85" s="352"/>
      <c r="V85" s="354"/>
    </row>
    <row r="86" spans="1:22" x14ac:dyDescent="0.35">
      <c r="A86" s="377">
        <v>5</v>
      </c>
      <c r="B86" s="368" t="s">
        <v>6</v>
      </c>
      <c r="C86" s="379" t="s">
        <v>533</v>
      </c>
      <c r="D86" s="379" t="s">
        <v>537</v>
      </c>
      <c r="E86" s="368" t="s">
        <v>841</v>
      </c>
      <c r="F86" s="368" t="s">
        <v>457</v>
      </c>
      <c r="G86" s="425">
        <v>45792</v>
      </c>
      <c r="H86" s="425">
        <f>G86+12</f>
        <v>45804</v>
      </c>
      <c r="I86" s="425">
        <f>M86</f>
        <v>45861</v>
      </c>
      <c r="J86" s="368">
        <f>I86-G86</f>
        <v>69</v>
      </c>
      <c r="K86" s="368">
        <f ca="1">I1-H86</f>
        <v>94</v>
      </c>
      <c r="L86" s="263" t="s">
        <v>458</v>
      </c>
      <c r="M86" s="266">
        <v>45861</v>
      </c>
      <c r="N86" s="266">
        <v>45872</v>
      </c>
      <c r="O86" s="267" t="s">
        <v>459</v>
      </c>
      <c r="P86" s="263">
        <f>N86-M86</f>
        <v>11</v>
      </c>
      <c r="Q86" s="263">
        <f ca="1">I1-N86</f>
        <v>26</v>
      </c>
      <c r="R86" s="263"/>
      <c r="S86" s="368" t="s">
        <v>489</v>
      </c>
      <c r="T86" s="368" t="str">
        <f>O87</f>
        <v>CAT - II</v>
      </c>
      <c r="U86" s="368" t="s">
        <v>461</v>
      </c>
      <c r="V86" s="402"/>
    </row>
    <row r="87" spans="1:22" x14ac:dyDescent="0.35">
      <c r="A87" s="404"/>
      <c r="B87" s="401"/>
      <c r="C87" s="492"/>
      <c r="D87" s="492"/>
      <c r="E87" s="401"/>
      <c r="F87" s="401"/>
      <c r="G87" s="426"/>
      <c r="H87" s="426"/>
      <c r="I87" s="426"/>
      <c r="J87" s="401"/>
      <c r="K87" s="401"/>
      <c r="L87" s="263" t="s">
        <v>460</v>
      </c>
      <c r="M87" s="266">
        <v>45880</v>
      </c>
      <c r="N87" s="266">
        <v>45888</v>
      </c>
      <c r="O87" s="267" t="s">
        <v>481</v>
      </c>
      <c r="P87" s="263">
        <f>N87-M87</f>
        <v>8</v>
      </c>
      <c r="Q87" s="263"/>
      <c r="R87" s="263"/>
      <c r="S87" s="401"/>
      <c r="T87" s="401"/>
      <c r="U87" s="401"/>
      <c r="V87" s="402"/>
    </row>
    <row r="88" spans="1:22" x14ac:dyDescent="0.35">
      <c r="A88" s="378"/>
      <c r="B88" s="369"/>
      <c r="C88" s="380"/>
      <c r="D88" s="380"/>
      <c r="E88" s="369"/>
      <c r="F88" s="369"/>
      <c r="G88" s="427"/>
      <c r="H88" s="427"/>
      <c r="I88" s="427"/>
      <c r="J88" s="369"/>
      <c r="K88" s="369"/>
      <c r="L88" s="263" t="s">
        <v>462</v>
      </c>
      <c r="M88" s="266">
        <v>45892</v>
      </c>
      <c r="N88" s="266"/>
      <c r="O88" s="267"/>
      <c r="P88" s="263"/>
      <c r="Q88" s="263"/>
      <c r="R88" s="263"/>
      <c r="S88" s="369"/>
      <c r="T88" s="369"/>
      <c r="U88" s="369"/>
      <c r="V88" s="312"/>
    </row>
    <row r="89" spans="1:22" x14ac:dyDescent="0.35">
      <c r="A89" s="493">
        <v>6</v>
      </c>
      <c r="B89" s="494" t="s">
        <v>6</v>
      </c>
      <c r="C89" s="495" t="s">
        <v>533</v>
      </c>
      <c r="D89" s="495" t="s">
        <v>538</v>
      </c>
      <c r="E89" s="494" t="s">
        <v>842</v>
      </c>
      <c r="F89" s="494" t="s">
        <v>457</v>
      </c>
      <c r="G89" s="496">
        <v>45802</v>
      </c>
      <c r="H89" s="496">
        <f>G89+15</f>
        <v>45817</v>
      </c>
      <c r="I89" s="496">
        <f>M89</f>
        <v>45861</v>
      </c>
      <c r="J89" s="494">
        <f>I89-G89</f>
        <v>59</v>
      </c>
      <c r="K89" s="494">
        <f ca="1">I1-H89</f>
        <v>81</v>
      </c>
      <c r="L89" s="271" t="s">
        <v>458</v>
      </c>
      <c r="M89" s="274">
        <v>45861</v>
      </c>
      <c r="N89" s="274">
        <v>45872</v>
      </c>
      <c r="O89" s="275" t="s">
        <v>459</v>
      </c>
      <c r="P89" s="271">
        <f>N89-M89</f>
        <v>11</v>
      </c>
      <c r="Q89" s="271">
        <f ca="1">I1-N89</f>
        <v>26</v>
      </c>
      <c r="R89" s="271"/>
      <c r="S89" s="494" t="s">
        <v>397</v>
      </c>
      <c r="T89" s="494" t="str">
        <f>O91</f>
        <v>CAT - I</v>
      </c>
      <c r="U89" s="494" t="s">
        <v>397</v>
      </c>
      <c r="V89" s="497"/>
    </row>
    <row r="90" spans="1:22" x14ac:dyDescent="0.35">
      <c r="A90" s="498"/>
      <c r="B90" s="499"/>
      <c r="C90" s="500"/>
      <c r="D90" s="500"/>
      <c r="E90" s="499"/>
      <c r="F90" s="499"/>
      <c r="G90" s="501"/>
      <c r="H90" s="501"/>
      <c r="I90" s="501"/>
      <c r="J90" s="499"/>
      <c r="K90" s="499"/>
      <c r="L90" s="271" t="s">
        <v>460</v>
      </c>
      <c r="M90" s="274">
        <v>45880</v>
      </c>
      <c r="N90" s="274">
        <v>45888</v>
      </c>
      <c r="O90" s="275" t="s">
        <v>481</v>
      </c>
      <c r="P90" s="271">
        <f>M90-N89</f>
        <v>8</v>
      </c>
      <c r="Q90" s="271">
        <f>M91-N90</f>
        <v>4</v>
      </c>
      <c r="R90" s="271"/>
      <c r="S90" s="499"/>
      <c r="T90" s="499"/>
      <c r="U90" s="499"/>
      <c r="V90" s="502"/>
    </row>
    <row r="91" spans="1:22" x14ac:dyDescent="0.35">
      <c r="A91" s="503"/>
      <c r="B91" s="504"/>
      <c r="C91" s="505"/>
      <c r="D91" s="505"/>
      <c r="E91" s="504"/>
      <c r="F91" s="504"/>
      <c r="G91" s="506"/>
      <c r="H91" s="506"/>
      <c r="I91" s="506"/>
      <c r="J91" s="504"/>
      <c r="K91" s="504"/>
      <c r="L91" s="271" t="s">
        <v>462</v>
      </c>
      <c r="M91" s="274">
        <v>45892</v>
      </c>
      <c r="N91" s="274">
        <v>45896</v>
      </c>
      <c r="O91" s="275" t="s">
        <v>472</v>
      </c>
      <c r="P91" s="271">
        <f>N91-M91</f>
        <v>4</v>
      </c>
      <c r="Q91" s="271"/>
      <c r="R91" s="271"/>
      <c r="S91" s="504"/>
      <c r="T91" s="504"/>
      <c r="U91" s="504"/>
      <c r="V91" s="507"/>
    </row>
    <row r="92" spans="1:22" x14ac:dyDescent="0.35">
      <c r="A92" s="370">
        <v>7</v>
      </c>
      <c r="B92" s="352" t="s">
        <v>6</v>
      </c>
      <c r="C92" s="373" t="s">
        <v>533</v>
      </c>
      <c r="D92" s="420" t="s">
        <v>539</v>
      </c>
      <c r="E92" s="352" t="s">
        <v>540</v>
      </c>
      <c r="F92" s="352" t="s">
        <v>457</v>
      </c>
      <c r="G92" s="419">
        <v>45810</v>
      </c>
      <c r="H92" s="419">
        <f>G92+12</f>
        <v>45822</v>
      </c>
      <c r="I92" s="419">
        <f>M92</f>
        <v>45869</v>
      </c>
      <c r="J92" s="352">
        <f>I92-G92</f>
        <v>59</v>
      </c>
      <c r="K92" s="352">
        <f ca="1">I1-H92</f>
        <v>76</v>
      </c>
      <c r="L92" s="291" t="s">
        <v>458</v>
      </c>
      <c r="M92" s="294">
        <v>45869</v>
      </c>
      <c r="N92" s="294"/>
      <c r="O92" s="295"/>
      <c r="P92" s="291">
        <f>M93-M92</f>
        <v>11</v>
      </c>
      <c r="Q92" s="291"/>
      <c r="R92" s="291"/>
      <c r="S92" s="352" t="s">
        <v>489</v>
      </c>
      <c r="T92" s="352" t="str">
        <f>O93</f>
        <v>CAT - III</v>
      </c>
      <c r="U92" s="352" t="s">
        <v>464</v>
      </c>
      <c r="V92" s="354"/>
    </row>
    <row r="93" spans="1:22" x14ac:dyDescent="0.35">
      <c r="A93" s="370"/>
      <c r="B93" s="352"/>
      <c r="C93" s="424"/>
      <c r="D93" s="420"/>
      <c r="E93" s="352"/>
      <c r="F93" s="352"/>
      <c r="G93" s="419"/>
      <c r="H93" s="419"/>
      <c r="I93" s="419"/>
      <c r="J93" s="352"/>
      <c r="K93" s="352"/>
      <c r="L93" s="291" t="s">
        <v>458</v>
      </c>
      <c r="M93" s="294">
        <v>45880</v>
      </c>
      <c r="N93" s="294">
        <v>45889</v>
      </c>
      <c r="O93" s="295" t="s">
        <v>459</v>
      </c>
      <c r="P93" s="291">
        <f>N93-M93</f>
        <v>9</v>
      </c>
      <c r="Q93" s="291"/>
      <c r="R93" s="291"/>
      <c r="S93" s="352"/>
      <c r="T93" s="352"/>
      <c r="U93" s="352"/>
      <c r="V93" s="354"/>
    </row>
    <row r="94" spans="1:22" ht="52.5" x14ac:dyDescent="0.35">
      <c r="A94" s="313">
        <v>8</v>
      </c>
      <c r="B94" s="257" t="s">
        <v>6</v>
      </c>
      <c r="C94" s="268" t="s">
        <v>533</v>
      </c>
      <c r="D94" s="269" t="s">
        <v>541</v>
      </c>
      <c r="E94" s="257" t="s">
        <v>542</v>
      </c>
      <c r="F94" s="257" t="s">
        <v>457</v>
      </c>
      <c r="G94" s="270">
        <v>45836</v>
      </c>
      <c r="H94" s="270">
        <f>G94+15</f>
        <v>45851</v>
      </c>
      <c r="I94" s="276"/>
      <c r="J94" s="257">
        <f ca="1">I1-G94</f>
        <v>62</v>
      </c>
      <c r="K94" s="259">
        <f ca="1">$I$1-H94</f>
        <v>47</v>
      </c>
      <c r="L94" s="297"/>
      <c r="M94" s="276"/>
      <c r="N94" s="276"/>
      <c r="O94" s="277"/>
      <c r="P94" s="259"/>
      <c r="Q94" s="259"/>
      <c r="R94" s="259"/>
      <c r="S94" s="259"/>
      <c r="T94" s="259"/>
      <c r="U94" s="259"/>
      <c r="V94" s="321"/>
    </row>
    <row r="95" spans="1:22" ht="52.5" x14ac:dyDescent="0.35">
      <c r="A95" s="313">
        <v>9</v>
      </c>
      <c r="B95" s="257" t="s">
        <v>6</v>
      </c>
      <c r="C95" s="268" t="s">
        <v>533</v>
      </c>
      <c r="D95" s="269" t="s">
        <v>543</v>
      </c>
      <c r="E95" s="257" t="s">
        <v>544</v>
      </c>
      <c r="F95" s="257" t="s">
        <v>457</v>
      </c>
      <c r="G95" s="270">
        <v>45840</v>
      </c>
      <c r="H95" s="270">
        <f>G95+12</f>
        <v>45852</v>
      </c>
      <c r="I95" s="270"/>
      <c r="J95" s="257">
        <f ca="1">$I$1-G95</f>
        <v>58</v>
      </c>
      <c r="K95" s="259">
        <f ca="1">$I$1-H95</f>
        <v>46</v>
      </c>
      <c r="L95" s="297"/>
      <c r="M95" s="276"/>
      <c r="N95" s="276"/>
      <c r="O95" s="277"/>
      <c r="P95" s="259"/>
      <c r="Q95" s="259"/>
      <c r="R95" s="259"/>
      <c r="S95" s="259"/>
      <c r="T95" s="259"/>
      <c r="U95" s="259"/>
      <c r="V95" s="321"/>
    </row>
    <row r="96" spans="1:22" ht="52.5" x14ac:dyDescent="0.35">
      <c r="A96" s="311"/>
      <c r="B96" s="263" t="s">
        <v>6</v>
      </c>
      <c r="C96" s="264" t="s">
        <v>533</v>
      </c>
      <c r="D96" s="265" t="s">
        <v>868</v>
      </c>
      <c r="E96" s="263" t="s">
        <v>869</v>
      </c>
      <c r="F96" s="263"/>
      <c r="G96" s="266"/>
      <c r="H96" s="266"/>
      <c r="I96" s="266"/>
      <c r="J96" s="263"/>
      <c r="K96" s="263"/>
      <c r="L96" s="322" t="s">
        <v>458</v>
      </c>
      <c r="M96" s="266">
        <v>45897</v>
      </c>
      <c r="N96" s="266"/>
      <c r="O96" s="267"/>
      <c r="P96" s="263"/>
      <c r="Q96" s="263"/>
      <c r="R96" s="263"/>
      <c r="S96" s="263" t="s">
        <v>482</v>
      </c>
      <c r="T96" s="263" t="s">
        <v>458</v>
      </c>
      <c r="U96" s="263" t="s">
        <v>461</v>
      </c>
      <c r="V96" s="312"/>
    </row>
    <row r="97" spans="1:22" ht="42" x14ac:dyDescent="0.35">
      <c r="A97" s="311">
        <v>10</v>
      </c>
      <c r="B97" s="263" t="s">
        <v>6</v>
      </c>
      <c r="C97" s="264" t="s">
        <v>533</v>
      </c>
      <c r="D97" s="265" t="s">
        <v>545</v>
      </c>
      <c r="E97" s="263" t="s">
        <v>546</v>
      </c>
      <c r="F97" s="263" t="s">
        <v>457</v>
      </c>
      <c r="G97" s="266">
        <v>45843</v>
      </c>
      <c r="H97" s="266">
        <f>G97+12</f>
        <v>45855</v>
      </c>
      <c r="I97" s="266">
        <f t="shared" ref="I97:I102" si="3">M97</f>
        <v>45887</v>
      </c>
      <c r="J97" s="263">
        <f>I97-G97</f>
        <v>44</v>
      </c>
      <c r="K97" s="263">
        <f ca="1">$I$1-H97</f>
        <v>43</v>
      </c>
      <c r="L97" s="322" t="s">
        <v>458</v>
      </c>
      <c r="M97" s="266">
        <v>45887</v>
      </c>
      <c r="N97" s="266"/>
      <c r="O97" s="267"/>
      <c r="P97" s="263"/>
      <c r="Q97" s="263"/>
      <c r="R97" s="263"/>
      <c r="S97" s="263" t="s">
        <v>482</v>
      </c>
      <c r="T97" s="263" t="s">
        <v>458</v>
      </c>
      <c r="U97" s="263" t="s">
        <v>461</v>
      </c>
      <c r="V97" s="312"/>
    </row>
    <row r="98" spans="1:22" ht="52.5" x14ac:dyDescent="0.35">
      <c r="A98" s="319">
        <v>11</v>
      </c>
      <c r="B98" s="291" t="s">
        <v>6</v>
      </c>
      <c r="C98" s="292" t="s">
        <v>533</v>
      </c>
      <c r="D98" s="293" t="s">
        <v>833</v>
      </c>
      <c r="E98" s="291" t="s">
        <v>834</v>
      </c>
      <c r="F98" s="291" t="s">
        <v>457</v>
      </c>
      <c r="G98" s="294">
        <v>45818</v>
      </c>
      <c r="H98" s="294">
        <f>G98+15</f>
        <v>45833</v>
      </c>
      <c r="I98" s="294">
        <f t="shared" si="3"/>
        <v>45880</v>
      </c>
      <c r="J98" s="291">
        <f>I98-G98</f>
        <v>62</v>
      </c>
      <c r="K98" s="291">
        <f ca="1">I1-H98</f>
        <v>65</v>
      </c>
      <c r="L98" s="291" t="s">
        <v>458</v>
      </c>
      <c r="M98" s="294">
        <v>45880</v>
      </c>
      <c r="N98" s="294">
        <v>45891</v>
      </c>
      <c r="O98" s="295" t="s">
        <v>459</v>
      </c>
      <c r="P98" s="291">
        <f>N98-M98</f>
        <v>11</v>
      </c>
      <c r="Q98" s="291">
        <f ca="1">I1-N98</f>
        <v>7</v>
      </c>
      <c r="R98" s="291"/>
      <c r="S98" s="291" t="s">
        <v>489</v>
      </c>
      <c r="T98" s="291" t="str">
        <f>O98</f>
        <v>CAT - III</v>
      </c>
      <c r="U98" s="291" t="s">
        <v>464</v>
      </c>
      <c r="V98" s="320" t="s">
        <v>855</v>
      </c>
    </row>
    <row r="99" spans="1:22" ht="52.5" x14ac:dyDescent="0.35">
      <c r="A99" s="319">
        <v>12</v>
      </c>
      <c r="B99" s="291" t="s">
        <v>6</v>
      </c>
      <c r="C99" s="292" t="s">
        <v>533</v>
      </c>
      <c r="D99" s="293" t="s">
        <v>835</v>
      </c>
      <c r="E99" s="291" t="s">
        <v>836</v>
      </c>
      <c r="F99" s="291" t="s">
        <v>457</v>
      </c>
      <c r="G99" s="294">
        <v>45818</v>
      </c>
      <c r="H99" s="294">
        <f>G99+15</f>
        <v>45833</v>
      </c>
      <c r="I99" s="294">
        <f t="shared" si="3"/>
        <v>45880</v>
      </c>
      <c r="J99" s="291">
        <f>I99-G99</f>
        <v>62</v>
      </c>
      <c r="K99" s="291">
        <f ca="1">I1-H99</f>
        <v>65</v>
      </c>
      <c r="L99" s="291" t="s">
        <v>458</v>
      </c>
      <c r="M99" s="294">
        <v>45880</v>
      </c>
      <c r="N99" s="294">
        <v>45891</v>
      </c>
      <c r="O99" s="295" t="s">
        <v>459</v>
      </c>
      <c r="P99" s="291">
        <f>N99-M99</f>
        <v>11</v>
      </c>
      <c r="Q99" s="291">
        <f ca="1">I1-N99</f>
        <v>7</v>
      </c>
      <c r="R99" s="291"/>
      <c r="S99" s="291" t="s">
        <v>866</v>
      </c>
      <c r="T99" s="291" t="str">
        <f>O99</f>
        <v>CAT - III</v>
      </c>
      <c r="U99" s="291" t="s">
        <v>464</v>
      </c>
      <c r="V99" s="320" t="s">
        <v>855</v>
      </c>
    </row>
    <row r="100" spans="1:22" ht="42" x14ac:dyDescent="0.35">
      <c r="A100" s="315">
        <v>1</v>
      </c>
      <c r="B100" s="271" t="s">
        <v>6</v>
      </c>
      <c r="C100" s="272" t="s">
        <v>547</v>
      </c>
      <c r="D100" s="273" t="s">
        <v>548</v>
      </c>
      <c r="E100" s="271" t="s">
        <v>549</v>
      </c>
      <c r="F100" s="271" t="s">
        <v>467</v>
      </c>
      <c r="G100" s="274">
        <v>45828</v>
      </c>
      <c r="H100" s="274">
        <f>G100+14</f>
        <v>45842</v>
      </c>
      <c r="I100" s="274">
        <f t="shared" si="3"/>
        <v>45892</v>
      </c>
      <c r="J100" s="271">
        <f t="shared" ref="J100:K101" ca="1" si="4">$I$1-G100</f>
        <v>70</v>
      </c>
      <c r="K100" s="271">
        <f t="shared" ca="1" si="4"/>
        <v>56</v>
      </c>
      <c r="L100" s="271" t="s">
        <v>458</v>
      </c>
      <c r="M100" s="274">
        <v>45892</v>
      </c>
      <c r="N100" s="274">
        <v>45895</v>
      </c>
      <c r="O100" s="275" t="s">
        <v>511</v>
      </c>
      <c r="P100" s="271">
        <f>N100-M100</f>
        <v>3</v>
      </c>
      <c r="Q100" s="271"/>
      <c r="R100" s="271"/>
      <c r="S100" s="271" t="s">
        <v>397</v>
      </c>
      <c r="T100" s="271" t="str">
        <f>O100</f>
        <v xml:space="preserve">CAT -IV </v>
      </c>
      <c r="U100" s="271" t="s">
        <v>397</v>
      </c>
      <c r="V100" s="316"/>
    </row>
    <row r="101" spans="1:22" ht="42" x14ac:dyDescent="0.35">
      <c r="A101" s="311">
        <v>2</v>
      </c>
      <c r="B101" s="263" t="s">
        <v>6</v>
      </c>
      <c r="C101" s="264" t="s">
        <v>547</v>
      </c>
      <c r="D101" s="265" t="s">
        <v>550</v>
      </c>
      <c r="E101" s="263" t="s">
        <v>551</v>
      </c>
      <c r="F101" s="263" t="s">
        <v>467</v>
      </c>
      <c r="G101" s="266">
        <v>45833</v>
      </c>
      <c r="H101" s="266">
        <f>G101+14</f>
        <v>45847</v>
      </c>
      <c r="I101" s="266">
        <f t="shared" si="3"/>
        <v>45895</v>
      </c>
      <c r="J101" s="263">
        <f t="shared" ca="1" si="4"/>
        <v>65</v>
      </c>
      <c r="K101" s="263">
        <f t="shared" ca="1" si="4"/>
        <v>51</v>
      </c>
      <c r="L101" s="263" t="s">
        <v>458</v>
      </c>
      <c r="M101" s="266">
        <v>45895</v>
      </c>
      <c r="N101" s="266"/>
      <c r="O101" s="267" t="s">
        <v>458</v>
      </c>
      <c r="P101" s="263"/>
      <c r="Q101" s="263"/>
      <c r="R101" s="263"/>
      <c r="S101" s="263" t="s">
        <v>482</v>
      </c>
      <c r="T101" s="263" t="str">
        <f>O101</f>
        <v>R0</v>
      </c>
      <c r="U101" s="263" t="s">
        <v>461</v>
      </c>
      <c r="V101" s="312"/>
    </row>
    <row r="102" spans="1:22" x14ac:dyDescent="0.35">
      <c r="A102" s="370">
        <v>3</v>
      </c>
      <c r="B102" s="352" t="s">
        <v>6</v>
      </c>
      <c r="C102" s="373" t="s">
        <v>547</v>
      </c>
      <c r="D102" s="375" t="s">
        <v>552</v>
      </c>
      <c r="E102" s="352" t="s">
        <v>553</v>
      </c>
      <c r="F102" s="352" t="s">
        <v>467</v>
      </c>
      <c r="G102" s="419">
        <v>45738</v>
      </c>
      <c r="H102" s="419">
        <f>G102+15</f>
        <v>45753</v>
      </c>
      <c r="I102" s="419">
        <f t="shared" si="3"/>
        <v>45799</v>
      </c>
      <c r="J102" s="352">
        <f>I102-G102</f>
        <v>61</v>
      </c>
      <c r="K102" s="352">
        <f ca="1">I1-H102</f>
        <v>145</v>
      </c>
      <c r="L102" s="291" t="s">
        <v>458</v>
      </c>
      <c r="M102" s="294">
        <v>45799</v>
      </c>
      <c r="N102" s="294">
        <v>45800</v>
      </c>
      <c r="O102" s="295" t="s">
        <v>468</v>
      </c>
      <c r="P102" s="291">
        <f t="shared" ref="P102:P107" si="5">N102-M102</f>
        <v>1</v>
      </c>
      <c r="Q102" s="291">
        <f>M103-N102</f>
        <v>15</v>
      </c>
      <c r="R102" s="352"/>
      <c r="S102" s="352" t="s">
        <v>489</v>
      </c>
      <c r="T102" s="352" t="str">
        <f>O103</f>
        <v>CAT -IV R</v>
      </c>
      <c r="U102" s="352" t="s">
        <v>464</v>
      </c>
      <c r="V102" s="354">
        <f ca="1">V1-N102</f>
        <v>98</v>
      </c>
    </row>
    <row r="103" spans="1:22" x14ac:dyDescent="0.35">
      <c r="A103" s="397"/>
      <c r="B103" s="367"/>
      <c r="C103" s="398"/>
      <c r="D103" s="399"/>
      <c r="E103" s="353"/>
      <c r="F103" s="344"/>
      <c r="G103" s="412"/>
      <c r="H103" s="412"/>
      <c r="I103" s="412"/>
      <c r="J103" s="344"/>
      <c r="K103" s="344"/>
      <c r="L103" s="291" t="s">
        <v>460</v>
      </c>
      <c r="M103" s="294">
        <v>45815</v>
      </c>
      <c r="N103" s="294">
        <v>45826</v>
      </c>
      <c r="O103" s="295" t="s">
        <v>468</v>
      </c>
      <c r="P103" s="291">
        <f t="shared" si="5"/>
        <v>11</v>
      </c>
      <c r="Q103" s="291">
        <f ca="1">I1-N103</f>
        <v>72</v>
      </c>
      <c r="R103" s="353"/>
      <c r="S103" s="353"/>
      <c r="T103" s="353"/>
      <c r="U103" s="353"/>
      <c r="V103" s="355"/>
    </row>
    <row r="104" spans="1:22" x14ac:dyDescent="0.35">
      <c r="A104" s="356">
        <v>4</v>
      </c>
      <c r="B104" s="343" t="s">
        <v>6</v>
      </c>
      <c r="C104" s="359" t="s">
        <v>547</v>
      </c>
      <c r="D104" s="362" t="s">
        <v>554</v>
      </c>
      <c r="E104" s="343" t="s">
        <v>555</v>
      </c>
      <c r="F104" s="343" t="s">
        <v>457</v>
      </c>
      <c r="G104" s="351">
        <v>45719</v>
      </c>
      <c r="H104" s="351">
        <f>G104+15</f>
        <v>45734</v>
      </c>
      <c r="I104" s="351">
        <v>45719</v>
      </c>
      <c r="J104" s="343">
        <f>I104-G104</f>
        <v>0</v>
      </c>
      <c r="K104" s="343">
        <f>R104-H104</f>
        <v>66</v>
      </c>
      <c r="L104" s="271" t="s">
        <v>458</v>
      </c>
      <c r="M104" s="274">
        <v>45719</v>
      </c>
      <c r="N104" s="274">
        <v>45721</v>
      </c>
      <c r="O104" s="275" t="s">
        <v>459</v>
      </c>
      <c r="P104" s="271">
        <f t="shared" si="5"/>
        <v>2</v>
      </c>
      <c r="Q104" s="271">
        <f>M105-N104</f>
        <v>15</v>
      </c>
      <c r="R104" s="414">
        <f>N106</f>
        <v>45800</v>
      </c>
      <c r="S104" s="343" t="str">
        <f>U104</f>
        <v>Approved</v>
      </c>
      <c r="T104" s="343" t="str">
        <f>O105</f>
        <v>CAT - I</v>
      </c>
      <c r="U104" s="343" t="s">
        <v>397</v>
      </c>
      <c r="V104" s="346">
        <f>N106-M106</f>
        <v>1</v>
      </c>
    </row>
    <row r="105" spans="1:22" x14ac:dyDescent="0.35">
      <c r="A105" s="390"/>
      <c r="B105" s="385"/>
      <c r="C105" s="403"/>
      <c r="D105" s="396"/>
      <c r="E105" s="385"/>
      <c r="F105" s="385"/>
      <c r="G105" s="422"/>
      <c r="H105" s="422"/>
      <c r="I105" s="422"/>
      <c r="J105" s="385"/>
      <c r="K105" s="385"/>
      <c r="L105" s="271" t="s">
        <v>460</v>
      </c>
      <c r="M105" s="274">
        <v>45736</v>
      </c>
      <c r="N105" s="274">
        <v>45738</v>
      </c>
      <c r="O105" s="275" t="s">
        <v>472</v>
      </c>
      <c r="P105" s="271">
        <f t="shared" si="5"/>
        <v>2</v>
      </c>
      <c r="Q105" s="271">
        <f>M106-N105</f>
        <v>61</v>
      </c>
      <c r="R105" s="423"/>
      <c r="S105" s="385"/>
      <c r="T105" s="385"/>
      <c r="U105" s="385"/>
      <c r="V105" s="386"/>
    </row>
    <row r="106" spans="1:22" x14ac:dyDescent="0.35">
      <c r="A106" s="390"/>
      <c r="B106" s="385"/>
      <c r="C106" s="403"/>
      <c r="D106" s="396"/>
      <c r="E106" s="385"/>
      <c r="F106" s="385"/>
      <c r="G106" s="422"/>
      <c r="H106" s="422"/>
      <c r="I106" s="422"/>
      <c r="J106" s="385"/>
      <c r="K106" s="385"/>
      <c r="L106" s="271" t="s">
        <v>462</v>
      </c>
      <c r="M106" s="274">
        <v>45799</v>
      </c>
      <c r="N106" s="274">
        <v>45800</v>
      </c>
      <c r="O106" s="275" t="s">
        <v>472</v>
      </c>
      <c r="P106" s="271">
        <f t="shared" si="5"/>
        <v>1</v>
      </c>
      <c r="Q106" s="271"/>
      <c r="R106" s="423"/>
      <c r="S106" s="385"/>
      <c r="T106" s="385"/>
      <c r="U106" s="385"/>
      <c r="V106" s="386"/>
    </row>
    <row r="107" spans="1:22" x14ac:dyDescent="0.35">
      <c r="A107" s="356">
        <v>5</v>
      </c>
      <c r="B107" s="343" t="s">
        <v>6</v>
      </c>
      <c r="C107" s="343" t="s">
        <v>547</v>
      </c>
      <c r="D107" s="391" t="s">
        <v>556</v>
      </c>
      <c r="E107" s="343" t="s">
        <v>557</v>
      </c>
      <c r="F107" s="343" t="s">
        <v>457</v>
      </c>
      <c r="G107" s="351">
        <v>45853</v>
      </c>
      <c r="H107" s="351">
        <f>G107+15</f>
        <v>45868</v>
      </c>
      <c r="I107" s="351">
        <f>M107</f>
        <v>45835</v>
      </c>
      <c r="J107" s="343">
        <f>I107-G107</f>
        <v>-18</v>
      </c>
      <c r="K107" s="343">
        <f>R107-H107</f>
        <v>10</v>
      </c>
      <c r="L107" s="343" t="s">
        <v>458</v>
      </c>
      <c r="M107" s="274">
        <v>45835</v>
      </c>
      <c r="N107" s="274">
        <v>45863</v>
      </c>
      <c r="O107" s="275" t="s">
        <v>481</v>
      </c>
      <c r="P107" s="271">
        <f t="shared" si="5"/>
        <v>28</v>
      </c>
      <c r="Q107" s="271">
        <f>M108-N107</f>
        <v>11</v>
      </c>
      <c r="R107" s="351">
        <f>N108</f>
        <v>45878</v>
      </c>
      <c r="S107" s="343" t="s">
        <v>397</v>
      </c>
      <c r="T107" s="343" t="str">
        <f>O108</f>
        <v>CAT - I</v>
      </c>
      <c r="U107" s="343" t="s">
        <v>397</v>
      </c>
      <c r="V107" s="346"/>
    </row>
    <row r="108" spans="1:22" x14ac:dyDescent="0.35">
      <c r="A108" s="390"/>
      <c r="B108" s="385"/>
      <c r="C108" s="385"/>
      <c r="D108" s="392"/>
      <c r="E108" s="385"/>
      <c r="F108" s="385"/>
      <c r="G108" s="422"/>
      <c r="H108" s="422"/>
      <c r="I108" s="422"/>
      <c r="J108" s="385"/>
      <c r="K108" s="385"/>
      <c r="L108" s="343"/>
      <c r="M108" s="274">
        <v>45874</v>
      </c>
      <c r="N108" s="274">
        <v>45878</v>
      </c>
      <c r="O108" s="275" t="s">
        <v>472</v>
      </c>
      <c r="P108" s="271">
        <f>N108-M108</f>
        <v>4</v>
      </c>
      <c r="Q108" s="271"/>
      <c r="R108" s="385"/>
      <c r="S108" s="385"/>
      <c r="T108" s="385"/>
      <c r="U108" s="385"/>
      <c r="V108" s="386"/>
    </row>
    <row r="109" spans="1:22" ht="63" x14ac:dyDescent="0.35">
      <c r="A109" s="319">
        <v>6</v>
      </c>
      <c r="B109" s="291" t="s">
        <v>6</v>
      </c>
      <c r="C109" s="292" t="s">
        <v>547</v>
      </c>
      <c r="D109" s="293" t="s">
        <v>387</v>
      </c>
      <c r="E109" s="291" t="s">
        <v>558</v>
      </c>
      <c r="F109" s="291" t="s">
        <v>457</v>
      </c>
      <c r="G109" s="294">
        <v>45795</v>
      </c>
      <c r="H109" s="294">
        <f t="shared" ref="H109:H121" si="6">G109+15</f>
        <v>45810</v>
      </c>
      <c r="I109" s="294">
        <f>M109</f>
        <v>45849</v>
      </c>
      <c r="J109" s="291">
        <f>I109-G109</f>
        <v>54</v>
      </c>
      <c r="K109" s="291">
        <f ca="1">I1-H109</f>
        <v>88</v>
      </c>
      <c r="L109" s="291" t="s">
        <v>458</v>
      </c>
      <c r="M109" s="294">
        <v>45849</v>
      </c>
      <c r="N109" s="294">
        <v>45868</v>
      </c>
      <c r="O109" s="295" t="s">
        <v>459</v>
      </c>
      <c r="P109" s="291">
        <f>N109-M109</f>
        <v>19</v>
      </c>
      <c r="Q109" s="291">
        <f ca="1">I1-N109</f>
        <v>30</v>
      </c>
      <c r="R109" s="291"/>
      <c r="S109" s="291" t="s">
        <v>482</v>
      </c>
      <c r="T109" s="291" t="s">
        <v>459</v>
      </c>
      <c r="U109" s="291" t="s">
        <v>464</v>
      </c>
      <c r="V109" s="320"/>
    </row>
    <row r="110" spans="1:22" ht="42" x14ac:dyDescent="0.35">
      <c r="A110" s="313">
        <v>7</v>
      </c>
      <c r="B110" s="257" t="s">
        <v>6</v>
      </c>
      <c r="C110" s="268" t="s">
        <v>547</v>
      </c>
      <c r="D110" s="269" t="s">
        <v>559</v>
      </c>
      <c r="E110" s="259" t="s">
        <v>560</v>
      </c>
      <c r="F110" s="259" t="s">
        <v>457</v>
      </c>
      <c r="G110" s="276">
        <v>45800</v>
      </c>
      <c r="H110" s="276">
        <f t="shared" si="6"/>
        <v>45815</v>
      </c>
      <c r="I110" s="276"/>
      <c r="J110" s="257">
        <f t="shared" ref="J110:K127" ca="1" si="7">$I$1-G110</f>
        <v>98</v>
      </c>
      <c r="K110" s="259">
        <f t="shared" ca="1" si="7"/>
        <v>83</v>
      </c>
      <c r="L110" s="297"/>
      <c r="M110" s="276"/>
      <c r="N110" s="276"/>
      <c r="O110" s="277"/>
      <c r="P110" s="259"/>
      <c r="Q110" s="259"/>
      <c r="R110" s="259"/>
      <c r="S110" s="259"/>
      <c r="T110" s="259"/>
      <c r="U110" s="259"/>
      <c r="V110" s="321"/>
    </row>
    <row r="111" spans="1:22" ht="42" x14ac:dyDescent="0.35">
      <c r="A111" s="313">
        <v>8</v>
      </c>
      <c r="B111" s="257" t="s">
        <v>6</v>
      </c>
      <c r="C111" s="268" t="s">
        <v>547</v>
      </c>
      <c r="D111" s="269" t="s">
        <v>561</v>
      </c>
      <c r="E111" s="259" t="s">
        <v>562</v>
      </c>
      <c r="F111" s="259" t="s">
        <v>457</v>
      </c>
      <c r="G111" s="276">
        <v>45800</v>
      </c>
      <c r="H111" s="276">
        <f t="shared" si="6"/>
        <v>45815</v>
      </c>
      <c r="I111" s="276"/>
      <c r="J111" s="257">
        <f t="shared" ca="1" si="7"/>
        <v>98</v>
      </c>
      <c r="K111" s="259">
        <f t="shared" ca="1" si="7"/>
        <v>83</v>
      </c>
      <c r="L111" s="297"/>
      <c r="M111" s="276"/>
      <c r="N111" s="276"/>
      <c r="O111" s="277"/>
      <c r="P111" s="259"/>
      <c r="Q111" s="259"/>
      <c r="R111" s="259"/>
      <c r="S111" s="259"/>
      <c r="T111" s="259"/>
      <c r="U111" s="259"/>
      <c r="V111" s="321"/>
    </row>
    <row r="112" spans="1:22" ht="42" x14ac:dyDescent="0.35">
      <c r="A112" s="313">
        <v>9</v>
      </c>
      <c r="B112" s="257" t="s">
        <v>6</v>
      </c>
      <c r="C112" s="268" t="s">
        <v>547</v>
      </c>
      <c r="D112" s="269" t="s">
        <v>563</v>
      </c>
      <c r="E112" s="259" t="s">
        <v>564</v>
      </c>
      <c r="F112" s="259" t="s">
        <v>457</v>
      </c>
      <c r="G112" s="276">
        <v>45874</v>
      </c>
      <c r="H112" s="276">
        <f t="shared" si="6"/>
        <v>45889</v>
      </c>
      <c r="I112" s="276"/>
      <c r="J112" s="257">
        <f t="shared" ca="1" si="7"/>
        <v>24</v>
      </c>
      <c r="K112" s="259">
        <f t="shared" ca="1" si="7"/>
        <v>9</v>
      </c>
      <c r="L112" s="297"/>
      <c r="M112" s="276"/>
      <c r="N112" s="276"/>
      <c r="O112" s="277"/>
      <c r="P112" s="259"/>
      <c r="Q112" s="259"/>
      <c r="R112" s="259"/>
      <c r="S112" s="259"/>
      <c r="T112" s="259"/>
      <c r="U112" s="259"/>
      <c r="V112" s="321"/>
    </row>
    <row r="113" spans="1:22" ht="52.5" x14ac:dyDescent="0.35">
      <c r="A113" s="313">
        <v>10</v>
      </c>
      <c r="B113" s="257" t="s">
        <v>6</v>
      </c>
      <c r="C113" s="268" t="s">
        <v>547</v>
      </c>
      <c r="D113" s="269" t="s">
        <v>565</v>
      </c>
      <c r="E113" s="259" t="s">
        <v>566</v>
      </c>
      <c r="F113" s="259" t="s">
        <v>457</v>
      </c>
      <c r="G113" s="276">
        <v>45877</v>
      </c>
      <c r="H113" s="276">
        <f t="shared" si="6"/>
        <v>45892</v>
      </c>
      <c r="I113" s="276"/>
      <c r="J113" s="257">
        <f t="shared" ca="1" si="7"/>
        <v>21</v>
      </c>
      <c r="K113" s="259">
        <f t="shared" ca="1" si="7"/>
        <v>6</v>
      </c>
      <c r="L113" s="297"/>
      <c r="M113" s="276"/>
      <c r="N113" s="276"/>
      <c r="O113" s="277"/>
      <c r="P113" s="259"/>
      <c r="Q113" s="259"/>
      <c r="R113" s="259"/>
      <c r="S113" s="259"/>
      <c r="T113" s="259"/>
      <c r="U113" s="259"/>
      <c r="V113" s="321"/>
    </row>
    <row r="114" spans="1:22" ht="42" x14ac:dyDescent="0.35">
      <c r="A114" s="313">
        <v>11</v>
      </c>
      <c r="B114" s="257" t="s">
        <v>6</v>
      </c>
      <c r="C114" s="268" t="s">
        <v>547</v>
      </c>
      <c r="D114" s="269" t="s">
        <v>567</v>
      </c>
      <c r="E114" s="259" t="s">
        <v>568</v>
      </c>
      <c r="F114" s="259" t="s">
        <v>457</v>
      </c>
      <c r="G114" s="276">
        <v>45881</v>
      </c>
      <c r="H114" s="276">
        <f t="shared" si="6"/>
        <v>45896</v>
      </c>
      <c r="I114" s="276"/>
      <c r="J114" s="257">
        <f t="shared" ca="1" si="7"/>
        <v>17</v>
      </c>
      <c r="K114" s="259">
        <f t="shared" ca="1" si="7"/>
        <v>2</v>
      </c>
      <c r="L114" s="297"/>
      <c r="M114" s="276"/>
      <c r="N114" s="276"/>
      <c r="O114" s="277"/>
      <c r="P114" s="259"/>
      <c r="Q114" s="259"/>
      <c r="R114" s="259"/>
      <c r="S114" s="259"/>
      <c r="T114" s="259"/>
      <c r="U114" s="259"/>
      <c r="V114" s="321"/>
    </row>
    <row r="115" spans="1:22" ht="42" x14ac:dyDescent="0.35">
      <c r="A115" s="313">
        <v>12</v>
      </c>
      <c r="B115" s="257" t="s">
        <v>6</v>
      </c>
      <c r="C115" s="268" t="s">
        <v>547</v>
      </c>
      <c r="D115" s="269" t="s">
        <v>569</v>
      </c>
      <c r="E115" s="259" t="s">
        <v>570</v>
      </c>
      <c r="F115" s="259" t="s">
        <v>457</v>
      </c>
      <c r="G115" s="276">
        <v>45843</v>
      </c>
      <c r="H115" s="276">
        <f t="shared" si="6"/>
        <v>45858</v>
      </c>
      <c r="I115" s="276"/>
      <c r="J115" s="257">
        <f t="shared" ca="1" si="7"/>
        <v>55</v>
      </c>
      <c r="K115" s="259">
        <f t="shared" ca="1" si="7"/>
        <v>40</v>
      </c>
      <c r="L115" s="297"/>
      <c r="M115" s="276"/>
      <c r="N115" s="276"/>
      <c r="O115" s="277"/>
      <c r="P115" s="259"/>
      <c r="Q115" s="259"/>
      <c r="R115" s="259"/>
      <c r="S115" s="259"/>
      <c r="T115" s="259"/>
      <c r="U115" s="259"/>
      <c r="V115" s="321"/>
    </row>
    <row r="116" spans="1:22" ht="42" x14ac:dyDescent="0.35">
      <c r="A116" s="313">
        <v>13</v>
      </c>
      <c r="B116" s="257" t="s">
        <v>6</v>
      </c>
      <c r="C116" s="268" t="s">
        <v>547</v>
      </c>
      <c r="D116" s="269" t="s">
        <v>571</v>
      </c>
      <c r="E116" s="259" t="s">
        <v>572</v>
      </c>
      <c r="F116" s="259" t="s">
        <v>457</v>
      </c>
      <c r="G116" s="276">
        <v>45848</v>
      </c>
      <c r="H116" s="276">
        <f t="shared" si="6"/>
        <v>45863</v>
      </c>
      <c r="I116" s="276"/>
      <c r="J116" s="257">
        <f t="shared" ca="1" si="7"/>
        <v>50</v>
      </c>
      <c r="K116" s="259">
        <f t="shared" ca="1" si="7"/>
        <v>35</v>
      </c>
      <c r="L116" s="297"/>
      <c r="M116" s="276"/>
      <c r="N116" s="276"/>
      <c r="O116" s="277"/>
      <c r="P116" s="259"/>
      <c r="Q116" s="259"/>
      <c r="R116" s="259"/>
      <c r="S116" s="259"/>
      <c r="T116" s="259"/>
      <c r="U116" s="259"/>
      <c r="V116" s="321"/>
    </row>
    <row r="117" spans="1:22" ht="63" x14ac:dyDescent="0.35">
      <c r="A117" s="313">
        <v>14</v>
      </c>
      <c r="B117" s="257" t="s">
        <v>6</v>
      </c>
      <c r="C117" s="268" t="s">
        <v>547</v>
      </c>
      <c r="D117" s="269" t="s">
        <v>573</v>
      </c>
      <c r="E117" s="259" t="s">
        <v>574</v>
      </c>
      <c r="F117" s="259" t="s">
        <v>457</v>
      </c>
      <c r="G117" s="276">
        <v>45833</v>
      </c>
      <c r="H117" s="276">
        <f t="shared" si="6"/>
        <v>45848</v>
      </c>
      <c r="I117" s="276"/>
      <c r="J117" s="257">
        <f t="shared" ca="1" si="7"/>
        <v>65</v>
      </c>
      <c r="K117" s="259">
        <f t="shared" ca="1" si="7"/>
        <v>50</v>
      </c>
      <c r="L117" s="297"/>
      <c r="M117" s="276"/>
      <c r="N117" s="276"/>
      <c r="O117" s="277"/>
      <c r="P117" s="259"/>
      <c r="Q117" s="259"/>
      <c r="R117" s="259"/>
      <c r="S117" s="259"/>
      <c r="T117" s="259"/>
      <c r="U117" s="259"/>
      <c r="V117" s="321"/>
    </row>
    <row r="118" spans="1:22" ht="63" x14ac:dyDescent="0.35">
      <c r="A118" s="319">
        <v>15</v>
      </c>
      <c r="B118" s="291" t="s">
        <v>6</v>
      </c>
      <c r="C118" s="292" t="s">
        <v>547</v>
      </c>
      <c r="D118" s="293" t="s">
        <v>575</v>
      </c>
      <c r="E118" s="291" t="s">
        <v>576</v>
      </c>
      <c r="F118" s="291" t="s">
        <v>457</v>
      </c>
      <c r="G118" s="294">
        <v>45838</v>
      </c>
      <c r="H118" s="294">
        <f t="shared" si="6"/>
        <v>45853</v>
      </c>
      <c r="I118" s="294">
        <v>45838</v>
      </c>
      <c r="J118" s="291">
        <f>I118-G118</f>
        <v>0</v>
      </c>
      <c r="K118" s="291">
        <f ca="1">I1-H118</f>
        <v>45</v>
      </c>
      <c r="L118" s="291" t="s">
        <v>458</v>
      </c>
      <c r="M118" s="294">
        <v>45838</v>
      </c>
      <c r="N118" s="294">
        <v>45882</v>
      </c>
      <c r="O118" s="295" t="s">
        <v>459</v>
      </c>
      <c r="P118" s="291">
        <f>N118-M118</f>
        <v>44</v>
      </c>
      <c r="Q118" s="291"/>
      <c r="R118" s="291"/>
      <c r="S118" s="291" t="s">
        <v>489</v>
      </c>
      <c r="T118" s="291" t="s">
        <v>459</v>
      </c>
      <c r="U118" s="291" t="s">
        <v>464</v>
      </c>
      <c r="V118" s="320"/>
    </row>
    <row r="119" spans="1:22" ht="42" x14ac:dyDescent="0.35">
      <c r="A119" s="313">
        <v>16</v>
      </c>
      <c r="B119" s="257" t="s">
        <v>6</v>
      </c>
      <c r="C119" s="268" t="s">
        <v>547</v>
      </c>
      <c r="D119" s="269" t="s">
        <v>577</v>
      </c>
      <c r="E119" s="259" t="s">
        <v>578</v>
      </c>
      <c r="F119" s="259" t="s">
        <v>457</v>
      </c>
      <c r="G119" s="276">
        <v>45843</v>
      </c>
      <c r="H119" s="276">
        <f t="shared" si="6"/>
        <v>45858</v>
      </c>
      <c r="I119" s="276"/>
      <c r="J119" s="257">
        <f t="shared" ca="1" si="7"/>
        <v>55</v>
      </c>
      <c r="K119" s="259">
        <f ca="1">$I$1-H119</f>
        <v>40</v>
      </c>
      <c r="L119" s="297"/>
      <c r="M119" s="276"/>
      <c r="N119" s="276"/>
      <c r="O119" s="277"/>
      <c r="P119" s="259"/>
      <c r="Q119" s="259"/>
      <c r="R119" s="259"/>
      <c r="S119" s="259"/>
      <c r="T119" s="259"/>
      <c r="U119" s="259"/>
      <c r="V119" s="321"/>
    </row>
    <row r="120" spans="1:22" ht="52.5" x14ac:dyDescent="0.35">
      <c r="A120" s="313">
        <v>17</v>
      </c>
      <c r="B120" s="257" t="s">
        <v>6</v>
      </c>
      <c r="C120" s="268" t="s">
        <v>547</v>
      </c>
      <c r="D120" s="269" t="s">
        <v>579</v>
      </c>
      <c r="E120" s="259" t="s">
        <v>580</v>
      </c>
      <c r="F120" s="259" t="s">
        <v>457</v>
      </c>
      <c r="G120" s="276">
        <v>45846</v>
      </c>
      <c r="H120" s="276">
        <f t="shared" si="6"/>
        <v>45861</v>
      </c>
      <c r="I120" s="270"/>
      <c r="J120" s="257">
        <f t="shared" ca="1" si="7"/>
        <v>52</v>
      </c>
      <c r="K120" s="259">
        <f ca="1">$I$1-H120</f>
        <v>37</v>
      </c>
      <c r="L120" s="297"/>
      <c r="M120" s="276"/>
      <c r="N120" s="276"/>
      <c r="O120" s="277"/>
      <c r="P120" s="259"/>
      <c r="Q120" s="259"/>
      <c r="R120" s="259"/>
      <c r="S120" s="259"/>
      <c r="T120" s="259"/>
      <c r="U120" s="259"/>
      <c r="V120" s="321"/>
    </row>
    <row r="121" spans="1:22" ht="52.5" x14ac:dyDescent="0.35">
      <c r="A121" s="313">
        <v>18</v>
      </c>
      <c r="B121" s="257" t="s">
        <v>6</v>
      </c>
      <c r="C121" s="268" t="s">
        <v>547</v>
      </c>
      <c r="D121" s="269" t="s">
        <v>581</v>
      </c>
      <c r="E121" s="259" t="s">
        <v>582</v>
      </c>
      <c r="F121" s="257" t="s">
        <v>467</v>
      </c>
      <c r="G121" s="270">
        <v>45848</v>
      </c>
      <c r="H121" s="276">
        <f t="shared" si="6"/>
        <v>45863</v>
      </c>
      <c r="I121" s="270"/>
      <c r="J121" s="257">
        <f t="shared" ca="1" si="7"/>
        <v>50</v>
      </c>
      <c r="K121" s="259">
        <f ca="1">$I$1-H121</f>
        <v>35</v>
      </c>
      <c r="L121" s="297"/>
      <c r="M121" s="276"/>
      <c r="N121" s="276"/>
      <c r="O121" s="277"/>
      <c r="P121" s="259"/>
      <c r="Q121" s="259"/>
      <c r="R121" s="259"/>
      <c r="S121" s="259"/>
      <c r="T121" s="259"/>
      <c r="U121" s="259"/>
      <c r="V121" s="321"/>
    </row>
    <row r="122" spans="1:22" ht="42" x14ac:dyDescent="0.35">
      <c r="A122" s="315">
        <v>19</v>
      </c>
      <c r="B122" s="271" t="s">
        <v>6</v>
      </c>
      <c r="C122" s="272" t="s">
        <v>547</v>
      </c>
      <c r="D122" s="273" t="s">
        <v>583</v>
      </c>
      <c r="E122" s="271" t="s">
        <v>584</v>
      </c>
      <c r="F122" s="271" t="s">
        <v>467</v>
      </c>
      <c r="G122" s="274">
        <v>45853</v>
      </c>
      <c r="H122" s="274">
        <f>G122+7</f>
        <v>45860</v>
      </c>
      <c r="I122" s="274">
        <f>M122</f>
        <v>45855</v>
      </c>
      <c r="J122" s="271">
        <f>I122-G122</f>
        <v>2</v>
      </c>
      <c r="K122" s="271">
        <f>R122-H122</f>
        <v>-1</v>
      </c>
      <c r="L122" s="271" t="s">
        <v>458</v>
      </c>
      <c r="M122" s="274">
        <v>45855</v>
      </c>
      <c r="N122" s="274">
        <v>45859</v>
      </c>
      <c r="O122" s="275" t="s">
        <v>511</v>
      </c>
      <c r="P122" s="271">
        <f>N122-M122</f>
        <v>4</v>
      </c>
      <c r="Q122" s="271"/>
      <c r="R122" s="274">
        <f>N122</f>
        <v>45859</v>
      </c>
      <c r="S122" s="271" t="s">
        <v>397</v>
      </c>
      <c r="T122" s="271" t="str">
        <f>O122</f>
        <v xml:space="preserve">CAT -IV </v>
      </c>
      <c r="U122" s="271" t="s">
        <v>397</v>
      </c>
      <c r="V122" s="316"/>
    </row>
    <row r="123" spans="1:22" ht="52.5" x14ac:dyDescent="0.35">
      <c r="A123" s="313">
        <v>20</v>
      </c>
      <c r="B123" s="257" t="s">
        <v>6</v>
      </c>
      <c r="C123" s="268" t="s">
        <v>547</v>
      </c>
      <c r="D123" s="269" t="s">
        <v>585</v>
      </c>
      <c r="E123" s="259" t="s">
        <v>586</v>
      </c>
      <c r="F123" s="257" t="s">
        <v>457</v>
      </c>
      <c r="G123" s="270">
        <v>45853</v>
      </c>
      <c r="H123" s="276">
        <f t="shared" ref="H123:H128" si="8">G123+15</f>
        <v>45868</v>
      </c>
      <c r="I123" s="270"/>
      <c r="J123" s="257">
        <f t="shared" ca="1" si="7"/>
        <v>45</v>
      </c>
      <c r="K123" s="259">
        <f ca="1">$I$1-H123</f>
        <v>30</v>
      </c>
      <c r="L123" s="297"/>
      <c r="M123" s="276"/>
      <c r="N123" s="276"/>
      <c r="O123" s="277"/>
      <c r="P123" s="259"/>
      <c r="Q123" s="259"/>
      <c r="R123" s="259"/>
      <c r="S123" s="259"/>
      <c r="T123" s="259"/>
      <c r="U123" s="259"/>
      <c r="V123" s="321"/>
    </row>
    <row r="124" spans="1:22" ht="42" x14ac:dyDescent="0.35">
      <c r="A124" s="313">
        <v>21</v>
      </c>
      <c r="B124" s="257" t="s">
        <v>6</v>
      </c>
      <c r="C124" s="268" t="s">
        <v>547</v>
      </c>
      <c r="D124" s="269" t="s">
        <v>587</v>
      </c>
      <c r="E124" s="259" t="s">
        <v>588</v>
      </c>
      <c r="F124" s="257" t="s">
        <v>467</v>
      </c>
      <c r="G124" s="270">
        <v>45858</v>
      </c>
      <c r="H124" s="276">
        <f t="shared" si="8"/>
        <v>45873</v>
      </c>
      <c r="I124" s="270"/>
      <c r="J124" s="257">
        <f t="shared" ca="1" si="7"/>
        <v>40</v>
      </c>
      <c r="K124" s="259">
        <f ca="1">$I$1-H124</f>
        <v>25</v>
      </c>
      <c r="L124" s="297"/>
      <c r="M124" s="276"/>
      <c r="N124" s="276"/>
      <c r="O124" s="277"/>
      <c r="P124" s="259"/>
      <c r="Q124" s="259"/>
      <c r="R124" s="259"/>
      <c r="S124" s="259"/>
      <c r="T124" s="259"/>
      <c r="U124" s="259"/>
      <c r="V124" s="321"/>
    </row>
    <row r="125" spans="1:22" ht="42" x14ac:dyDescent="0.35">
      <c r="A125" s="313">
        <v>22</v>
      </c>
      <c r="B125" s="257" t="s">
        <v>6</v>
      </c>
      <c r="C125" s="268" t="s">
        <v>547</v>
      </c>
      <c r="D125" s="269" t="s">
        <v>589</v>
      </c>
      <c r="E125" s="259" t="s">
        <v>590</v>
      </c>
      <c r="F125" s="257" t="s">
        <v>457</v>
      </c>
      <c r="G125" s="270">
        <v>45826</v>
      </c>
      <c r="H125" s="276">
        <f t="shared" si="8"/>
        <v>45841</v>
      </c>
      <c r="I125" s="270"/>
      <c r="J125" s="257">
        <f t="shared" ca="1" si="7"/>
        <v>72</v>
      </c>
      <c r="K125" s="259">
        <f ca="1">$I$1-H125</f>
        <v>57</v>
      </c>
      <c r="L125" s="297"/>
      <c r="M125" s="276"/>
      <c r="N125" s="276"/>
      <c r="O125" s="277"/>
      <c r="P125" s="259"/>
      <c r="Q125" s="259"/>
      <c r="R125" s="259"/>
      <c r="S125" s="259"/>
      <c r="T125" s="259"/>
      <c r="U125" s="259"/>
      <c r="V125" s="321"/>
    </row>
    <row r="126" spans="1:22" ht="42" x14ac:dyDescent="0.35">
      <c r="A126" s="313">
        <v>23</v>
      </c>
      <c r="B126" s="257" t="s">
        <v>6</v>
      </c>
      <c r="C126" s="268" t="s">
        <v>547</v>
      </c>
      <c r="D126" s="269" t="s">
        <v>591</v>
      </c>
      <c r="E126" s="259" t="s">
        <v>592</v>
      </c>
      <c r="F126" s="257" t="s">
        <v>467</v>
      </c>
      <c r="G126" s="270">
        <v>45833</v>
      </c>
      <c r="H126" s="276">
        <f t="shared" si="8"/>
        <v>45848</v>
      </c>
      <c r="I126" s="270"/>
      <c r="J126" s="257">
        <f t="shared" ca="1" si="7"/>
        <v>65</v>
      </c>
      <c r="K126" s="259">
        <f ca="1">$I$1-H126</f>
        <v>50</v>
      </c>
      <c r="L126" s="297"/>
      <c r="M126" s="276"/>
      <c r="N126" s="276"/>
      <c r="O126" s="277"/>
      <c r="P126" s="259"/>
      <c r="Q126" s="259"/>
      <c r="R126" s="259"/>
      <c r="S126" s="259"/>
      <c r="T126" s="259"/>
      <c r="U126" s="259"/>
      <c r="V126" s="321"/>
    </row>
    <row r="127" spans="1:22" ht="52.5" x14ac:dyDescent="0.35">
      <c r="A127" s="313">
        <v>24</v>
      </c>
      <c r="B127" s="257" t="s">
        <v>6</v>
      </c>
      <c r="C127" s="268" t="s">
        <v>547</v>
      </c>
      <c r="D127" s="269" t="s">
        <v>593</v>
      </c>
      <c r="E127" s="259" t="s">
        <v>594</v>
      </c>
      <c r="F127" s="257" t="s">
        <v>457</v>
      </c>
      <c r="G127" s="270">
        <v>45863</v>
      </c>
      <c r="H127" s="276">
        <f t="shared" si="8"/>
        <v>45878</v>
      </c>
      <c r="I127" s="270"/>
      <c r="J127" s="257">
        <f t="shared" ca="1" si="7"/>
        <v>35</v>
      </c>
      <c r="K127" s="259">
        <f ca="1">$I$1-H127</f>
        <v>20</v>
      </c>
      <c r="L127" s="297"/>
      <c r="M127" s="276"/>
      <c r="N127" s="276"/>
      <c r="O127" s="277"/>
      <c r="P127" s="259"/>
      <c r="Q127" s="259"/>
      <c r="R127" s="259"/>
      <c r="S127" s="259"/>
      <c r="T127" s="259"/>
      <c r="U127" s="259"/>
      <c r="V127" s="321"/>
    </row>
    <row r="128" spans="1:22" x14ac:dyDescent="0.35">
      <c r="A128" s="356">
        <v>25</v>
      </c>
      <c r="B128" s="343" t="s">
        <v>6</v>
      </c>
      <c r="C128" s="359" t="s">
        <v>547</v>
      </c>
      <c r="D128" s="391" t="s">
        <v>595</v>
      </c>
      <c r="E128" s="343" t="s">
        <v>596</v>
      </c>
      <c r="F128" s="343" t="s">
        <v>457</v>
      </c>
      <c r="G128" s="351">
        <v>45828</v>
      </c>
      <c r="H128" s="351">
        <f t="shared" si="8"/>
        <v>45843</v>
      </c>
      <c r="I128" s="351">
        <f>M128</f>
        <v>45849</v>
      </c>
      <c r="J128" s="343">
        <f>I128-G128</f>
        <v>21</v>
      </c>
      <c r="K128" s="343">
        <f>R128-H128</f>
        <v>40</v>
      </c>
      <c r="L128" s="271" t="s">
        <v>458</v>
      </c>
      <c r="M128" s="274">
        <v>45849</v>
      </c>
      <c r="N128" s="274">
        <v>45862</v>
      </c>
      <c r="O128" s="275" t="s">
        <v>459</v>
      </c>
      <c r="P128" s="271">
        <f>N128-M128</f>
        <v>13</v>
      </c>
      <c r="Q128" s="271">
        <f>M129-N128</f>
        <v>2</v>
      </c>
      <c r="R128" s="351">
        <f>N131</f>
        <v>45883</v>
      </c>
      <c r="S128" s="343" t="s">
        <v>397</v>
      </c>
      <c r="T128" s="343" t="str">
        <f>O131</f>
        <v>CAT - I</v>
      </c>
      <c r="U128" s="343" t="s">
        <v>397</v>
      </c>
      <c r="V128" s="346"/>
    </row>
    <row r="129" spans="1:22" x14ac:dyDescent="0.35">
      <c r="A129" s="390"/>
      <c r="B129" s="385"/>
      <c r="C129" s="359"/>
      <c r="D129" s="392"/>
      <c r="E129" s="385"/>
      <c r="F129" s="385"/>
      <c r="G129" s="422"/>
      <c r="H129" s="422"/>
      <c r="I129" s="422"/>
      <c r="J129" s="385"/>
      <c r="K129" s="385"/>
      <c r="L129" s="271" t="s">
        <v>460</v>
      </c>
      <c r="M129" s="274">
        <v>45864</v>
      </c>
      <c r="N129" s="274"/>
      <c r="O129" s="275"/>
      <c r="P129" s="271"/>
      <c r="Q129" s="271"/>
      <c r="R129" s="343"/>
      <c r="S129" s="385"/>
      <c r="T129" s="385"/>
      <c r="U129" s="385"/>
      <c r="V129" s="386"/>
    </row>
    <row r="130" spans="1:22" x14ac:dyDescent="0.35">
      <c r="A130" s="390"/>
      <c r="B130" s="385"/>
      <c r="C130" s="359"/>
      <c r="D130" s="392"/>
      <c r="E130" s="385"/>
      <c r="F130" s="385"/>
      <c r="G130" s="422"/>
      <c r="H130" s="422"/>
      <c r="I130" s="422"/>
      <c r="J130" s="385"/>
      <c r="K130" s="385"/>
      <c r="L130" s="271" t="s">
        <v>460</v>
      </c>
      <c r="M130" s="274">
        <v>45882</v>
      </c>
      <c r="N130" s="274"/>
      <c r="O130" s="275"/>
      <c r="P130" s="271"/>
      <c r="Q130" s="271"/>
      <c r="R130" s="343"/>
      <c r="S130" s="385"/>
      <c r="T130" s="385"/>
      <c r="U130" s="385"/>
      <c r="V130" s="386"/>
    </row>
    <row r="131" spans="1:22" x14ac:dyDescent="0.35">
      <c r="A131" s="390"/>
      <c r="B131" s="385"/>
      <c r="C131" s="359"/>
      <c r="D131" s="392"/>
      <c r="E131" s="385"/>
      <c r="F131" s="385"/>
      <c r="G131" s="422"/>
      <c r="H131" s="422"/>
      <c r="I131" s="422"/>
      <c r="J131" s="385"/>
      <c r="K131" s="385"/>
      <c r="L131" s="271" t="s">
        <v>460</v>
      </c>
      <c r="M131" s="274">
        <v>45883</v>
      </c>
      <c r="N131" s="274">
        <v>45883</v>
      </c>
      <c r="O131" s="275" t="s">
        <v>472</v>
      </c>
      <c r="P131" s="271"/>
      <c r="Q131" s="271"/>
      <c r="R131" s="343"/>
      <c r="S131" s="385"/>
      <c r="T131" s="385"/>
      <c r="U131" s="385"/>
      <c r="V131" s="386"/>
    </row>
    <row r="132" spans="1:22" x14ac:dyDescent="0.35">
      <c r="A132" s="356">
        <v>26</v>
      </c>
      <c r="B132" s="343" t="s">
        <v>6</v>
      </c>
      <c r="C132" s="359" t="s">
        <v>547</v>
      </c>
      <c r="D132" s="362" t="s">
        <v>597</v>
      </c>
      <c r="E132" s="343" t="s">
        <v>598</v>
      </c>
      <c r="F132" s="343" t="s">
        <v>467</v>
      </c>
      <c r="G132" s="351">
        <v>45833</v>
      </c>
      <c r="H132" s="351">
        <f>G132+15</f>
        <v>45848</v>
      </c>
      <c r="I132" s="351">
        <f>M132</f>
        <v>45849</v>
      </c>
      <c r="J132" s="343">
        <f>I132-G132</f>
        <v>16</v>
      </c>
      <c r="K132" s="343">
        <f>R132-H132</f>
        <v>35</v>
      </c>
      <c r="L132" s="271" t="s">
        <v>458</v>
      </c>
      <c r="M132" s="274">
        <v>45849</v>
      </c>
      <c r="N132" s="274">
        <v>45862</v>
      </c>
      <c r="O132" s="275" t="s">
        <v>459</v>
      </c>
      <c r="P132" s="271"/>
      <c r="Q132" s="271"/>
      <c r="R132" s="351">
        <f>N133</f>
        <v>45883</v>
      </c>
      <c r="S132" s="343" t="s">
        <v>397</v>
      </c>
      <c r="T132" s="343" t="str">
        <f>O133</f>
        <v>CAT - I</v>
      </c>
      <c r="U132" s="343" t="s">
        <v>397</v>
      </c>
      <c r="V132" s="346"/>
    </row>
    <row r="133" spans="1:22" x14ac:dyDescent="0.35">
      <c r="A133" s="390"/>
      <c r="B133" s="385"/>
      <c r="C133" s="395"/>
      <c r="D133" s="396"/>
      <c r="E133" s="385"/>
      <c r="F133" s="385"/>
      <c r="G133" s="422"/>
      <c r="H133" s="422"/>
      <c r="I133" s="422"/>
      <c r="J133" s="385"/>
      <c r="K133" s="385"/>
      <c r="L133" s="271" t="s">
        <v>460</v>
      </c>
      <c r="M133" s="274">
        <v>45864</v>
      </c>
      <c r="N133" s="274">
        <v>45883</v>
      </c>
      <c r="O133" s="275" t="s">
        <v>472</v>
      </c>
      <c r="P133" s="271"/>
      <c r="Q133" s="271"/>
      <c r="R133" s="343"/>
      <c r="S133" s="385"/>
      <c r="T133" s="385"/>
      <c r="U133" s="385"/>
      <c r="V133" s="386"/>
    </row>
    <row r="134" spans="1:22" ht="52.5" x14ac:dyDescent="0.35">
      <c r="A134" s="313">
        <v>27</v>
      </c>
      <c r="B134" s="257" t="s">
        <v>6</v>
      </c>
      <c r="C134" s="268" t="s">
        <v>547</v>
      </c>
      <c r="D134" s="269" t="s">
        <v>599</v>
      </c>
      <c r="E134" s="259" t="s">
        <v>600</v>
      </c>
      <c r="F134" s="257" t="s">
        <v>457</v>
      </c>
      <c r="G134" s="276">
        <v>45836</v>
      </c>
      <c r="H134" s="276">
        <f>G134+15</f>
        <v>45851</v>
      </c>
      <c r="I134" s="270"/>
      <c r="J134" s="257">
        <f t="shared" ref="J134:J136" ca="1" si="9">$I$1-G134</f>
        <v>62</v>
      </c>
      <c r="K134" s="259">
        <f ca="1">$I$1-H134</f>
        <v>47</v>
      </c>
      <c r="L134" s="297"/>
      <c r="M134" s="276"/>
      <c r="N134" s="276"/>
      <c r="O134" s="277"/>
      <c r="P134" s="259"/>
      <c r="Q134" s="259"/>
      <c r="R134" s="259"/>
      <c r="S134" s="259"/>
      <c r="T134" s="259"/>
      <c r="U134" s="259"/>
      <c r="V134" s="321"/>
    </row>
    <row r="135" spans="1:22" ht="42" x14ac:dyDescent="0.35">
      <c r="A135" s="313">
        <v>28</v>
      </c>
      <c r="B135" s="257" t="s">
        <v>6</v>
      </c>
      <c r="C135" s="268" t="s">
        <v>547</v>
      </c>
      <c r="D135" s="269" t="s">
        <v>601</v>
      </c>
      <c r="E135" s="259" t="s">
        <v>602</v>
      </c>
      <c r="F135" s="259" t="s">
        <v>457</v>
      </c>
      <c r="G135" s="276">
        <v>45858</v>
      </c>
      <c r="H135" s="276">
        <f>G135+15</f>
        <v>45873</v>
      </c>
      <c r="I135" s="270"/>
      <c r="J135" s="257">
        <f t="shared" ca="1" si="9"/>
        <v>40</v>
      </c>
      <c r="K135" s="259">
        <f ca="1">$I$1-H135</f>
        <v>25</v>
      </c>
      <c r="L135" s="297"/>
      <c r="M135" s="276"/>
      <c r="N135" s="276"/>
      <c r="O135" s="277"/>
      <c r="P135" s="259"/>
      <c r="Q135" s="259"/>
      <c r="R135" s="259"/>
      <c r="S135" s="259"/>
      <c r="T135" s="259"/>
      <c r="U135" s="259"/>
      <c r="V135" s="321"/>
    </row>
    <row r="136" spans="1:22" ht="42" x14ac:dyDescent="0.35">
      <c r="A136" s="313">
        <v>29</v>
      </c>
      <c r="B136" s="257" t="s">
        <v>6</v>
      </c>
      <c r="C136" s="268" t="s">
        <v>547</v>
      </c>
      <c r="D136" s="269" t="s">
        <v>603</v>
      </c>
      <c r="E136" s="259" t="s">
        <v>604</v>
      </c>
      <c r="F136" s="259" t="s">
        <v>457</v>
      </c>
      <c r="G136" s="276">
        <v>45863</v>
      </c>
      <c r="H136" s="276">
        <f>G136+15</f>
        <v>45878</v>
      </c>
      <c r="I136" s="270"/>
      <c r="J136" s="257">
        <f t="shared" ca="1" si="9"/>
        <v>35</v>
      </c>
      <c r="K136" s="259">
        <f ca="1">$I$1-H136</f>
        <v>20</v>
      </c>
      <c r="L136" s="297"/>
      <c r="M136" s="276"/>
      <c r="N136" s="276"/>
      <c r="O136" s="277"/>
      <c r="P136" s="259"/>
      <c r="Q136" s="259"/>
      <c r="R136" s="259"/>
      <c r="S136" s="259"/>
      <c r="T136" s="259"/>
      <c r="U136" s="259"/>
      <c r="V136" s="321"/>
    </row>
    <row r="137" spans="1:22" x14ac:dyDescent="0.35">
      <c r="A137" s="356">
        <v>1</v>
      </c>
      <c r="B137" s="343" t="s">
        <v>605</v>
      </c>
      <c r="C137" s="359" t="s">
        <v>606</v>
      </c>
      <c r="D137" s="362" t="s">
        <v>607</v>
      </c>
      <c r="E137" s="343" t="s">
        <v>608</v>
      </c>
      <c r="F137" s="343" t="s">
        <v>457</v>
      </c>
      <c r="G137" s="351">
        <v>45719</v>
      </c>
      <c r="H137" s="351">
        <f>G137+15</f>
        <v>45734</v>
      </c>
      <c r="I137" s="351">
        <f>M137</f>
        <v>45714</v>
      </c>
      <c r="J137" s="343">
        <f>I137-G137</f>
        <v>-5</v>
      </c>
      <c r="K137" s="343">
        <f>R137-H137</f>
        <v>86</v>
      </c>
      <c r="L137" s="271" t="s">
        <v>458</v>
      </c>
      <c r="M137" s="274">
        <v>45714</v>
      </c>
      <c r="N137" s="274">
        <v>45721</v>
      </c>
      <c r="O137" s="275" t="s">
        <v>459</v>
      </c>
      <c r="P137" s="271">
        <f t="shared" ref="P137:P147" si="10">N137-M137</f>
        <v>7</v>
      </c>
      <c r="Q137" s="271">
        <f>M138-N137</f>
        <v>33</v>
      </c>
      <c r="R137" s="351">
        <f>N140</f>
        <v>45820</v>
      </c>
      <c r="S137" s="343" t="s">
        <v>397</v>
      </c>
      <c r="T137" s="343" t="str">
        <f>O140</f>
        <v>CAT - I</v>
      </c>
      <c r="U137" s="343" t="s">
        <v>397</v>
      </c>
      <c r="V137" s="346"/>
    </row>
    <row r="138" spans="1:22" x14ac:dyDescent="0.35">
      <c r="A138" s="390"/>
      <c r="B138" s="385"/>
      <c r="C138" s="403"/>
      <c r="D138" s="396"/>
      <c r="E138" s="385"/>
      <c r="F138" s="385"/>
      <c r="G138" s="422"/>
      <c r="H138" s="422"/>
      <c r="I138" s="422"/>
      <c r="J138" s="385"/>
      <c r="K138" s="385"/>
      <c r="L138" s="271" t="s">
        <v>460</v>
      </c>
      <c r="M138" s="274">
        <v>45754</v>
      </c>
      <c r="N138" s="274">
        <v>45763</v>
      </c>
      <c r="O138" s="275" t="s">
        <v>459</v>
      </c>
      <c r="P138" s="271">
        <f t="shared" si="10"/>
        <v>9</v>
      </c>
      <c r="Q138" s="271">
        <f>M139-N138</f>
        <v>4</v>
      </c>
      <c r="R138" s="385"/>
      <c r="S138" s="385"/>
      <c r="T138" s="385"/>
      <c r="U138" s="385"/>
      <c r="V138" s="386"/>
    </row>
    <row r="139" spans="1:22" x14ac:dyDescent="0.35">
      <c r="A139" s="390"/>
      <c r="B139" s="385"/>
      <c r="C139" s="403"/>
      <c r="D139" s="396"/>
      <c r="E139" s="385"/>
      <c r="F139" s="385"/>
      <c r="G139" s="422"/>
      <c r="H139" s="422"/>
      <c r="I139" s="422"/>
      <c r="J139" s="385"/>
      <c r="K139" s="385"/>
      <c r="L139" s="271" t="s">
        <v>462</v>
      </c>
      <c r="M139" s="274">
        <v>45767</v>
      </c>
      <c r="N139" s="274">
        <v>45770</v>
      </c>
      <c r="O139" s="275" t="s">
        <v>481</v>
      </c>
      <c r="P139" s="271">
        <f t="shared" si="10"/>
        <v>3</v>
      </c>
      <c r="Q139" s="271">
        <f>M140-N139</f>
        <v>1</v>
      </c>
      <c r="R139" s="385"/>
      <c r="S139" s="385"/>
      <c r="T139" s="385"/>
      <c r="U139" s="385"/>
      <c r="V139" s="386"/>
    </row>
    <row r="140" spans="1:22" x14ac:dyDescent="0.35">
      <c r="A140" s="390"/>
      <c r="B140" s="385"/>
      <c r="C140" s="403"/>
      <c r="D140" s="396"/>
      <c r="E140" s="385"/>
      <c r="F140" s="385"/>
      <c r="G140" s="422"/>
      <c r="H140" s="422"/>
      <c r="I140" s="422"/>
      <c r="J140" s="385"/>
      <c r="K140" s="385"/>
      <c r="L140" s="271" t="s">
        <v>463</v>
      </c>
      <c r="M140" s="274">
        <v>45771</v>
      </c>
      <c r="N140" s="274">
        <v>45820</v>
      </c>
      <c r="O140" s="275" t="s">
        <v>472</v>
      </c>
      <c r="P140" s="271">
        <f t="shared" si="10"/>
        <v>49</v>
      </c>
      <c r="Q140" s="271"/>
      <c r="R140" s="385"/>
      <c r="S140" s="385"/>
      <c r="T140" s="385"/>
      <c r="U140" s="385"/>
      <c r="V140" s="386"/>
    </row>
    <row r="141" spans="1:22" x14ac:dyDescent="0.35">
      <c r="A141" s="370">
        <v>2</v>
      </c>
      <c r="B141" s="352" t="s">
        <v>605</v>
      </c>
      <c r="C141" s="373" t="s">
        <v>606</v>
      </c>
      <c r="D141" s="375" t="s">
        <v>818</v>
      </c>
      <c r="E141" s="352" t="s">
        <v>609</v>
      </c>
      <c r="F141" s="352" t="s">
        <v>457</v>
      </c>
      <c r="G141" s="419">
        <v>45755</v>
      </c>
      <c r="H141" s="419">
        <f>G141+15</f>
        <v>45770</v>
      </c>
      <c r="I141" s="419">
        <v>45772</v>
      </c>
      <c r="J141" s="352">
        <f>I141-G141</f>
        <v>17</v>
      </c>
      <c r="K141" s="352">
        <f ca="1">I1-H141</f>
        <v>128</v>
      </c>
      <c r="L141" s="291" t="s">
        <v>458</v>
      </c>
      <c r="M141" s="294">
        <v>45772</v>
      </c>
      <c r="N141" s="294">
        <v>45790</v>
      </c>
      <c r="O141" s="295" t="s">
        <v>459</v>
      </c>
      <c r="P141" s="291">
        <f t="shared" si="10"/>
        <v>18</v>
      </c>
      <c r="Q141" s="291">
        <f>M142-N141</f>
        <v>3</v>
      </c>
      <c r="R141" s="352"/>
      <c r="S141" s="352" t="s">
        <v>482</v>
      </c>
      <c r="T141" s="352" t="str">
        <f>O141</f>
        <v>CAT - III</v>
      </c>
      <c r="U141" s="352" t="s">
        <v>464</v>
      </c>
      <c r="V141" s="354">
        <f ca="1">V1-M142</f>
        <v>105</v>
      </c>
    </row>
    <row r="142" spans="1:22" x14ac:dyDescent="0.35">
      <c r="A142" s="371"/>
      <c r="B142" s="372"/>
      <c r="C142" s="374"/>
      <c r="D142" s="376"/>
      <c r="E142" s="353"/>
      <c r="F142" s="353"/>
      <c r="G142" s="417"/>
      <c r="H142" s="417"/>
      <c r="I142" s="417"/>
      <c r="J142" s="353"/>
      <c r="K142" s="353"/>
      <c r="L142" s="291" t="s">
        <v>460</v>
      </c>
      <c r="M142" s="294">
        <v>45793</v>
      </c>
      <c r="N142" s="294">
        <v>45827</v>
      </c>
      <c r="O142" s="295"/>
      <c r="P142" s="291">
        <f t="shared" si="10"/>
        <v>34</v>
      </c>
      <c r="Q142" s="291">
        <f ca="1">I1-N142</f>
        <v>71</v>
      </c>
      <c r="R142" s="353"/>
      <c r="S142" s="353"/>
      <c r="T142" s="353"/>
      <c r="U142" s="353"/>
      <c r="V142" s="355"/>
    </row>
    <row r="143" spans="1:22" x14ac:dyDescent="0.35">
      <c r="A143" s="356">
        <v>3</v>
      </c>
      <c r="B143" s="343" t="s">
        <v>605</v>
      </c>
      <c r="C143" s="359" t="s">
        <v>606</v>
      </c>
      <c r="D143" s="362" t="s">
        <v>610</v>
      </c>
      <c r="E143" s="343" t="s">
        <v>611</v>
      </c>
      <c r="F143" s="343" t="s">
        <v>457</v>
      </c>
      <c r="G143" s="351">
        <v>45762</v>
      </c>
      <c r="H143" s="351">
        <f>G143+15</f>
        <v>45777</v>
      </c>
      <c r="I143" s="351">
        <v>45790</v>
      </c>
      <c r="J143" s="343">
        <f>I143-G143</f>
        <v>28</v>
      </c>
      <c r="K143" s="343">
        <f>R143-H143</f>
        <v>63</v>
      </c>
      <c r="L143" s="271" t="s">
        <v>458</v>
      </c>
      <c r="M143" s="274">
        <v>45790</v>
      </c>
      <c r="N143" s="274">
        <v>45821</v>
      </c>
      <c r="O143" s="275" t="s">
        <v>459</v>
      </c>
      <c r="P143" s="271">
        <f t="shared" si="10"/>
        <v>31</v>
      </c>
      <c r="Q143" s="271">
        <f>M144-N143</f>
        <v>11</v>
      </c>
      <c r="R143" s="351">
        <f>N144</f>
        <v>45840</v>
      </c>
      <c r="S143" s="343" t="s">
        <v>397</v>
      </c>
      <c r="T143" s="343" t="str">
        <f>O144</f>
        <v>CAT - I</v>
      </c>
      <c r="U143" s="343" t="s">
        <v>397</v>
      </c>
      <c r="V143" s="316">
        <f ca="1">V1-M143</f>
        <v>108</v>
      </c>
    </row>
    <row r="144" spans="1:22" x14ac:dyDescent="0.35">
      <c r="A144" s="390"/>
      <c r="B144" s="385"/>
      <c r="C144" s="403"/>
      <c r="D144" s="396"/>
      <c r="E144" s="385"/>
      <c r="F144" s="385"/>
      <c r="G144" s="422"/>
      <c r="H144" s="422"/>
      <c r="I144" s="422"/>
      <c r="J144" s="385"/>
      <c r="K144" s="385"/>
      <c r="L144" s="271" t="s">
        <v>460</v>
      </c>
      <c r="M144" s="274">
        <v>45832</v>
      </c>
      <c r="N144" s="274">
        <v>45840</v>
      </c>
      <c r="O144" s="275" t="s">
        <v>472</v>
      </c>
      <c r="P144" s="271">
        <f t="shared" si="10"/>
        <v>8</v>
      </c>
      <c r="Q144" s="271"/>
      <c r="R144" s="385"/>
      <c r="S144" s="385"/>
      <c r="T144" s="385"/>
      <c r="U144" s="385"/>
      <c r="V144" s="316"/>
    </row>
    <row r="145" spans="1:22" x14ac:dyDescent="0.35">
      <c r="A145" s="397">
        <v>4</v>
      </c>
      <c r="B145" s="367" t="s">
        <v>605</v>
      </c>
      <c r="C145" s="398" t="s">
        <v>606</v>
      </c>
      <c r="D145" s="399" t="s">
        <v>612</v>
      </c>
      <c r="E145" s="367" t="s">
        <v>613</v>
      </c>
      <c r="F145" s="367" t="s">
        <v>457</v>
      </c>
      <c r="G145" s="416">
        <v>45780</v>
      </c>
      <c r="H145" s="416">
        <f>G145+15</f>
        <v>45795</v>
      </c>
      <c r="I145" s="416">
        <v>45758</v>
      </c>
      <c r="J145" s="367">
        <f>I145-G145</f>
        <v>-22</v>
      </c>
      <c r="K145" s="367">
        <f ca="1">I1-H145</f>
        <v>103</v>
      </c>
      <c r="L145" s="263" t="s">
        <v>458</v>
      </c>
      <c r="M145" s="266">
        <v>45758</v>
      </c>
      <c r="N145" s="266">
        <v>45766</v>
      </c>
      <c r="O145" s="267" t="s">
        <v>459</v>
      </c>
      <c r="P145" s="263">
        <f t="shared" si="10"/>
        <v>8</v>
      </c>
      <c r="Q145" s="263">
        <f>M146-N145</f>
        <v>27</v>
      </c>
      <c r="R145" s="367"/>
      <c r="S145" s="367" t="s">
        <v>482</v>
      </c>
      <c r="T145" s="367" t="str">
        <f>O147</f>
        <v>CAT - II</v>
      </c>
      <c r="U145" s="367" t="s">
        <v>461</v>
      </c>
      <c r="V145" s="402">
        <f ca="1">V1-N147</f>
        <v>71</v>
      </c>
    </row>
    <row r="146" spans="1:22" x14ac:dyDescent="0.35">
      <c r="A146" s="371"/>
      <c r="B146" s="372"/>
      <c r="C146" s="421"/>
      <c r="D146" s="376"/>
      <c r="E146" s="353"/>
      <c r="F146" s="353"/>
      <c r="G146" s="417"/>
      <c r="H146" s="417"/>
      <c r="I146" s="417"/>
      <c r="J146" s="353"/>
      <c r="K146" s="353"/>
      <c r="L146" s="263" t="s">
        <v>460</v>
      </c>
      <c r="M146" s="266">
        <v>45793</v>
      </c>
      <c r="N146" s="266">
        <v>45808</v>
      </c>
      <c r="O146" s="267" t="s">
        <v>459</v>
      </c>
      <c r="P146" s="263">
        <f t="shared" si="10"/>
        <v>15</v>
      </c>
      <c r="Q146" s="263">
        <f>M147-N146</f>
        <v>15</v>
      </c>
      <c r="R146" s="367"/>
      <c r="S146" s="367"/>
      <c r="T146" s="367"/>
      <c r="U146" s="367"/>
      <c r="V146" s="402"/>
    </row>
    <row r="147" spans="1:22" x14ac:dyDescent="0.35">
      <c r="A147" s="371"/>
      <c r="B147" s="372"/>
      <c r="C147" s="421"/>
      <c r="D147" s="376"/>
      <c r="E147" s="353"/>
      <c r="F147" s="353"/>
      <c r="G147" s="417"/>
      <c r="H147" s="417"/>
      <c r="I147" s="417"/>
      <c r="J147" s="353"/>
      <c r="K147" s="353"/>
      <c r="L147" s="263" t="s">
        <v>462</v>
      </c>
      <c r="M147" s="266">
        <v>45823</v>
      </c>
      <c r="N147" s="266">
        <v>45827</v>
      </c>
      <c r="O147" s="267" t="s">
        <v>481</v>
      </c>
      <c r="P147" s="263">
        <f t="shared" si="10"/>
        <v>4</v>
      </c>
      <c r="Q147" s="263">
        <f>M148-N147</f>
        <v>24</v>
      </c>
      <c r="R147" s="367"/>
      <c r="S147" s="367"/>
      <c r="T147" s="367"/>
      <c r="U147" s="367"/>
      <c r="V147" s="402"/>
    </row>
    <row r="148" spans="1:22" x14ac:dyDescent="0.35">
      <c r="A148" s="371"/>
      <c r="B148" s="372"/>
      <c r="C148" s="421"/>
      <c r="D148" s="376"/>
      <c r="E148" s="353"/>
      <c r="F148" s="353"/>
      <c r="G148" s="417"/>
      <c r="H148" s="417"/>
      <c r="I148" s="417"/>
      <c r="J148" s="353"/>
      <c r="K148" s="353"/>
      <c r="L148" s="263" t="s">
        <v>463</v>
      </c>
      <c r="M148" s="266">
        <v>45851</v>
      </c>
      <c r="N148" s="266"/>
      <c r="O148" s="267"/>
      <c r="P148" s="263">
        <f ca="1">I1-M148</f>
        <v>47</v>
      </c>
      <c r="Q148" s="263"/>
      <c r="R148" s="367"/>
      <c r="S148" s="367"/>
      <c r="T148" s="367"/>
      <c r="U148" s="367"/>
      <c r="V148" s="402"/>
    </row>
    <row r="149" spans="1:22" x14ac:dyDescent="0.35">
      <c r="A149" s="508">
        <v>5</v>
      </c>
      <c r="B149" s="509" t="s">
        <v>605</v>
      </c>
      <c r="C149" s="510" t="s">
        <v>606</v>
      </c>
      <c r="D149" s="510" t="s">
        <v>614</v>
      </c>
      <c r="E149" s="509" t="s">
        <v>615</v>
      </c>
      <c r="F149" s="509" t="s">
        <v>457</v>
      </c>
      <c r="G149" s="511">
        <v>45835</v>
      </c>
      <c r="H149" s="511">
        <f>G149+15</f>
        <v>45850</v>
      </c>
      <c r="I149" s="511">
        <f>M149</f>
        <v>45845</v>
      </c>
      <c r="J149" s="509">
        <f>I149-G149</f>
        <v>10</v>
      </c>
      <c r="K149" s="509">
        <f ca="1">I1-H149</f>
        <v>48</v>
      </c>
      <c r="L149" s="512" t="s">
        <v>458</v>
      </c>
      <c r="M149" s="513">
        <v>45845</v>
      </c>
      <c r="N149" s="513"/>
      <c r="O149" s="514"/>
      <c r="P149" s="512">
        <f>M150-M149</f>
        <v>25</v>
      </c>
      <c r="Q149" s="512"/>
      <c r="R149" s="509"/>
      <c r="S149" s="509" t="s">
        <v>489</v>
      </c>
      <c r="T149" s="509" t="str">
        <f>O152</f>
        <v>CAT - II</v>
      </c>
      <c r="U149" s="509" t="s">
        <v>464</v>
      </c>
      <c r="V149" s="515"/>
    </row>
    <row r="150" spans="1:22" x14ac:dyDescent="0.35">
      <c r="A150" s="508"/>
      <c r="B150" s="509"/>
      <c r="C150" s="510"/>
      <c r="D150" s="510"/>
      <c r="E150" s="509"/>
      <c r="F150" s="509"/>
      <c r="G150" s="511"/>
      <c r="H150" s="511"/>
      <c r="I150" s="511"/>
      <c r="J150" s="509"/>
      <c r="K150" s="509"/>
      <c r="L150" s="512" t="s">
        <v>460</v>
      </c>
      <c r="M150" s="513">
        <v>45870</v>
      </c>
      <c r="N150" s="513"/>
      <c r="O150" s="514"/>
      <c r="P150" s="512">
        <f>M151-M150</f>
        <v>8</v>
      </c>
      <c r="Q150" s="512"/>
      <c r="R150" s="509"/>
      <c r="S150" s="509"/>
      <c r="T150" s="509"/>
      <c r="U150" s="509"/>
      <c r="V150" s="515"/>
    </row>
    <row r="151" spans="1:22" x14ac:dyDescent="0.35">
      <c r="A151" s="508"/>
      <c r="B151" s="509"/>
      <c r="C151" s="510"/>
      <c r="D151" s="510"/>
      <c r="E151" s="509"/>
      <c r="F151" s="509"/>
      <c r="G151" s="511"/>
      <c r="H151" s="511"/>
      <c r="I151" s="511"/>
      <c r="J151" s="509"/>
      <c r="K151" s="509"/>
      <c r="L151" s="512" t="s">
        <v>462</v>
      </c>
      <c r="M151" s="513">
        <v>45878</v>
      </c>
      <c r="N151" s="513"/>
      <c r="O151" s="514"/>
      <c r="P151" s="512">
        <f ca="1">I1-M151</f>
        <v>20</v>
      </c>
      <c r="Q151" s="512"/>
      <c r="R151" s="509"/>
      <c r="S151" s="509"/>
      <c r="T151" s="509"/>
      <c r="U151" s="509"/>
      <c r="V151" s="516"/>
    </row>
    <row r="152" spans="1:22" x14ac:dyDescent="0.35">
      <c r="A152" s="508"/>
      <c r="B152" s="509"/>
      <c r="C152" s="510"/>
      <c r="D152" s="510"/>
      <c r="E152" s="509"/>
      <c r="F152" s="509"/>
      <c r="G152" s="511"/>
      <c r="H152" s="511"/>
      <c r="I152" s="511"/>
      <c r="J152" s="509"/>
      <c r="K152" s="509"/>
      <c r="L152" s="512" t="s">
        <v>463</v>
      </c>
      <c r="M152" s="513">
        <v>45882</v>
      </c>
      <c r="N152" s="513">
        <v>45884</v>
      </c>
      <c r="O152" s="514" t="s">
        <v>481</v>
      </c>
      <c r="P152" s="512">
        <f>N152-M152</f>
        <v>2</v>
      </c>
      <c r="Q152" s="512"/>
      <c r="R152" s="512"/>
      <c r="S152" s="509"/>
      <c r="T152" s="509"/>
      <c r="U152" s="509"/>
      <c r="V152" s="516"/>
    </row>
    <row r="153" spans="1:22" x14ac:dyDescent="0.35">
      <c r="A153" s="508">
        <v>6</v>
      </c>
      <c r="B153" s="509" t="s">
        <v>605</v>
      </c>
      <c r="C153" s="517" t="s">
        <v>606</v>
      </c>
      <c r="D153" s="510" t="s">
        <v>616</v>
      </c>
      <c r="E153" s="509" t="s">
        <v>617</v>
      </c>
      <c r="F153" s="509" t="s">
        <v>457</v>
      </c>
      <c r="G153" s="511">
        <v>45835</v>
      </c>
      <c r="H153" s="511">
        <f>G153+15</f>
        <v>45850</v>
      </c>
      <c r="I153" s="511">
        <f>M153</f>
        <v>45848</v>
      </c>
      <c r="J153" s="509">
        <f>I153-G153</f>
        <v>13</v>
      </c>
      <c r="K153" s="509">
        <f ca="1">I1-H153</f>
        <v>48</v>
      </c>
      <c r="L153" s="512" t="s">
        <v>458</v>
      </c>
      <c r="M153" s="513">
        <v>45848</v>
      </c>
      <c r="N153" s="513">
        <v>45864</v>
      </c>
      <c r="O153" s="514" t="s">
        <v>459</v>
      </c>
      <c r="P153" s="512">
        <f>N153-M153</f>
        <v>16</v>
      </c>
      <c r="Q153" s="512">
        <f>M154-N153</f>
        <v>14</v>
      </c>
      <c r="R153" s="512"/>
      <c r="S153" s="509" t="s">
        <v>489</v>
      </c>
      <c r="T153" s="509" t="str">
        <f>O154</f>
        <v>CAT - II</v>
      </c>
      <c r="U153" s="509" t="s">
        <v>464</v>
      </c>
      <c r="V153" s="515"/>
    </row>
    <row r="154" spans="1:22" x14ac:dyDescent="0.35">
      <c r="A154" s="508"/>
      <c r="B154" s="509"/>
      <c r="C154" s="509"/>
      <c r="D154" s="510"/>
      <c r="E154" s="509"/>
      <c r="F154" s="509"/>
      <c r="G154" s="511"/>
      <c r="H154" s="511"/>
      <c r="I154" s="511"/>
      <c r="J154" s="509"/>
      <c r="K154" s="509"/>
      <c r="L154" s="512" t="s">
        <v>460</v>
      </c>
      <c r="M154" s="513">
        <v>45878</v>
      </c>
      <c r="N154" s="513">
        <v>45883</v>
      </c>
      <c r="O154" s="514" t="s">
        <v>481</v>
      </c>
      <c r="P154" s="512">
        <f>N154-M154</f>
        <v>5</v>
      </c>
      <c r="Q154" s="512"/>
      <c r="R154" s="512"/>
      <c r="S154" s="509"/>
      <c r="T154" s="509"/>
      <c r="U154" s="509"/>
      <c r="V154" s="515"/>
    </row>
    <row r="155" spans="1:22" ht="31.5" x14ac:dyDescent="0.35">
      <c r="A155" s="311">
        <v>7</v>
      </c>
      <c r="B155" s="263" t="s">
        <v>605</v>
      </c>
      <c r="C155" s="264" t="s">
        <v>606</v>
      </c>
      <c r="D155" s="265" t="s">
        <v>618</v>
      </c>
      <c r="E155" s="263" t="s">
        <v>619</v>
      </c>
      <c r="F155" s="263" t="s">
        <v>457</v>
      </c>
      <c r="G155" s="266">
        <v>45835</v>
      </c>
      <c r="H155" s="266">
        <f>G155+15</f>
        <v>45850</v>
      </c>
      <c r="I155" s="266">
        <f>M155</f>
        <v>45895</v>
      </c>
      <c r="J155" s="263">
        <f t="shared" ref="J155" ca="1" si="11">$I$1-G155</f>
        <v>63</v>
      </c>
      <c r="K155" s="263">
        <f ca="1">$I$1-H155</f>
        <v>48</v>
      </c>
      <c r="L155" s="322" t="s">
        <v>458</v>
      </c>
      <c r="M155" s="266">
        <v>45895</v>
      </c>
      <c r="N155" s="266"/>
      <c r="O155" s="267"/>
      <c r="P155" s="263">
        <f ca="1">I1-M155</f>
        <v>3</v>
      </c>
      <c r="Q155" s="263"/>
      <c r="R155" s="263"/>
      <c r="S155" s="263" t="s">
        <v>482</v>
      </c>
      <c r="T155" s="263" t="s">
        <v>458</v>
      </c>
      <c r="U155" s="263" t="s">
        <v>461</v>
      </c>
      <c r="V155" s="312"/>
    </row>
    <row r="156" spans="1:22" ht="31.5" x14ac:dyDescent="0.35">
      <c r="A156" s="518">
        <v>8</v>
      </c>
      <c r="B156" s="512" t="s">
        <v>605</v>
      </c>
      <c r="C156" s="519" t="s">
        <v>606</v>
      </c>
      <c r="D156" s="520" t="s">
        <v>620</v>
      </c>
      <c r="E156" s="512" t="s">
        <v>621</v>
      </c>
      <c r="F156" s="512" t="s">
        <v>457</v>
      </c>
      <c r="G156" s="513">
        <v>45835</v>
      </c>
      <c r="H156" s="513">
        <f>G156+15</f>
        <v>45850</v>
      </c>
      <c r="I156" s="513">
        <f>M156</f>
        <v>45845</v>
      </c>
      <c r="J156" s="512"/>
      <c r="K156" s="512">
        <f ca="1">I1-H156</f>
        <v>48</v>
      </c>
      <c r="L156" s="512" t="s">
        <v>458</v>
      </c>
      <c r="M156" s="513">
        <v>45845</v>
      </c>
      <c r="N156" s="513">
        <v>45877</v>
      </c>
      <c r="O156" s="514" t="s">
        <v>459</v>
      </c>
      <c r="P156" s="512">
        <f>N156-M156</f>
        <v>32</v>
      </c>
      <c r="Q156" s="512">
        <f ca="1">I1-N156</f>
        <v>21</v>
      </c>
      <c r="R156" s="512"/>
      <c r="S156" s="512" t="s">
        <v>489</v>
      </c>
      <c r="T156" s="512" t="str">
        <f>O156</f>
        <v>CAT - III</v>
      </c>
      <c r="U156" s="512" t="s">
        <v>464</v>
      </c>
      <c r="V156" s="516"/>
    </row>
    <row r="157" spans="1:22" x14ac:dyDescent="0.35">
      <c r="A157" s="397">
        <v>9</v>
      </c>
      <c r="B157" s="367" t="s">
        <v>605</v>
      </c>
      <c r="C157" s="418" t="s">
        <v>606</v>
      </c>
      <c r="D157" s="399" t="s">
        <v>622</v>
      </c>
      <c r="E157" s="367" t="s">
        <v>623</v>
      </c>
      <c r="F157" s="367" t="s">
        <v>457</v>
      </c>
      <c r="G157" s="416">
        <v>45768</v>
      </c>
      <c r="H157" s="416">
        <f>G157+21</f>
        <v>45789</v>
      </c>
      <c r="I157" s="416">
        <f>M157</f>
        <v>45804</v>
      </c>
      <c r="J157" s="367">
        <f>I157-G157</f>
        <v>36</v>
      </c>
      <c r="K157" s="367">
        <f ca="1">I1-H157</f>
        <v>109</v>
      </c>
      <c r="L157" s="263" t="s">
        <v>458</v>
      </c>
      <c r="M157" s="266">
        <v>45804</v>
      </c>
      <c r="N157" s="266">
        <v>45812</v>
      </c>
      <c r="O157" s="267" t="s">
        <v>459</v>
      </c>
      <c r="P157" s="263">
        <f>N157-M157</f>
        <v>8</v>
      </c>
      <c r="Q157" s="263">
        <f>M158-N157</f>
        <v>9</v>
      </c>
      <c r="R157" s="263"/>
      <c r="S157" s="367" t="s">
        <v>482</v>
      </c>
      <c r="T157" s="367" t="str">
        <f>O159</f>
        <v>CAT - II</v>
      </c>
      <c r="U157" s="367" t="s">
        <v>461</v>
      </c>
      <c r="V157" s="402"/>
    </row>
    <row r="158" spans="1:22" x14ac:dyDescent="0.35">
      <c r="A158" s="397"/>
      <c r="B158" s="367"/>
      <c r="C158" s="418"/>
      <c r="D158" s="399"/>
      <c r="E158" s="367"/>
      <c r="F158" s="367"/>
      <c r="G158" s="416"/>
      <c r="H158" s="416"/>
      <c r="I158" s="416"/>
      <c r="J158" s="367"/>
      <c r="K158" s="367"/>
      <c r="L158" s="263" t="s">
        <v>460</v>
      </c>
      <c r="M158" s="266">
        <v>45821</v>
      </c>
      <c r="N158" s="266">
        <v>45825</v>
      </c>
      <c r="O158" s="267" t="s">
        <v>459</v>
      </c>
      <c r="P158" s="263">
        <f>N158-M158</f>
        <v>4</v>
      </c>
      <c r="Q158" s="263">
        <f>M159-N158</f>
        <v>1</v>
      </c>
      <c r="R158" s="263"/>
      <c r="S158" s="367"/>
      <c r="T158" s="367"/>
      <c r="U158" s="367"/>
      <c r="V158" s="402"/>
    </row>
    <row r="159" spans="1:22" x14ac:dyDescent="0.35">
      <c r="A159" s="397"/>
      <c r="B159" s="367"/>
      <c r="C159" s="418"/>
      <c r="D159" s="399"/>
      <c r="E159" s="367"/>
      <c r="F159" s="367"/>
      <c r="G159" s="416"/>
      <c r="H159" s="416"/>
      <c r="I159" s="416"/>
      <c r="J159" s="367"/>
      <c r="K159" s="367"/>
      <c r="L159" s="263" t="s">
        <v>462</v>
      </c>
      <c r="M159" s="266">
        <v>45826</v>
      </c>
      <c r="N159" s="266">
        <v>45828</v>
      </c>
      <c r="O159" s="267" t="s">
        <v>481</v>
      </c>
      <c r="P159" s="263">
        <f>N159-M159</f>
        <v>2</v>
      </c>
      <c r="Q159" s="263"/>
      <c r="R159" s="263"/>
      <c r="S159" s="367"/>
      <c r="T159" s="367"/>
      <c r="U159" s="367"/>
      <c r="V159" s="402"/>
    </row>
    <row r="160" spans="1:22" x14ac:dyDescent="0.35">
      <c r="A160" s="397"/>
      <c r="B160" s="367"/>
      <c r="C160" s="418"/>
      <c r="D160" s="399"/>
      <c r="E160" s="367"/>
      <c r="F160" s="367"/>
      <c r="G160" s="416"/>
      <c r="H160" s="416"/>
      <c r="I160" s="416"/>
      <c r="J160" s="367"/>
      <c r="K160" s="367"/>
      <c r="L160" s="263" t="s">
        <v>463</v>
      </c>
      <c r="M160" s="266">
        <v>45889</v>
      </c>
      <c r="N160" s="266"/>
      <c r="O160" s="267"/>
      <c r="P160" s="263"/>
      <c r="Q160" s="263"/>
      <c r="R160" s="263"/>
      <c r="S160" s="367"/>
      <c r="T160" s="367"/>
      <c r="U160" s="367"/>
      <c r="V160" s="402"/>
    </row>
    <row r="161" spans="1:22" x14ac:dyDescent="0.35">
      <c r="A161" s="397">
        <v>10</v>
      </c>
      <c r="B161" s="367" t="s">
        <v>605</v>
      </c>
      <c r="C161" s="418" t="s">
        <v>606</v>
      </c>
      <c r="D161" s="399" t="s">
        <v>624</v>
      </c>
      <c r="E161" s="367" t="s">
        <v>625</v>
      </c>
      <c r="F161" s="367" t="s">
        <v>457</v>
      </c>
      <c r="G161" s="416">
        <v>45800</v>
      </c>
      <c r="H161" s="416">
        <f t="shared" ref="H161:H180" si="12">G161+15</f>
        <v>45815</v>
      </c>
      <c r="I161" s="416">
        <v>45840</v>
      </c>
      <c r="J161" s="367">
        <f>I161-G161</f>
        <v>40</v>
      </c>
      <c r="K161" s="367">
        <f ca="1">I1-H161</f>
        <v>83</v>
      </c>
      <c r="L161" s="263" t="s">
        <v>458</v>
      </c>
      <c r="M161" s="266">
        <v>45840</v>
      </c>
      <c r="N161" s="266">
        <v>45863</v>
      </c>
      <c r="O161" s="267" t="s">
        <v>459</v>
      </c>
      <c r="P161" s="263">
        <f>N161-M161</f>
        <v>23</v>
      </c>
      <c r="Q161" s="263">
        <f>M162-N161</f>
        <v>26</v>
      </c>
      <c r="R161" s="263"/>
      <c r="S161" s="367" t="s">
        <v>482</v>
      </c>
      <c r="T161" s="367" t="str">
        <f>O161</f>
        <v>CAT - III</v>
      </c>
      <c r="U161" s="367" t="s">
        <v>461</v>
      </c>
      <c r="V161" s="402"/>
    </row>
    <row r="162" spans="1:22" x14ac:dyDescent="0.35">
      <c r="A162" s="397"/>
      <c r="B162" s="367"/>
      <c r="C162" s="418"/>
      <c r="D162" s="399"/>
      <c r="E162" s="367"/>
      <c r="F162" s="367"/>
      <c r="G162" s="416"/>
      <c r="H162" s="416"/>
      <c r="I162" s="416"/>
      <c r="J162" s="367"/>
      <c r="K162" s="367"/>
      <c r="L162" s="263" t="s">
        <v>460</v>
      </c>
      <c r="M162" s="266">
        <v>45889</v>
      </c>
      <c r="N162" s="266"/>
      <c r="O162" s="267"/>
      <c r="P162" s="263"/>
      <c r="Q162" s="263"/>
      <c r="R162" s="263"/>
      <c r="S162" s="367"/>
      <c r="T162" s="367"/>
      <c r="U162" s="367"/>
      <c r="V162" s="402"/>
    </row>
    <row r="163" spans="1:22" ht="52.5" x14ac:dyDescent="0.35">
      <c r="A163" s="313">
        <v>11</v>
      </c>
      <c r="B163" s="257" t="s">
        <v>605</v>
      </c>
      <c r="C163" s="268" t="s">
        <v>606</v>
      </c>
      <c r="D163" s="269" t="s">
        <v>626</v>
      </c>
      <c r="E163" s="259" t="s">
        <v>627</v>
      </c>
      <c r="F163" s="259" t="s">
        <v>457</v>
      </c>
      <c r="G163" s="276">
        <v>45826</v>
      </c>
      <c r="H163" s="276">
        <f t="shared" si="12"/>
        <v>45841</v>
      </c>
      <c r="I163" s="270"/>
      <c r="J163" s="257">
        <f t="shared" ref="J163:J165" ca="1" si="13">$I$1-G163</f>
        <v>72</v>
      </c>
      <c r="K163" s="259">
        <f ca="1">$I$1-H163</f>
        <v>57</v>
      </c>
      <c r="L163" s="297"/>
      <c r="M163" s="276"/>
      <c r="N163" s="276"/>
      <c r="O163" s="277"/>
      <c r="P163" s="259"/>
      <c r="Q163" s="259"/>
      <c r="R163" s="259"/>
      <c r="S163" s="259"/>
      <c r="T163" s="259"/>
      <c r="U163" s="259"/>
      <c r="V163" s="321"/>
    </row>
    <row r="164" spans="1:22" ht="42" x14ac:dyDescent="0.35">
      <c r="A164" s="313">
        <v>12</v>
      </c>
      <c r="B164" s="257" t="s">
        <v>605</v>
      </c>
      <c r="C164" s="268" t="s">
        <v>606</v>
      </c>
      <c r="D164" s="269" t="s">
        <v>628</v>
      </c>
      <c r="E164" s="259" t="s">
        <v>629</v>
      </c>
      <c r="F164" s="259" t="s">
        <v>457</v>
      </c>
      <c r="G164" s="276">
        <v>45826</v>
      </c>
      <c r="H164" s="276">
        <f t="shared" si="12"/>
        <v>45841</v>
      </c>
      <c r="I164" s="270"/>
      <c r="J164" s="257">
        <f t="shared" ca="1" si="13"/>
        <v>72</v>
      </c>
      <c r="K164" s="259">
        <f ca="1">$I$1-H164</f>
        <v>57</v>
      </c>
      <c r="L164" s="297"/>
      <c r="M164" s="276"/>
      <c r="N164" s="276"/>
      <c r="O164" s="277"/>
      <c r="P164" s="259"/>
      <c r="Q164" s="259"/>
      <c r="R164" s="259"/>
      <c r="S164" s="259"/>
      <c r="T164" s="259"/>
      <c r="U164" s="259"/>
      <c r="V164" s="321"/>
    </row>
    <row r="165" spans="1:22" ht="42" x14ac:dyDescent="0.35">
      <c r="A165" s="313">
        <v>13</v>
      </c>
      <c r="B165" s="257" t="s">
        <v>605</v>
      </c>
      <c r="C165" s="268" t="s">
        <v>606</v>
      </c>
      <c r="D165" s="269" t="s">
        <v>630</v>
      </c>
      <c r="E165" s="259" t="s">
        <v>631</v>
      </c>
      <c r="F165" s="259" t="s">
        <v>457</v>
      </c>
      <c r="G165" s="276">
        <v>45826</v>
      </c>
      <c r="H165" s="276">
        <f t="shared" si="12"/>
        <v>45841</v>
      </c>
      <c r="I165" s="270"/>
      <c r="J165" s="257">
        <f t="shared" ca="1" si="13"/>
        <v>72</v>
      </c>
      <c r="K165" s="259">
        <f ca="1">$I$1-H165</f>
        <v>57</v>
      </c>
      <c r="L165" s="297"/>
      <c r="M165" s="281"/>
      <c r="N165" s="276"/>
      <c r="O165" s="277"/>
      <c r="P165" s="259"/>
      <c r="Q165" s="259"/>
      <c r="R165" s="259"/>
      <c r="S165" s="259"/>
      <c r="T165" s="259"/>
      <c r="U165" s="259"/>
      <c r="V165" s="321"/>
    </row>
    <row r="166" spans="1:22" ht="42" x14ac:dyDescent="0.35">
      <c r="A166" s="518">
        <v>14</v>
      </c>
      <c r="B166" s="512" t="s">
        <v>605</v>
      </c>
      <c r="C166" s="519" t="s">
        <v>606</v>
      </c>
      <c r="D166" s="520" t="s">
        <v>632</v>
      </c>
      <c r="E166" s="512" t="s">
        <v>633</v>
      </c>
      <c r="F166" s="512" t="s">
        <v>457</v>
      </c>
      <c r="G166" s="513">
        <v>45794</v>
      </c>
      <c r="H166" s="513">
        <f t="shared" si="12"/>
        <v>45809</v>
      </c>
      <c r="I166" s="513">
        <v>45840</v>
      </c>
      <c r="J166" s="512">
        <f>I166-G166</f>
        <v>46</v>
      </c>
      <c r="K166" s="512">
        <f ca="1">I1-H166</f>
        <v>89</v>
      </c>
      <c r="L166" s="512" t="s">
        <v>458</v>
      </c>
      <c r="M166" s="513">
        <v>45840</v>
      </c>
      <c r="N166" s="513">
        <v>45863</v>
      </c>
      <c r="O166" s="514" t="s">
        <v>459</v>
      </c>
      <c r="P166" s="512">
        <f ca="1">I1-M166</f>
        <v>58</v>
      </c>
      <c r="Q166" s="512"/>
      <c r="R166" s="512"/>
      <c r="S166" s="512" t="s">
        <v>489</v>
      </c>
      <c r="T166" s="512" t="str">
        <f>O166</f>
        <v>CAT - III</v>
      </c>
      <c r="U166" s="512" t="s">
        <v>464</v>
      </c>
      <c r="V166" s="516"/>
    </row>
    <row r="167" spans="1:22" ht="42" x14ac:dyDescent="0.35">
      <c r="A167" s="313">
        <v>15</v>
      </c>
      <c r="B167" s="257" t="s">
        <v>605</v>
      </c>
      <c r="C167" s="268" t="s">
        <v>606</v>
      </c>
      <c r="D167" s="269" t="s">
        <v>634</v>
      </c>
      <c r="E167" s="259" t="s">
        <v>635</v>
      </c>
      <c r="F167" s="259" t="s">
        <v>457</v>
      </c>
      <c r="G167" s="276">
        <v>45821</v>
      </c>
      <c r="H167" s="276">
        <f t="shared" si="12"/>
        <v>45836</v>
      </c>
      <c r="I167" s="270"/>
      <c r="J167" s="257">
        <f t="shared" ref="J167:J170" ca="1" si="14">$I$1-G167</f>
        <v>77</v>
      </c>
      <c r="K167" s="259">
        <f ca="1">$I$1-H167</f>
        <v>62</v>
      </c>
      <c r="L167" s="297"/>
      <c r="M167" s="276"/>
      <c r="N167" s="276"/>
      <c r="O167" s="277"/>
      <c r="P167" s="259"/>
      <c r="Q167" s="259"/>
      <c r="R167" s="259"/>
      <c r="S167" s="259"/>
      <c r="T167" s="259"/>
      <c r="U167" s="259"/>
      <c r="V167" s="321"/>
    </row>
    <row r="168" spans="1:22" ht="73.5" x14ac:dyDescent="0.35">
      <c r="A168" s="313">
        <v>16</v>
      </c>
      <c r="B168" s="257" t="s">
        <v>605</v>
      </c>
      <c r="C168" s="268" t="s">
        <v>606</v>
      </c>
      <c r="D168" s="269" t="s">
        <v>636</v>
      </c>
      <c r="E168" s="259" t="s">
        <v>637</v>
      </c>
      <c r="F168" s="259" t="s">
        <v>457</v>
      </c>
      <c r="G168" s="276">
        <v>45835</v>
      </c>
      <c r="H168" s="276">
        <f t="shared" si="12"/>
        <v>45850</v>
      </c>
      <c r="I168" s="270"/>
      <c r="J168" s="257">
        <f t="shared" ca="1" si="14"/>
        <v>63</v>
      </c>
      <c r="K168" s="259">
        <f ca="1">$I$1-H168</f>
        <v>48</v>
      </c>
      <c r="L168" s="297"/>
      <c r="M168" s="276"/>
      <c r="N168" s="276"/>
      <c r="O168" s="277"/>
      <c r="P168" s="259"/>
      <c r="Q168" s="259"/>
      <c r="R168" s="259"/>
      <c r="S168" s="259"/>
      <c r="T168" s="259"/>
      <c r="U168" s="259"/>
      <c r="V168" s="321"/>
    </row>
    <row r="169" spans="1:22" ht="52.5" x14ac:dyDescent="0.35">
      <c r="A169" s="313">
        <v>17</v>
      </c>
      <c r="B169" s="257" t="s">
        <v>605</v>
      </c>
      <c r="C169" s="268" t="s">
        <v>606</v>
      </c>
      <c r="D169" s="269" t="s">
        <v>638</v>
      </c>
      <c r="E169" s="259" t="s">
        <v>639</v>
      </c>
      <c r="F169" s="259" t="s">
        <v>467</v>
      </c>
      <c r="G169" s="276">
        <v>45842</v>
      </c>
      <c r="H169" s="276">
        <f t="shared" si="12"/>
        <v>45857</v>
      </c>
      <c r="I169" s="270"/>
      <c r="J169" s="257">
        <f t="shared" ca="1" si="14"/>
        <v>56</v>
      </c>
      <c r="K169" s="259">
        <f ca="1">$I$1-H169</f>
        <v>41</v>
      </c>
      <c r="L169" s="297"/>
      <c r="M169" s="276"/>
      <c r="N169" s="276"/>
      <c r="O169" s="277"/>
      <c r="P169" s="259"/>
      <c r="Q169" s="259"/>
      <c r="R169" s="259"/>
      <c r="S169" s="259"/>
      <c r="T169" s="259"/>
      <c r="U169" s="259"/>
      <c r="V169" s="321"/>
    </row>
    <row r="170" spans="1:22" ht="31.5" x14ac:dyDescent="0.35">
      <c r="A170" s="313">
        <v>18</v>
      </c>
      <c r="B170" s="257" t="s">
        <v>605</v>
      </c>
      <c r="C170" s="268" t="s">
        <v>606</v>
      </c>
      <c r="D170" s="269" t="s">
        <v>640</v>
      </c>
      <c r="E170" s="259" t="s">
        <v>641</v>
      </c>
      <c r="F170" s="259" t="s">
        <v>457</v>
      </c>
      <c r="G170" s="276">
        <v>45853</v>
      </c>
      <c r="H170" s="276">
        <f t="shared" si="12"/>
        <v>45868</v>
      </c>
      <c r="I170" s="270"/>
      <c r="J170" s="257">
        <f t="shared" ca="1" si="14"/>
        <v>45</v>
      </c>
      <c r="K170" s="259">
        <f ca="1">$I$1-H170</f>
        <v>30</v>
      </c>
      <c r="L170" s="297"/>
      <c r="M170" s="276"/>
      <c r="N170" s="276"/>
      <c r="O170" s="277"/>
      <c r="P170" s="259"/>
      <c r="Q170" s="259"/>
      <c r="R170" s="259"/>
      <c r="S170" s="259"/>
      <c r="T170" s="259"/>
      <c r="U170" s="259"/>
      <c r="V170" s="321"/>
    </row>
    <row r="171" spans="1:22" ht="42" x14ac:dyDescent="0.35">
      <c r="A171" s="311">
        <v>19</v>
      </c>
      <c r="B171" s="263" t="s">
        <v>605</v>
      </c>
      <c r="C171" s="264" t="s">
        <v>606</v>
      </c>
      <c r="D171" s="265" t="s">
        <v>642</v>
      </c>
      <c r="E171" s="263" t="s">
        <v>643</v>
      </c>
      <c r="F171" s="263" t="s">
        <v>457</v>
      </c>
      <c r="G171" s="266">
        <v>45838</v>
      </c>
      <c r="H171" s="266">
        <f t="shared" si="12"/>
        <v>45853</v>
      </c>
      <c r="I171" s="266">
        <f>M171</f>
        <v>45869</v>
      </c>
      <c r="J171" s="263">
        <f>I171-G171</f>
        <v>31</v>
      </c>
      <c r="K171" s="263">
        <f ca="1">I1-H171</f>
        <v>45</v>
      </c>
      <c r="L171" s="263" t="s">
        <v>458</v>
      </c>
      <c r="M171" s="266">
        <v>45869</v>
      </c>
      <c r="N171" s="266"/>
      <c r="O171" s="267"/>
      <c r="P171" s="263"/>
      <c r="Q171" s="263"/>
      <c r="R171" s="263"/>
      <c r="S171" s="263"/>
      <c r="T171" s="263" t="s">
        <v>458</v>
      </c>
      <c r="U171" s="263" t="s">
        <v>461</v>
      </c>
      <c r="V171" s="312"/>
    </row>
    <row r="172" spans="1:22" ht="31.5" x14ac:dyDescent="0.35">
      <c r="A172" s="313">
        <v>20</v>
      </c>
      <c r="B172" s="257" t="s">
        <v>605</v>
      </c>
      <c r="C172" s="268" t="s">
        <v>606</v>
      </c>
      <c r="D172" s="269" t="s">
        <v>644</v>
      </c>
      <c r="E172" s="259" t="s">
        <v>645</v>
      </c>
      <c r="F172" s="259" t="s">
        <v>457</v>
      </c>
      <c r="G172" s="276">
        <v>45850</v>
      </c>
      <c r="H172" s="276">
        <f t="shared" si="12"/>
        <v>45865</v>
      </c>
      <c r="I172" s="270"/>
      <c r="J172" s="257">
        <f t="shared" ref="J172:K177" ca="1" si="15">$I$1-G172</f>
        <v>48</v>
      </c>
      <c r="K172" s="259">
        <f t="shared" ca="1" si="15"/>
        <v>33</v>
      </c>
      <c r="L172" s="297"/>
      <c r="M172" s="276"/>
      <c r="N172" s="276"/>
      <c r="O172" s="277"/>
      <c r="P172" s="259"/>
      <c r="Q172" s="259"/>
      <c r="R172" s="259"/>
      <c r="S172" s="259"/>
      <c r="T172" s="259"/>
      <c r="U172" s="259"/>
      <c r="V172" s="321"/>
    </row>
    <row r="173" spans="1:22" ht="31.5" x14ac:dyDescent="0.35">
      <c r="A173" s="313">
        <v>21</v>
      </c>
      <c r="B173" s="257" t="s">
        <v>605</v>
      </c>
      <c r="C173" s="268" t="s">
        <v>606</v>
      </c>
      <c r="D173" s="269" t="s">
        <v>646</v>
      </c>
      <c r="E173" s="259" t="s">
        <v>647</v>
      </c>
      <c r="F173" s="259" t="s">
        <v>457</v>
      </c>
      <c r="G173" s="276">
        <v>45852</v>
      </c>
      <c r="H173" s="276">
        <f t="shared" si="12"/>
        <v>45867</v>
      </c>
      <c r="I173" s="270"/>
      <c r="J173" s="257">
        <f t="shared" ca="1" si="15"/>
        <v>46</v>
      </c>
      <c r="K173" s="259">
        <f t="shared" ca="1" si="15"/>
        <v>31</v>
      </c>
      <c r="L173" s="297"/>
      <c r="M173" s="276"/>
      <c r="N173" s="276"/>
      <c r="O173" s="277"/>
      <c r="P173" s="259"/>
      <c r="Q173" s="259"/>
      <c r="R173" s="259"/>
      <c r="S173" s="259"/>
      <c r="T173" s="259"/>
      <c r="U173" s="259"/>
      <c r="V173" s="321"/>
    </row>
    <row r="174" spans="1:22" ht="31.5" x14ac:dyDescent="0.35">
      <c r="A174" s="313">
        <v>22</v>
      </c>
      <c r="B174" s="257" t="s">
        <v>605</v>
      </c>
      <c r="C174" s="268" t="s">
        <v>606</v>
      </c>
      <c r="D174" s="269" t="s">
        <v>648</v>
      </c>
      <c r="E174" s="259" t="s">
        <v>649</v>
      </c>
      <c r="F174" s="259" t="s">
        <v>457</v>
      </c>
      <c r="G174" s="276">
        <v>45863</v>
      </c>
      <c r="H174" s="276">
        <f t="shared" si="12"/>
        <v>45878</v>
      </c>
      <c r="I174" s="270"/>
      <c r="J174" s="257">
        <f t="shared" ca="1" si="15"/>
        <v>35</v>
      </c>
      <c r="K174" s="259">
        <f t="shared" ca="1" si="15"/>
        <v>20</v>
      </c>
      <c r="L174" s="297"/>
      <c r="M174" s="276"/>
      <c r="N174" s="276"/>
      <c r="O174" s="277"/>
      <c r="P174" s="259"/>
      <c r="Q174" s="259"/>
      <c r="R174" s="259"/>
      <c r="S174" s="259"/>
      <c r="T174" s="259"/>
      <c r="U174" s="259"/>
      <c r="V174" s="321"/>
    </row>
    <row r="175" spans="1:22" ht="42" x14ac:dyDescent="0.35">
      <c r="A175" s="313">
        <v>23</v>
      </c>
      <c r="B175" s="257" t="s">
        <v>605</v>
      </c>
      <c r="C175" s="268" t="s">
        <v>606</v>
      </c>
      <c r="D175" s="269" t="s">
        <v>650</v>
      </c>
      <c r="E175" s="259" t="s">
        <v>651</v>
      </c>
      <c r="F175" s="259" t="s">
        <v>457</v>
      </c>
      <c r="G175" s="276">
        <v>45854</v>
      </c>
      <c r="H175" s="276">
        <f t="shared" si="12"/>
        <v>45869</v>
      </c>
      <c r="I175" s="270"/>
      <c r="J175" s="257">
        <f t="shared" ca="1" si="15"/>
        <v>44</v>
      </c>
      <c r="K175" s="259">
        <f t="shared" ca="1" si="15"/>
        <v>29</v>
      </c>
      <c r="L175" s="297"/>
      <c r="M175" s="276"/>
      <c r="N175" s="276"/>
      <c r="O175" s="277"/>
      <c r="P175" s="259"/>
      <c r="Q175" s="259"/>
      <c r="R175" s="259"/>
      <c r="S175" s="259"/>
      <c r="T175" s="259"/>
      <c r="U175" s="259"/>
      <c r="V175" s="321"/>
    </row>
    <row r="176" spans="1:22" ht="52.5" x14ac:dyDescent="0.35">
      <c r="A176" s="313">
        <v>24</v>
      </c>
      <c r="B176" s="257" t="s">
        <v>605</v>
      </c>
      <c r="C176" s="268" t="s">
        <v>606</v>
      </c>
      <c r="D176" s="269" t="s">
        <v>652</v>
      </c>
      <c r="E176" s="259" t="s">
        <v>653</v>
      </c>
      <c r="F176" s="259" t="s">
        <v>457</v>
      </c>
      <c r="G176" s="276">
        <v>45860</v>
      </c>
      <c r="H176" s="276">
        <f t="shared" si="12"/>
        <v>45875</v>
      </c>
      <c r="I176" s="270"/>
      <c r="J176" s="257">
        <f t="shared" ca="1" si="15"/>
        <v>38</v>
      </c>
      <c r="K176" s="259">
        <f t="shared" ca="1" si="15"/>
        <v>23</v>
      </c>
      <c r="L176" s="297"/>
      <c r="M176" s="276"/>
      <c r="N176" s="276"/>
      <c r="O176" s="277"/>
      <c r="P176" s="259"/>
      <c r="Q176" s="259"/>
      <c r="R176" s="259"/>
      <c r="S176" s="259"/>
      <c r="T176" s="259"/>
      <c r="U176" s="259"/>
      <c r="V176" s="321"/>
    </row>
    <row r="177" spans="1:22" ht="52.5" x14ac:dyDescent="0.35">
      <c r="A177" s="313">
        <v>25</v>
      </c>
      <c r="B177" s="257" t="s">
        <v>605</v>
      </c>
      <c r="C177" s="268" t="s">
        <v>606</v>
      </c>
      <c r="D177" s="269" t="s">
        <v>654</v>
      </c>
      <c r="E177" s="259" t="s">
        <v>655</v>
      </c>
      <c r="F177" s="259" t="s">
        <v>457</v>
      </c>
      <c r="G177" s="276">
        <v>45866</v>
      </c>
      <c r="H177" s="276">
        <f t="shared" si="12"/>
        <v>45881</v>
      </c>
      <c r="I177" s="270"/>
      <c r="J177" s="257">
        <f t="shared" ca="1" si="15"/>
        <v>32</v>
      </c>
      <c r="K177" s="259">
        <f t="shared" ca="1" si="15"/>
        <v>17</v>
      </c>
      <c r="L177" s="297"/>
      <c r="M177" s="276"/>
      <c r="N177" s="276"/>
      <c r="O177" s="277"/>
      <c r="P177" s="259"/>
      <c r="Q177" s="259"/>
      <c r="R177" s="259"/>
      <c r="S177" s="259"/>
      <c r="T177" s="259"/>
      <c r="U177" s="259"/>
      <c r="V177" s="321"/>
    </row>
    <row r="178" spans="1:22" ht="31.5" x14ac:dyDescent="0.35">
      <c r="A178" s="311">
        <v>26</v>
      </c>
      <c r="B178" s="263" t="s">
        <v>605</v>
      </c>
      <c r="C178" s="264" t="s">
        <v>606</v>
      </c>
      <c r="D178" s="265" t="s">
        <v>870</v>
      </c>
      <c r="E178" s="263" t="s">
        <v>871</v>
      </c>
      <c r="F178" s="263"/>
      <c r="G178" s="266"/>
      <c r="H178" s="266"/>
      <c r="I178" s="266"/>
      <c r="J178" s="263"/>
      <c r="K178" s="263"/>
      <c r="L178" s="263" t="s">
        <v>458</v>
      </c>
      <c r="M178" s="266">
        <v>45895</v>
      </c>
      <c r="N178" s="266"/>
      <c r="O178" s="267"/>
      <c r="P178" s="263">
        <f ca="1">I1-M178</f>
        <v>3</v>
      </c>
      <c r="Q178" s="263"/>
      <c r="R178" s="263"/>
      <c r="S178" s="263" t="s">
        <v>482</v>
      </c>
      <c r="T178" s="263" t="str">
        <f>L178</f>
        <v>R0</v>
      </c>
      <c r="U178" s="263" t="s">
        <v>461</v>
      </c>
      <c r="V178" s="312" t="s">
        <v>855</v>
      </c>
    </row>
    <row r="179" spans="1:22" ht="52.5" x14ac:dyDescent="0.35">
      <c r="A179" s="311">
        <v>1</v>
      </c>
      <c r="B179" s="263" t="s">
        <v>605</v>
      </c>
      <c r="C179" s="264" t="s">
        <v>656</v>
      </c>
      <c r="D179" s="265" t="s">
        <v>657</v>
      </c>
      <c r="E179" s="263" t="s">
        <v>658</v>
      </c>
      <c r="F179" s="263" t="s">
        <v>457</v>
      </c>
      <c r="G179" s="266">
        <v>45714</v>
      </c>
      <c r="H179" s="266">
        <f t="shared" si="12"/>
        <v>45729</v>
      </c>
      <c r="I179" s="266">
        <v>45714</v>
      </c>
      <c r="J179" s="263">
        <f>I179-G179</f>
        <v>0</v>
      </c>
      <c r="K179" s="263">
        <f ca="1">I1-H179</f>
        <v>169</v>
      </c>
      <c r="L179" s="263" t="s">
        <v>458</v>
      </c>
      <c r="M179" s="266">
        <v>45714</v>
      </c>
      <c r="N179" s="266"/>
      <c r="O179" s="267"/>
      <c r="P179" s="263">
        <f ca="1">I1-M179</f>
        <v>184</v>
      </c>
      <c r="Q179" s="263"/>
      <c r="R179" s="263"/>
      <c r="S179" s="263" t="s">
        <v>482</v>
      </c>
      <c r="T179" s="263" t="s">
        <v>458</v>
      </c>
      <c r="U179" s="263" t="s">
        <v>461</v>
      </c>
      <c r="V179" s="312">
        <f ca="1">V1-M179</f>
        <v>184</v>
      </c>
    </row>
    <row r="180" spans="1:22" ht="42" x14ac:dyDescent="0.35">
      <c r="A180" s="313">
        <v>2</v>
      </c>
      <c r="B180" s="257" t="s">
        <v>605</v>
      </c>
      <c r="C180" s="268" t="s">
        <v>656</v>
      </c>
      <c r="D180" s="269" t="s">
        <v>659</v>
      </c>
      <c r="E180" s="259" t="s">
        <v>660</v>
      </c>
      <c r="F180" s="259" t="s">
        <v>457</v>
      </c>
      <c r="G180" s="276">
        <v>45877</v>
      </c>
      <c r="H180" s="276">
        <f t="shared" si="12"/>
        <v>45892</v>
      </c>
      <c r="I180" s="270"/>
      <c r="J180" s="257">
        <f t="shared" ref="J180" ca="1" si="16">$I$1-G180</f>
        <v>21</v>
      </c>
      <c r="K180" s="259">
        <f ca="1">$I$1-H180</f>
        <v>6</v>
      </c>
      <c r="L180" s="297"/>
      <c r="M180" s="276"/>
      <c r="N180" s="276"/>
      <c r="O180" s="277"/>
      <c r="P180" s="259"/>
      <c r="Q180" s="259"/>
      <c r="R180" s="259"/>
      <c r="S180" s="259"/>
      <c r="T180" s="259"/>
      <c r="U180" s="259"/>
      <c r="V180" s="321"/>
    </row>
    <row r="181" spans="1:22" ht="52.5" x14ac:dyDescent="0.35">
      <c r="A181" s="518">
        <v>3</v>
      </c>
      <c r="B181" s="512" t="s">
        <v>605</v>
      </c>
      <c r="C181" s="519" t="s">
        <v>656</v>
      </c>
      <c r="D181" s="520" t="s">
        <v>661</v>
      </c>
      <c r="E181" s="512" t="s">
        <v>662</v>
      </c>
      <c r="F181" s="512" t="s">
        <v>457</v>
      </c>
      <c r="G181" s="513">
        <v>45935</v>
      </c>
      <c r="H181" s="513">
        <f>G181+12</f>
        <v>45947</v>
      </c>
      <c r="I181" s="513">
        <f>M181</f>
        <v>45863</v>
      </c>
      <c r="J181" s="512">
        <f>I181-G181</f>
        <v>-72</v>
      </c>
      <c r="K181" s="512">
        <f ca="1">I1-H181</f>
        <v>-49</v>
      </c>
      <c r="L181" s="512" t="s">
        <v>458</v>
      </c>
      <c r="M181" s="513">
        <v>45863</v>
      </c>
      <c r="N181" s="513">
        <v>45876</v>
      </c>
      <c r="O181" s="514" t="s">
        <v>468</v>
      </c>
      <c r="P181" s="512">
        <f>N181-M181</f>
        <v>13</v>
      </c>
      <c r="Q181" s="512">
        <f ca="1">I1-N181</f>
        <v>22</v>
      </c>
      <c r="R181" s="512"/>
      <c r="S181" s="512" t="s">
        <v>489</v>
      </c>
      <c r="T181" s="512" t="str">
        <f>O181</f>
        <v>CAT -IV R</v>
      </c>
      <c r="U181" s="512" t="s">
        <v>464</v>
      </c>
      <c r="V181" s="516"/>
    </row>
    <row r="182" spans="1:22" x14ac:dyDescent="0.35">
      <c r="A182" s="356">
        <v>4</v>
      </c>
      <c r="B182" s="343" t="s">
        <v>605</v>
      </c>
      <c r="C182" s="359" t="s">
        <v>656</v>
      </c>
      <c r="D182" s="362" t="s">
        <v>663</v>
      </c>
      <c r="E182" s="343" t="s">
        <v>664</v>
      </c>
      <c r="F182" s="343" t="s">
        <v>457</v>
      </c>
      <c r="G182" s="351">
        <v>45754</v>
      </c>
      <c r="H182" s="351">
        <v>45815</v>
      </c>
      <c r="I182" s="351">
        <v>45773</v>
      </c>
      <c r="J182" s="343">
        <f>I182-G182</f>
        <v>19</v>
      </c>
      <c r="K182" s="343">
        <f>R182-H182</f>
        <v>-3</v>
      </c>
      <c r="L182" s="271" t="s">
        <v>458</v>
      </c>
      <c r="M182" s="274">
        <v>45773</v>
      </c>
      <c r="N182" s="274">
        <v>45777</v>
      </c>
      <c r="O182" s="275" t="s">
        <v>459</v>
      </c>
      <c r="P182" s="271">
        <f t="shared" ref="P182:P187" si="17">N182-M182</f>
        <v>4</v>
      </c>
      <c r="Q182" s="271">
        <f>M183-N182</f>
        <v>14</v>
      </c>
      <c r="R182" s="351">
        <f>N183</f>
        <v>45812</v>
      </c>
      <c r="S182" s="343" t="s">
        <v>482</v>
      </c>
      <c r="T182" s="343" t="s">
        <v>472</v>
      </c>
      <c r="U182" s="343" t="s">
        <v>397</v>
      </c>
      <c r="V182" s="346">
        <f>N183-M183</f>
        <v>21</v>
      </c>
    </row>
    <row r="183" spans="1:22" x14ac:dyDescent="0.35">
      <c r="A183" s="357"/>
      <c r="B183" s="344"/>
      <c r="C183" s="360"/>
      <c r="D183" s="363"/>
      <c r="E183" s="344"/>
      <c r="F183" s="344"/>
      <c r="G183" s="412"/>
      <c r="H183" s="412"/>
      <c r="I183" s="412"/>
      <c r="J183" s="344"/>
      <c r="K183" s="344"/>
      <c r="L183" s="271" t="s">
        <v>460</v>
      </c>
      <c r="M183" s="274">
        <v>45791</v>
      </c>
      <c r="N183" s="274">
        <v>45812</v>
      </c>
      <c r="O183" s="275" t="s">
        <v>472</v>
      </c>
      <c r="P183" s="271">
        <f t="shared" si="17"/>
        <v>21</v>
      </c>
      <c r="Q183" s="271"/>
      <c r="R183" s="343"/>
      <c r="S183" s="344"/>
      <c r="T183" s="344"/>
      <c r="U183" s="344"/>
      <c r="V183" s="411"/>
    </row>
    <row r="184" spans="1:22" x14ac:dyDescent="0.35">
      <c r="A184" s="356">
        <v>5</v>
      </c>
      <c r="B184" s="343" t="s">
        <v>605</v>
      </c>
      <c r="C184" s="359" t="s">
        <v>656</v>
      </c>
      <c r="D184" s="362" t="s">
        <v>665</v>
      </c>
      <c r="E184" s="343" t="s">
        <v>666</v>
      </c>
      <c r="F184" s="343" t="s">
        <v>457</v>
      </c>
      <c r="G184" s="351">
        <v>45754</v>
      </c>
      <c r="H184" s="351">
        <f>G184+15</f>
        <v>45769</v>
      </c>
      <c r="I184" s="351">
        <v>45791</v>
      </c>
      <c r="J184" s="343">
        <f>I184-G184</f>
        <v>37</v>
      </c>
      <c r="K184" s="343">
        <f>R184-H184</f>
        <v>106</v>
      </c>
      <c r="L184" s="271" t="s">
        <v>458</v>
      </c>
      <c r="M184" s="274">
        <v>45791</v>
      </c>
      <c r="N184" s="274">
        <v>45809</v>
      </c>
      <c r="O184" s="275" t="s">
        <v>459</v>
      </c>
      <c r="P184" s="271">
        <f t="shared" si="17"/>
        <v>18</v>
      </c>
      <c r="Q184" s="271">
        <f>M185-N184</f>
        <v>3</v>
      </c>
      <c r="R184" s="351">
        <f>N188</f>
        <v>45875</v>
      </c>
      <c r="S184" s="343" t="s">
        <v>482</v>
      </c>
      <c r="T184" s="343" t="str">
        <f>O188</f>
        <v>CAT - I</v>
      </c>
      <c r="U184" s="343" t="s">
        <v>397</v>
      </c>
      <c r="V184" s="346"/>
    </row>
    <row r="185" spans="1:22" x14ac:dyDescent="0.35">
      <c r="A185" s="357"/>
      <c r="B185" s="344"/>
      <c r="C185" s="360"/>
      <c r="D185" s="363"/>
      <c r="E185" s="344"/>
      <c r="F185" s="344"/>
      <c r="G185" s="412"/>
      <c r="H185" s="412"/>
      <c r="I185" s="412"/>
      <c r="J185" s="344"/>
      <c r="K185" s="344"/>
      <c r="L185" s="271" t="s">
        <v>460</v>
      </c>
      <c r="M185" s="274">
        <v>45812</v>
      </c>
      <c r="N185" s="274">
        <v>45820</v>
      </c>
      <c r="O185" s="275" t="s">
        <v>459</v>
      </c>
      <c r="P185" s="271">
        <f t="shared" si="17"/>
        <v>8</v>
      </c>
      <c r="Q185" s="271">
        <f>M186-N185</f>
        <v>1</v>
      </c>
      <c r="R185" s="343"/>
      <c r="S185" s="344"/>
      <c r="T185" s="344"/>
      <c r="U185" s="344"/>
      <c r="V185" s="411"/>
    </row>
    <row r="186" spans="1:22" x14ac:dyDescent="0.35">
      <c r="A186" s="357"/>
      <c r="B186" s="344"/>
      <c r="C186" s="360"/>
      <c r="D186" s="363"/>
      <c r="E186" s="344"/>
      <c r="F186" s="344"/>
      <c r="G186" s="412"/>
      <c r="H186" s="412"/>
      <c r="I186" s="412"/>
      <c r="J186" s="344"/>
      <c r="K186" s="344"/>
      <c r="L186" s="271" t="s">
        <v>462</v>
      </c>
      <c r="M186" s="274">
        <v>45821</v>
      </c>
      <c r="N186" s="274">
        <v>45830</v>
      </c>
      <c r="O186" s="275" t="s">
        <v>472</v>
      </c>
      <c r="P186" s="271">
        <f t="shared" si="17"/>
        <v>9</v>
      </c>
      <c r="Q186" s="271"/>
      <c r="R186" s="343"/>
      <c r="S186" s="344"/>
      <c r="T186" s="344"/>
      <c r="U186" s="344"/>
      <c r="V186" s="411"/>
    </row>
    <row r="187" spans="1:22" x14ac:dyDescent="0.35">
      <c r="A187" s="357"/>
      <c r="B187" s="344"/>
      <c r="C187" s="360"/>
      <c r="D187" s="363"/>
      <c r="E187" s="344"/>
      <c r="F187" s="344"/>
      <c r="G187" s="412"/>
      <c r="H187" s="412"/>
      <c r="I187" s="412"/>
      <c r="J187" s="344"/>
      <c r="K187" s="344"/>
      <c r="L187" s="271" t="s">
        <v>463</v>
      </c>
      <c r="M187" s="274">
        <v>45858</v>
      </c>
      <c r="N187" s="274">
        <v>45863</v>
      </c>
      <c r="O187" s="275" t="s">
        <v>481</v>
      </c>
      <c r="P187" s="271">
        <f t="shared" si="17"/>
        <v>5</v>
      </c>
      <c r="Q187" s="271">
        <f>N187-M187</f>
        <v>5</v>
      </c>
      <c r="R187" s="343"/>
      <c r="S187" s="344"/>
      <c r="T187" s="344"/>
      <c r="U187" s="344"/>
      <c r="V187" s="411"/>
    </row>
    <row r="188" spans="1:22" x14ac:dyDescent="0.35">
      <c r="A188" s="357"/>
      <c r="B188" s="344"/>
      <c r="C188" s="360"/>
      <c r="D188" s="363"/>
      <c r="E188" s="344"/>
      <c r="F188" s="344"/>
      <c r="G188" s="412"/>
      <c r="H188" s="412"/>
      <c r="I188" s="412"/>
      <c r="J188" s="344"/>
      <c r="K188" s="344"/>
      <c r="L188" s="271" t="s">
        <v>816</v>
      </c>
      <c r="M188" s="274">
        <v>45867</v>
      </c>
      <c r="N188" s="274">
        <v>45875</v>
      </c>
      <c r="O188" s="275" t="s">
        <v>472</v>
      </c>
      <c r="P188" s="271">
        <f>M188-N187</f>
        <v>4</v>
      </c>
      <c r="Q188" s="271">
        <f>N188-M188</f>
        <v>8</v>
      </c>
      <c r="R188" s="343"/>
      <c r="S188" s="344"/>
      <c r="T188" s="344"/>
      <c r="U188" s="344"/>
      <c r="V188" s="411"/>
    </row>
    <row r="189" spans="1:22" ht="52.5" x14ac:dyDescent="0.35">
      <c r="A189" s="313">
        <v>6</v>
      </c>
      <c r="B189" s="257" t="s">
        <v>605</v>
      </c>
      <c r="C189" s="268" t="s">
        <v>656</v>
      </c>
      <c r="D189" s="269" t="s">
        <v>667</v>
      </c>
      <c r="E189" s="259" t="s">
        <v>668</v>
      </c>
      <c r="F189" s="259" t="s">
        <v>457</v>
      </c>
      <c r="G189" s="276">
        <v>45811</v>
      </c>
      <c r="H189" s="276">
        <f>G189+15</f>
        <v>45826</v>
      </c>
      <c r="I189" s="276"/>
      <c r="J189" s="257">
        <f t="shared" ref="J189" ca="1" si="18">$I$1-G189</f>
        <v>87</v>
      </c>
      <c r="K189" s="259">
        <f ca="1">$I$1-H189</f>
        <v>72</v>
      </c>
      <c r="L189" s="297"/>
      <c r="M189" s="276"/>
      <c r="N189" s="276"/>
      <c r="O189" s="277"/>
      <c r="P189" s="259"/>
      <c r="Q189" s="259"/>
      <c r="R189" s="259"/>
      <c r="S189" s="259"/>
      <c r="T189" s="259"/>
      <c r="U189" s="259"/>
      <c r="V189" s="321"/>
    </row>
    <row r="190" spans="1:22" x14ac:dyDescent="0.35">
      <c r="A190" s="397">
        <v>7</v>
      </c>
      <c r="B190" s="367" t="s">
        <v>605</v>
      </c>
      <c r="C190" s="398" t="s">
        <v>656</v>
      </c>
      <c r="D190" s="399" t="s">
        <v>669</v>
      </c>
      <c r="E190" s="367" t="s">
        <v>670</v>
      </c>
      <c r="F190" s="367" t="s">
        <v>457</v>
      </c>
      <c r="G190" s="416">
        <v>45808</v>
      </c>
      <c r="H190" s="416">
        <f>G190+15</f>
        <v>45823</v>
      </c>
      <c r="I190" s="416">
        <f>M190</f>
        <v>45856</v>
      </c>
      <c r="J190" s="367">
        <f>I190-G190</f>
        <v>48</v>
      </c>
      <c r="K190" s="367">
        <f ca="1">I1-H190</f>
        <v>75</v>
      </c>
      <c r="L190" s="263" t="s">
        <v>458</v>
      </c>
      <c r="M190" s="266">
        <v>45856</v>
      </c>
      <c r="N190" s="266">
        <v>45863</v>
      </c>
      <c r="O190" s="267" t="s">
        <v>459</v>
      </c>
      <c r="P190" s="263"/>
      <c r="Q190" s="263"/>
      <c r="R190" s="263"/>
      <c r="S190" s="367" t="s">
        <v>482</v>
      </c>
      <c r="T190" s="367" t="str">
        <f>O190</f>
        <v>CAT - III</v>
      </c>
      <c r="U190" s="367" t="s">
        <v>461</v>
      </c>
      <c r="V190" s="402"/>
    </row>
    <row r="191" spans="1:22" x14ac:dyDescent="0.35">
      <c r="A191" s="371"/>
      <c r="B191" s="372"/>
      <c r="C191" s="374"/>
      <c r="D191" s="376"/>
      <c r="E191" s="353"/>
      <c r="F191" s="353"/>
      <c r="G191" s="417"/>
      <c r="H191" s="417"/>
      <c r="I191" s="417"/>
      <c r="J191" s="353"/>
      <c r="K191" s="353"/>
      <c r="L191" s="263" t="s">
        <v>460</v>
      </c>
      <c r="M191" s="266">
        <v>45883</v>
      </c>
      <c r="N191" s="266"/>
      <c r="O191" s="267"/>
      <c r="P191" s="263"/>
      <c r="Q191" s="263"/>
      <c r="R191" s="263"/>
      <c r="S191" s="353"/>
      <c r="T191" s="353"/>
      <c r="U191" s="353"/>
      <c r="V191" s="355"/>
    </row>
    <row r="192" spans="1:22" ht="42" x14ac:dyDescent="0.35">
      <c r="A192" s="313">
        <v>8</v>
      </c>
      <c r="B192" s="257" t="s">
        <v>605</v>
      </c>
      <c r="C192" s="268" t="s">
        <v>656</v>
      </c>
      <c r="D192" s="269" t="s">
        <v>671</v>
      </c>
      <c r="E192" s="259" t="s">
        <v>672</v>
      </c>
      <c r="F192" s="259" t="s">
        <v>457</v>
      </c>
      <c r="G192" s="276">
        <v>45831</v>
      </c>
      <c r="H192" s="276">
        <f>G192+15</f>
        <v>45846</v>
      </c>
      <c r="I192" s="276"/>
      <c r="J192" s="257">
        <f t="shared" ref="J192:J193" ca="1" si="19">$I$1-G192</f>
        <v>67</v>
      </c>
      <c r="K192" s="259">
        <f ca="1">$I$1-H192</f>
        <v>52</v>
      </c>
      <c r="L192" s="297"/>
      <c r="M192" s="276"/>
      <c r="N192" s="276"/>
      <c r="O192" s="277"/>
      <c r="P192" s="259"/>
      <c r="Q192" s="259"/>
      <c r="R192" s="259"/>
      <c r="S192" s="259"/>
      <c r="T192" s="259"/>
      <c r="U192" s="259"/>
      <c r="V192" s="321"/>
    </row>
    <row r="193" spans="1:22" ht="63" x14ac:dyDescent="0.35">
      <c r="A193" s="313">
        <v>9</v>
      </c>
      <c r="B193" s="257" t="s">
        <v>605</v>
      </c>
      <c r="C193" s="268" t="s">
        <v>656</v>
      </c>
      <c r="D193" s="269" t="s">
        <v>673</v>
      </c>
      <c r="E193" s="259" t="s">
        <v>674</v>
      </c>
      <c r="F193" s="259" t="s">
        <v>467</v>
      </c>
      <c r="G193" s="276">
        <v>45808</v>
      </c>
      <c r="H193" s="276">
        <f>G193+15</f>
        <v>45823</v>
      </c>
      <c r="I193" s="276"/>
      <c r="J193" s="257">
        <f t="shared" ca="1" si="19"/>
        <v>90</v>
      </c>
      <c r="K193" s="259">
        <f ca="1">$I$1-H193</f>
        <v>75</v>
      </c>
      <c r="L193" s="297"/>
      <c r="M193" s="276"/>
      <c r="N193" s="276"/>
      <c r="O193" s="277"/>
      <c r="P193" s="259"/>
      <c r="Q193" s="259"/>
      <c r="R193" s="259"/>
      <c r="S193" s="259"/>
      <c r="T193" s="259"/>
      <c r="U193" s="259"/>
      <c r="V193" s="321"/>
    </row>
    <row r="194" spans="1:22" x14ac:dyDescent="0.35">
      <c r="A194" s="356">
        <v>10</v>
      </c>
      <c r="B194" s="343" t="s">
        <v>605</v>
      </c>
      <c r="C194" s="359" t="s">
        <v>656</v>
      </c>
      <c r="D194" s="362" t="s">
        <v>675</v>
      </c>
      <c r="E194" s="343" t="s">
        <v>676</v>
      </c>
      <c r="F194" s="343" t="s">
        <v>457</v>
      </c>
      <c r="G194" s="351">
        <v>45783</v>
      </c>
      <c r="H194" s="351">
        <f>G194+15</f>
        <v>45798</v>
      </c>
      <c r="I194" s="351">
        <v>45792</v>
      </c>
      <c r="J194" s="343">
        <f>I194-G194</f>
        <v>9</v>
      </c>
      <c r="K194" s="343">
        <f>R194-H194</f>
        <v>15</v>
      </c>
      <c r="L194" s="271" t="s">
        <v>458</v>
      </c>
      <c r="M194" s="274">
        <v>45792</v>
      </c>
      <c r="N194" s="274">
        <v>45813</v>
      </c>
      <c r="O194" s="275" t="s">
        <v>459</v>
      </c>
      <c r="P194" s="271">
        <f>N194-M194</f>
        <v>21</v>
      </c>
      <c r="Q194" s="271">
        <f>M195-N194</f>
        <v>0</v>
      </c>
      <c r="R194" s="414">
        <f>N194</f>
        <v>45813</v>
      </c>
      <c r="S194" s="343" t="s">
        <v>482</v>
      </c>
      <c r="T194" s="343" t="str">
        <f>O196</f>
        <v>CAT - I</v>
      </c>
      <c r="U194" s="343" t="s">
        <v>397</v>
      </c>
      <c r="V194" s="316"/>
    </row>
    <row r="195" spans="1:22" x14ac:dyDescent="0.35">
      <c r="A195" s="357"/>
      <c r="B195" s="344"/>
      <c r="C195" s="360"/>
      <c r="D195" s="363"/>
      <c r="E195" s="344"/>
      <c r="F195" s="344"/>
      <c r="G195" s="412"/>
      <c r="H195" s="412"/>
      <c r="I195" s="412"/>
      <c r="J195" s="344"/>
      <c r="K195" s="343"/>
      <c r="L195" s="271" t="s">
        <v>460</v>
      </c>
      <c r="M195" s="274">
        <v>45813</v>
      </c>
      <c r="N195" s="274">
        <v>45821</v>
      </c>
      <c r="O195" s="275" t="s">
        <v>481</v>
      </c>
      <c r="P195" s="271">
        <f>N195-M195</f>
        <v>8</v>
      </c>
      <c r="Q195" s="271">
        <f>M196-N195</f>
        <v>6</v>
      </c>
      <c r="R195" s="415"/>
      <c r="S195" s="344"/>
      <c r="T195" s="344"/>
      <c r="U195" s="344"/>
      <c r="V195" s="316"/>
    </row>
    <row r="196" spans="1:22" x14ac:dyDescent="0.35">
      <c r="A196" s="357"/>
      <c r="B196" s="344"/>
      <c r="C196" s="360"/>
      <c r="D196" s="363"/>
      <c r="E196" s="344"/>
      <c r="F196" s="344"/>
      <c r="G196" s="412"/>
      <c r="H196" s="412"/>
      <c r="I196" s="412"/>
      <c r="J196" s="344"/>
      <c r="K196" s="343"/>
      <c r="L196" s="271" t="s">
        <v>462</v>
      </c>
      <c r="M196" s="274">
        <v>45827</v>
      </c>
      <c r="N196" s="274">
        <v>45830</v>
      </c>
      <c r="O196" s="275" t="s">
        <v>472</v>
      </c>
      <c r="P196" s="271">
        <f>N196-M196</f>
        <v>3</v>
      </c>
      <c r="Q196" s="271"/>
      <c r="R196" s="415"/>
      <c r="S196" s="344"/>
      <c r="T196" s="344"/>
      <c r="U196" s="344"/>
      <c r="V196" s="316"/>
    </row>
    <row r="197" spans="1:22" x14ac:dyDescent="0.35">
      <c r="A197" s="356">
        <v>11</v>
      </c>
      <c r="B197" s="343" t="s">
        <v>605</v>
      </c>
      <c r="C197" s="343" t="s">
        <v>656</v>
      </c>
      <c r="D197" s="391" t="s">
        <v>677</v>
      </c>
      <c r="E197" s="343" t="s">
        <v>678</v>
      </c>
      <c r="F197" s="343" t="s">
        <v>457</v>
      </c>
      <c r="G197" s="351">
        <v>45783</v>
      </c>
      <c r="H197" s="351">
        <f>G197+15</f>
        <v>45798</v>
      </c>
      <c r="I197" s="351">
        <v>45791</v>
      </c>
      <c r="J197" s="343">
        <f>I197-G197</f>
        <v>8</v>
      </c>
      <c r="K197" s="343">
        <f>R197-H197</f>
        <v>78</v>
      </c>
      <c r="L197" s="271" t="s">
        <v>458</v>
      </c>
      <c r="M197" s="274">
        <v>45791</v>
      </c>
      <c r="N197" s="274">
        <v>45842</v>
      </c>
      <c r="O197" s="275" t="s">
        <v>459</v>
      </c>
      <c r="P197" s="271">
        <f>N197-M197</f>
        <v>51</v>
      </c>
      <c r="Q197" s="271">
        <f>M198-N197</f>
        <v>27</v>
      </c>
      <c r="R197" s="351">
        <f>N198</f>
        <v>45876</v>
      </c>
      <c r="S197" s="343" t="s">
        <v>397</v>
      </c>
      <c r="T197" s="343" t="str">
        <f>O198</f>
        <v>CAT - I</v>
      </c>
      <c r="U197" s="343" t="s">
        <v>397</v>
      </c>
      <c r="V197" s="346"/>
    </row>
    <row r="198" spans="1:22" x14ac:dyDescent="0.35">
      <c r="A198" s="357"/>
      <c r="B198" s="344"/>
      <c r="C198" s="344"/>
      <c r="D198" s="413"/>
      <c r="E198" s="344"/>
      <c r="F198" s="344"/>
      <c r="G198" s="412"/>
      <c r="H198" s="412"/>
      <c r="I198" s="412"/>
      <c r="J198" s="344"/>
      <c r="K198" s="343"/>
      <c r="L198" s="271" t="s">
        <v>460</v>
      </c>
      <c r="M198" s="274">
        <v>45869</v>
      </c>
      <c r="N198" s="274">
        <v>45876</v>
      </c>
      <c r="O198" s="275" t="s">
        <v>472</v>
      </c>
      <c r="P198" s="271">
        <f>N198-M198</f>
        <v>7</v>
      </c>
      <c r="Q198" s="271"/>
      <c r="R198" s="344"/>
      <c r="S198" s="344"/>
      <c r="T198" s="344"/>
      <c r="U198" s="344"/>
      <c r="V198" s="346"/>
    </row>
    <row r="199" spans="1:22" x14ac:dyDescent="0.35">
      <c r="A199" s="356">
        <v>12</v>
      </c>
      <c r="B199" s="343" t="s">
        <v>605</v>
      </c>
      <c r="C199" s="359" t="s">
        <v>656</v>
      </c>
      <c r="D199" s="362" t="s">
        <v>679</v>
      </c>
      <c r="E199" s="343" t="s">
        <v>680</v>
      </c>
      <c r="F199" s="343" t="s">
        <v>457</v>
      </c>
      <c r="G199" s="351">
        <v>45755</v>
      </c>
      <c r="H199" s="351">
        <f>G199+15</f>
        <v>45770</v>
      </c>
      <c r="I199" s="351">
        <v>45755</v>
      </c>
      <c r="J199" s="343">
        <f>I199-G199</f>
        <v>0</v>
      </c>
      <c r="K199" s="343">
        <f>R199-H199</f>
        <v>60</v>
      </c>
      <c r="L199" s="271" t="s">
        <v>458</v>
      </c>
      <c r="M199" s="274">
        <v>45755</v>
      </c>
      <c r="N199" s="274">
        <v>45770</v>
      </c>
      <c r="O199" s="275" t="s">
        <v>459</v>
      </c>
      <c r="P199" s="271">
        <f t="shared" ref="P199:P204" si="20">N199-M199</f>
        <v>15</v>
      </c>
      <c r="Q199" s="271">
        <f>M201-N199</f>
        <v>55</v>
      </c>
      <c r="R199" s="351">
        <f>N201</f>
        <v>45830</v>
      </c>
      <c r="S199" s="343" t="s">
        <v>482</v>
      </c>
      <c r="T199" s="343" t="str">
        <f>O201</f>
        <v>CAT - I</v>
      </c>
      <c r="U199" s="343" t="s">
        <v>397</v>
      </c>
      <c r="V199" s="346">
        <f ca="1">V1-M201</f>
        <v>73</v>
      </c>
    </row>
    <row r="200" spans="1:22" x14ac:dyDescent="0.35">
      <c r="A200" s="357"/>
      <c r="B200" s="344"/>
      <c r="C200" s="360"/>
      <c r="D200" s="363"/>
      <c r="E200" s="344"/>
      <c r="F200" s="344"/>
      <c r="G200" s="412"/>
      <c r="H200" s="412"/>
      <c r="I200" s="412"/>
      <c r="J200" s="344"/>
      <c r="K200" s="343"/>
      <c r="L200" s="271" t="s">
        <v>460</v>
      </c>
      <c r="M200" s="274">
        <v>45788</v>
      </c>
      <c r="N200" s="274">
        <v>45809</v>
      </c>
      <c r="O200" s="275" t="s">
        <v>459</v>
      </c>
      <c r="P200" s="271">
        <f t="shared" si="20"/>
        <v>21</v>
      </c>
      <c r="Q200" s="271">
        <f>M201-N200</f>
        <v>16</v>
      </c>
      <c r="R200" s="344"/>
      <c r="S200" s="344"/>
      <c r="T200" s="344"/>
      <c r="U200" s="344"/>
      <c r="V200" s="411"/>
    </row>
    <row r="201" spans="1:22" x14ac:dyDescent="0.35">
      <c r="A201" s="357"/>
      <c r="B201" s="344"/>
      <c r="C201" s="360"/>
      <c r="D201" s="363"/>
      <c r="E201" s="344"/>
      <c r="F201" s="344"/>
      <c r="G201" s="412"/>
      <c r="H201" s="412"/>
      <c r="I201" s="412"/>
      <c r="J201" s="344"/>
      <c r="K201" s="343"/>
      <c r="L201" s="271" t="s">
        <v>460</v>
      </c>
      <c r="M201" s="274">
        <v>45825</v>
      </c>
      <c r="N201" s="274">
        <v>45830</v>
      </c>
      <c r="O201" s="275" t="s">
        <v>472</v>
      </c>
      <c r="P201" s="271">
        <f t="shared" si="20"/>
        <v>5</v>
      </c>
      <c r="Q201" s="271">
        <f ca="1">I1-N201</f>
        <v>68</v>
      </c>
      <c r="R201" s="344"/>
      <c r="S201" s="344"/>
      <c r="T201" s="344"/>
      <c r="U201" s="344"/>
      <c r="V201" s="411"/>
    </row>
    <row r="202" spans="1:22" x14ac:dyDescent="0.35">
      <c r="A202" s="356">
        <v>13</v>
      </c>
      <c r="B202" s="343" t="s">
        <v>605</v>
      </c>
      <c r="C202" s="359" t="s">
        <v>656</v>
      </c>
      <c r="D202" s="362" t="s">
        <v>394</v>
      </c>
      <c r="E202" s="343" t="s">
        <v>681</v>
      </c>
      <c r="F202" s="343" t="s">
        <v>457</v>
      </c>
      <c r="G202" s="351">
        <v>45755</v>
      </c>
      <c r="H202" s="351">
        <f>G202+15</f>
        <v>45770</v>
      </c>
      <c r="I202" s="351">
        <v>45755</v>
      </c>
      <c r="J202" s="343">
        <f>I202-G202</f>
        <v>0</v>
      </c>
      <c r="K202" s="343">
        <f>R202-H202</f>
        <v>60</v>
      </c>
      <c r="L202" s="271" t="s">
        <v>458</v>
      </c>
      <c r="M202" s="274">
        <v>45755</v>
      </c>
      <c r="N202" s="274">
        <v>45770</v>
      </c>
      <c r="O202" s="275" t="s">
        <v>459</v>
      </c>
      <c r="P202" s="271">
        <f t="shared" si="20"/>
        <v>15</v>
      </c>
      <c r="Q202" s="271">
        <f>M204-N202</f>
        <v>55</v>
      </c>
      <c r="R202" s="351">
        <f>N204</f>
        <v>45830</v>
      </c>
      <c r="S202" s="343" t="s">
        <v>482</v>
      </c>
      <c r="T202" s="343" t="str">
        <f>O204</f>
        <v>CAT - I</v>
      </c>
      <c r="U202" s="343" t="s">
        <v>397</v>
      </c>
      <c r="V202" s="346">
        <f ca="1">V1-M204</f>
        <v>73</v>
      </c>
    </row>
    <row r="203" spans="1:22" x14ac:dyDescent="0.35">
      <c r="A203" s="357"/>
      <c r="B203" s="344"/>
      <c r="C203" s="360"/>
      <c r="D203" s="363"/>
      <c r="E203" s="344"/>
      <c r="F203" s="344"/>
      <c r="G203" s="412"/>
      <c r="H203" s="412"/>
      <c r="I203" s="412"/>
      <c r="J203" s="344"/>
      <c r="K203" s="344"/>
      <c r="L203" s="271" t="s">
        <v>460</v>
      </c>
      <c r="M203" s="274">
        <v>45787</v>
      </c>
      <c r="N203" s="274">
        <v>45809</v>
      </c>
      <c r="O203" s="275" t="s">
        <v>459</v>
      </c>
      <c r="P203" s="271">
        <f t="shared" si="20"/>
        <v>22</v>
      </c>
      <c r="Q203" s="271">
        <f>M204-N203</f>
        <v>16</v>
      </c>
      <c r="R203" s="344"/>
      <c r="S203" s="344"/>
      <c r="T203" s="344"/>
      <c r="U203" s="344"/>
      <c r="V203" s="411"/>
    </row>
    <row r="204" spans="1:22" x14ac:dyDescent="0.35">
      <c r="A204" s="357"/>
      <c r="B204" s="344"/>
      <c r="C204" s="360"/>
      <c r="D204" s="363"/>
      <c r="E204" s="344"/>
      <c r="F204" s="344"/>
      <c r="G204" s="412"/>
      <c r="H204" s="412"/>
      <c r="I204" s="412"/>
      <c r="J204" s="344"/>
      <c r="K204" s="344"/>
      <c r="L204" s="271" t="s">
        <v>462</v>
      </c>
      <c r="M204" s="274">
        <v>45825</v>
      </c>
      <c r="N204" s="274">
        <v>45830</v>
      </c>
      <c r="O204" s="275" t="s">
        <v>472</v>
      </c>
      <c r="P204" s="271">
        <f t="shared" si="20"/>
        <v>5</v>
      </c>
      <c r="Q204" s="271"/>
      <c r="R204" s="344"/>
      <c r="S204" s="344"/>
      <c r="T204" s="344"/>
      <c r="U204" s="344"/>
      <c r="V204" s="411"/>
    </row>
    <row r="205" spans="1:22" ht="42" x14ac:dyDescent="0.35">
      <c r="A205" s="311">
        <v>14</v>
      </c>
      <c r="B205" s="263" t="s">
        <v>605</v>
      </c>
      <c r="C205" s="264" t="s">
        <v>656</v>
      </c>
      <c r="D205" s="265" t="s">
        <v>682</v>
      </c>
      <c r="E205" s="263" t="s">
        <v>683</v>
      </c>
      <c r="F205" s="263" t="s">
        <v>467</v>
      </c>
      <c r="G205" s="266">
        <v>45807</v>
      </c>
      <c r="H205" s="266">
        <f>G205+15</f>
        <v>45822</v>
      </c>
      <c r="I205" s="266">
        <f>M205</f>
        <v>45869</v>
      </c>
      <c r="J205" s="263">
        <f>I205-G205</f>
        <v>62</v>
      </c>
      <c r="K205" s="263">
        <f ca="1">I1-H205</f>
        <v>76</v>
      </c>
      <c r="L205" s="263" t="s">
        <v>458</v>
      </c>
      <c r="M205" s="266">
        <v>45869</v>
      </c>
      <c r="N205" s="266"/>
      <c r="O205" s="267"/>
      <c r="P205" s="263"/>
      <c r="Q205" s="263"/>
      <c r="R205" s="263"/>
      <c r="S205" s="263"/>
      <c r="T205" s="263" t="s">
        <v>458</v>
      </c>
      <c r="U205" s="263" t="s">
        <v>461</v>
      </c>
      <c r="V205" s="312"/>
    </row>
    <row r="206" spans="1:22" ht="52.5" x14ac:dyDescent="0.35">
      <c r="A206" s="313">
        <v>15</v>
      </c>
      <c r="B206" s="257" t="s">
        <v>605</v>
      </c>
      <c r="C206" s="268" t="s">
        <v>656</v>
      </c>
      <c r="D206" s="269" t="s">
        <v>684</v>
      </c>
      <c r="E206" s="259" t="s">
        <v>685</v>
      </c>
      <c r="F206" s="259" t="s">
        <v>467</v>
      </c>
      <c r="G206" s="276">
        <v>45845</v>
      </c>
      <c r="H206" s="276">
        <f>G206+15</f>
        <v>45860</v>
      </c>
      <c r="I206" s="270"/>
      <c r="J206" s="257">
        <f t="shared" ref="J206" ca="1" si="21">$I$1-G206</f>
        <v>53</v>
      </c>
      <c r="K206" s="259">
        <f ca="1">$I$1-H206</f>
        <v>38</v>
      </c>
      <c r="L206" s="297"/>
      <c r="M206" s="276"/>
      <c r="N206" s="276"/>
      <c r="O206" s="277"/>
      <c r="P206" s="259"/>
      <c r="Q206" s="259"/>
      <c r="R206" s="259"/>
      <c r="S206" s="259"/>
      <c r="T206" s="259"/>
      <c r="U206" s="259"/>
      <c r="V206" s="321"/>
    </row>
    <row r="207" spans="1:22" x14ac:dyDescent="0.35">
      <c r="A207" s="356">
        <v>1</v>
      </c>
      <c r="B207" s="343" t="s">
        <v>686</v>
      </c>
      <c r="C207" s="359" t="s">
        <v>687</v>
      </c>
      <c r="D207" s="359" t="s">
        <v>688</v>
      </c>
      <c r="E207" s="343" t="s">
        <v>689</v>
      </c>
      <c r="F207" s="343" t="s">
        <v>457</v>
      </c>
      <c r="G207" s="348">
        <v>45797</v>
      </c>
      <c r="H207" s="348">
        <f>G207+15</f>
        <v>45812</v>
      </c>
      <c r="I207" s="348">
        <v>45813</v>
      </c>
      <c r="J207" s="343">
        <f>I207-G207</f>
        <v>16</v>
      </c>
      <c r="K207" s="343">
        <f>R207-H207</f>
        <v>64</v>
      </c>
      <c r="L207" s="271" t="s">
        <v>458</v>
      </c>
      <c r="M207" s="274">
        <v>45813</v>
      </c>
      <c r="N207" s="274">
        <v>45832</v>
      </c>
      <c r="O207" s="275" t="s">
        <v>459</v>
      </c>
      <c r="P207" s="271">
        <f>N207-M207</f>
        <v>19</v>
      </c>
      <c r="Q207" s="271">
        <f>M208-N207</f>
        <v>35</v>
      </c>
      <c r="R207" s="351">
        <f>N209</f>
        <v>45876</v>
      </c>
      <c r="S207" s="343" t="s">
        <v>397</v>
      </c>
      <c r="T207" s="343" t="str">
        <f>O209</f>
        <v>CAT - I</v>
      </c>
      <c r="U207" s="343" t="s">
        <v>397</v>
      </c>
      <c r="V207" s="346"/>
    </row>
    <row r="208" spans="1:22" x14ac:dyDescent="0.35">
      <c r="A208" s="390"/>
      <c r="B208" s="385"/>
      <c r="C208" s="395"/>
      <c r="D208" s="403"/>
      <c r="E208" s="385"/>
      <c r="F208" s="385"/>
      <c r="G208" s="389"/>
      <c r="H208" s="389"/>
      <c r="I208" s="389"/>
      <c r="J208" s="385"/>
      <c r="K208" s="385"/>
      <c r="L208" s="271" t="s">
        <v>460</v>
      </c>
      <c r="M208" s="274">
        <v>45867</v>
      </c>
      <c r="N208" s="274"/>
      <c r="O208" s="275"/>
      <c r="P208" s="271">
        <v>7</v>
      </c>
      <c r="Q208" s="271"/>
      <c r="R208" s="343"/>
      <c r="S208" s="385"/>
      <c r="T208" s="385"/>
      <c r="U208" s="385"/>
      <c r="V208" s="386"/>
    </row>
    <row r="209" spans="1:22" x14ac:dyDescent="0.35">
      <c r="A209" s="317"/>
      <c r="B209" s="385"/>
      <c r="C209" s="395"/>
      <c r="D209" s="403"/>
      <c r="E209" s="385"/>
      <c r="F209" s="385"/>
      <c r="G209" s="389"/>
      <c r="H209" s="389"/>
      <c r="I209" s="389"/>
      <c r="J209" s="385"/>
      <c r="K209" s="385"/>
      <c r="L209" s="271" t="s">
        <v>460</v>
      </c>
      <c r="M209" s="274">
        <v>45874</v>
      </c>
      <c r="N209" s="274">
        <v>45876</v>
      </c>
      <c r="O209" s="275" t="s">
        <v>472</v>
      </c>
      <c r="P209" s="271">
        <f>N209-M209</f>
        <v>2</v>
      </c>
      <c r="Q209" s="271"/>
      <c r="R209" s="343"/>
      <c r="S209" s="385"/>
      <c r="T209" s="385"/>
      <c r="U209" s="385"/>
      <c r="V209" s="386"/>
    </row>
    <row r="210" spans="1:22" x14ac:dyDescent="0.35">
      <c r="A210" s="356">
        <v>2</v>
      </c>
      <c r="B210" s="343" t="s">
        <v>686</v>
      </c>
      <c r="C210" s="359" t="s">
        <v>687</v>
      </c>
      <c r="D210" s="362" t="s">
        <v>837</v>
      </c>
      <c r="E210" s="343" t="s">
        <v>690</v>
      </c>
      <c r="F210" s="343" t="s">
        <v>457</v>
      </c>
      <c r="G210" s="348">
        <v>45797</v>
      </c>
      <c r="H210" s="348">
        <f>G210+15</f>
        <v>45812</v>
      </c>
      <c r="I210" s="348">
        <v>45813</v>
      </c>
      <c r="J210" s="343">
        <f>I210-G210</f>
        <v>16</v>
      </c>
      <c r="K210" s="343">
        <f>R210-H210</f>
        <v>50</v>
      </c>
      <c r="L210" s="271" t="s">
        <v>458</v>
      </c>
      <c r="M210" s="274">
        <v>45813</v>
      </c>
      <c r="N210" s="274">
        <v>45832</v>
      </c>
      <c r="O210" s="275" t="s">
        <v>459</v>
      </c>
      <c r="P210" s="271">
        <f>N210-M210</f>
        <v>19</v>
      </c>
      <c r="Q210" s="271">
        <f ca="1">I1-N210</f>
        <v>66</v>
      </c>
      <c r="R210" s="351">
        <f>N211</f>
        <v>45862</v>
      </c>
      <c r="S210" s="343" t="s">
        <v>397</v>
      </c>
      <c r="T210" s="343" t="str">
        <f>O211</f>
        <v>CAT - I</v>
      </c>
      <c r="U210" s="343" t="s">
        <v>397</v>
      </c>
      <c r="V210" s="346"/>
    </row>
    <row r="211" spans="1:22" x14ac:dyDescent="0.35">
      <c r="A211" s="390"/>
      <c r="B211" s="385"/>
      <c r="C211" s="395"/>
      <c r="D211" s="396"/>
      <c r="E211" s="385"/>
      <c r="F211" s="385"/>
      <c r="G211" s="389"/>
      <c r="H211" s="389"/>
      <c r="I211" s="389"/>
      <c r="J211" s="385"/>
      <c r="K211" s="385"/>
      <c r="L211" s="271" t="s">
        <v>460</v>
      </c>
      <c r="M211" s="274">
        <v>45855</v>
      </c>
      <c r="N211" s="274">
        <v>45862</v>
      </c>
      <c r="O211" s="275" t="s">
        <v>472</v>
      </c>
      <c r="P211" s="271"/>
      <c r="Q211" s="271"/>
      <c r="R211" s="343"/>
      <c r="S211" s="385"/>
      <c r="T211" s="385"/>
      <c r="U211" s="385"/>
      <c r="V211" s="386"/>
    </row>
    <row r="212" spans="1:22" ht="31.5" x14ac:dyDescent="0.35">
      <c r="A212" s="313">
        <v>3</v>
      </c>
      <c r="B212" s="257" t="s">
        <v>686</v>
      </c>
      <c r="C212" s="268" t="s">
        <v>687</v>
      </c>
      <c r="D212" s="269" t="s">
        <v>691</v>
      </c>
      <c r="E212" s="259" t="s">
        <v>692</v>
      </c>
      <c r="F212" s="259" t="s">
        <v>457</v>
      </c>
      <c r="G212" s="283">
        <v>45809</v>
      </c>
      <c r="H212" s="283">
        <f>G212+15</f>
        <v>45824</v>
      </c>
      <c r="I212" s="283"/>
      <c r="J212" s="257">
        <f t="shared" ref="J212" ca="1" si="22">$I$1-G212</f>
        <v>89</v>
      </c>
      <c r="K212" s="259">
        <f ca="1">$I$1-H212</f>
        <v>74</v>
      </c>
      <c r="L212" s="297"/>
      <c r="M212" s="276"/>
      <c r="N212" s="276"/>
      <c r="O212" s="277"/>
      <c r="P212" s="259"/>
      <c r="Q212" s="259"/>
      <c r="R212" s="259"/>
      <c r="S212" s="259"/>
      <c r="T212" s="259"/>
      <c r="U212" s="259"/>
      <c r="V212" s="321"/>
    </row>
    <row r="213" spans="1:22" x14ac:dyDescent="0.35">
      <c r="A213" s="397">
        <v>4</v>
      </c>
      <c r="B213" s="367" t="s">
        <v>686</v>
      </c>
      <c r="C213" s="398" t="s">
        <v>687</v>
      </c>
      <c r="D213" s="399" t="s">
        <v>693</v>
      </c>
      <c r="E213" s="367" t="s">
        <v>694</v>
      </c>
      <c r="F213" s="367" t="s">
        <v>457</v>
      </c>
      <c r="G213" s="400">
        <v>45797</v>
      </c>
      <c r="H213" s="400">
        <f>G213+15</f>
        <v>45812</v>
      </c>
      <c r="I213" s="400">
        <v>45817</v>
      </c>
      <c r="J213" s="367">
        <f>I213-G213</f>
        <v>20</v>
      </c>
      <c r="K213" s="367">
        <f ca="1">I1-H213</f>
        <v>86</v>
      </c>
      <c r="L213" s="263" t="s">
        <v>458</v>
      </c>
      <c r="M213" s="266">
        <v>45817</v>
      </c>
      <c r="N213" s="266">
        <v>45834</v>
      </c>
      <c r="O213" s="267" t="s">
        <v>459</v>
      </c>
      <c r="P213" s="263">
        <f>N213-M213</f>
        <v>17</v>
      </c>
      <c r="Q213" s="263">
        <f ca="1">I1-N213</f>
        <v>64</v>
      </c>
      <c r="R213" s="263"/>
      <c r="S213" s="367" t="s">
        <v>482</v>
      </c>
      <c r="T213" s="367" t="str">
        <f>O213</f>
        <v>CAT - III</v>
      </c>
      <c r="U213" s="367" t="s">
        <v>461</v>
      </c>
      <c r="V213" s="402"/>
    </row>
    <row r="214" spans="1:22" x14ac:dyDescent="0.35">
      <c r="A214" s="397"/>
      <c r="B214" s="367"/>
      <c r="C214" s="398"/>
      <c r="D214" s="399"/>
      <c r="E214" s="367"/>
      <c r="F214" s="367"/>
      <c r="G214" s="400"/>
      <c r="H214" s="400"/>
      <c r="I214" s="400"/>
      <c r="J214" s="367"/>
      <c r="K214" s="367"/>
      <c r="L214" s="263" t="s">
        <v>460</v>
      </c>
      <c r="M214" s="266">
        <v>45856</v>
      </c>
      <c r="N214" s="266">
        <v>45876</v>
      </c>
      <c r="O214" s="267" t="s">
        <v>459</v>
      </c>
      <c r="P214" s="263">
        <f>N214-M214</f>
        <v>20</v>
      </c>
      <c r="Q214" s="263">
        <f>M215-N214</f>
        <v>14</v>
      </c>
      <c r="R214" s="263"/>
      <c r="S214" s="367"/>
      <c r="T214" s="367"/>
      <c r="U214" s="367"/>
      <c r="V214" s="402"/>
    </row>
    <row r="215" spans="1:22" x14ac:dyDescent="0.35">
      <c r="A215" s="397"/>
      <c r="B215" s="367"/>
      <c r="C215" s="398"/>
      <c r="D215" s="399"/>
      <c r="E215" s="367"/>
      <c r="F215" s="367"/>
      <c r="G215" s="400"/>
      <c r="H215" s="400"/>
      <c r="I215" s="400"/>
      <c r="J215" s="367"/>
      <c r="K215" s="367"/>
      <c r="L215" s="263" t="s">
        <v>462</v>
      </c>
      <c r="M215" s="266">
        <v>45890</v>
      </c>
      <c r="N215" s="266"/>
      <c r="O215" s="267"/>
      <c r="P215" s="263">
        <f ca="1">I1-M215</f>
        <v>8</v>
      </c>
      <c r="Q215" s="263"/>
      <c r="R215" s="263"/>
      <c r="S215" s="367"/>
      <c r="T215" s="367"/>
      <c r="U215" s="367"/>
      <c r="V215" s="402"/>
    </row>
    <row r="216" spans="1:22" x14ac:dyDescent="0.35">
      <c r="A216" s="377">
        <v>5</v>
      </c>
      <c r="B216" s="368" t="s">
        <v>686</v>
      </c>
      <c r="C216" s="405" t="s">
        <v>687</v>
      </c>
      <c r="D216" s="408" t="s">
        <v>695</v>
      </c>
      <c r="E216" s="368" t="s">
        <v>696</v>
      </c>
      <c r="F216" s="367" t="s">
        <v>457</v>
      </c>
      <c r="G216" s="400">
        <v>45797</v>
      </c>
      <c r="H216" s="400">
        <f>G216+15</f>
        <v>45812</v>
      </c>
      <c r="I216" s="400">
        <v>45817</v>
      </c>
      <c r="J216" s="368">
        <f>I216-G216</f>
        <v>20</v>
      </c>
      <c r="K216" s="368">
        <f ca="1">I1-H216</f>
        <v>86</v>
      </c>
      <c r="L216" s="263" t="s">
        <v>458</v>
      </c>
      <c r="M216" s="266">
        <v>45817</v>
      </c>
      <c r="N216" s="266">
        <v>45835</v>
      </c>
      <c r="O216" s="267" t="s">
        <v>459</v>
      </c>
      <c r="P216" s="263">
        <f>N216-M216</f>
        <v>18</v>
      </c>
      <c r="Q216" s="263">
        <f ca="1">I1-N216</f>
        <v>63</v>
      </c>
      <c r="R216" s="367"/>
      <c r="S216" s="368" t="s">
        <v>482</v>
      </c>
      <c r="T216" s="368" t="str">
        <f>O216</f>
        <v>CAT - III</v>
      </c>
      <c r="U216" s="368" t="s">
        <v>461</v>
      </c>
      <c r="V216" s="402"/>
    </row>
    <row r="217" spans="1:22" x14ac:dyDescent="0.35">
      <c r="A217" s="404"/>
      <c r="B217" s="401"/>
      <c r="C217" s="406"/>
      <c r="D217" s="409"/>
      <c r="E217" s="401"/>
      <c r="F217" s="367"/>
      <c r="G217" s="400"/>
      <c r="H217" s="400"/>
      <c r="I217" s="400"/>
      <c r="J217" s="401"/>
      <c r="K217" s="401"/>
      <c r="L217" s="263" t="s">
        <v>460</v>
      </c>
      <c r="M217" s="266">
        <v>45856</v>
      </c>
      <c r="N217" s="266">
        <v>45876</v>
      </c>
      <c r="O217" s="267" t="s">
        <v>459</v>
      </c>
      <c r="P217" s="263">
        <f>N217-M217</f>
        <v>20</v>
      </c>
      <c r="Q217" s="263">
        <f>M218-N217</f>
        <v>18</v>
      </c>
      <c r="R217" s="367"/>
      <c r="S217" s="401"/>
      <c r="T217" s="401"/>
      <c r="U217" s="401"/>
      <c r="V217" s="402"/>
    </row>
    <row r="218" spans="1:22" x14ac:dyDescent="0.35">
      <c r="A218" s="378"/>
      <c r="B218" s="369"/>
      <c r="C218" s="407"/>
      <c r="D218" s="410"/>
      <c r="E218" s="369"/>
      <c r="F218" s="263"/>
      <c r="G218" s="284"/>
      <c r="H218" s="284"/>
      <c r="I218" s="284"/>
      <c r="J218" s="369"/>
      <c r="K218" s="369"/>
      <c r="L218" s="263" t="s">
        <v>462</v>
      </c>
      <c r="M218" s="266">
        <v>45894</v>
      </c>
      <c r="N218" s="266"/>
      <c r="O218" s="267"/>
      <c r="P218" s="263">
        <f ca="1">I1-M218</f>
        <v>4</v>
      </c>
      <c r="Q218" s="263"/>
      <c r="R218" s="263"/>
      <c r="S218" s="369"/>
      <c r="T218" s="369"/>
      <c r="U218" s="369"/>
      <c r="V218" s="312"/>
    </row>
    <row r="219" spans="1:22" ht="42" x14ac:dyDescent="0.35">
      <c r="A219" s="518">
        <v>6</v>
      </c>
      <c r="B219" s="512" t="s">
        <v>686</v>
      </c>
      <c r="C219" s="519" t="s">
        <v>687</v>
      </c>
      <c r="D219" s="520" t="s">
        <v>697</v>
      </c>
      <c r="E219" s="512" t="s">
        <v>698</v>
      </c>
      <c r="F219" s="512" t="s">
        <v>457</v>
      </c>
      <c r="G219" s="521">
        <v>45813</v>
      </c>
      <c r="H219" s="521">
        <f>G219+15</f>
        <v>45828</v>
      </c>
      <c r="I219" s="521">
        <f>M219</f>
        <v>45868</v>
      </c>
      <c r="J219" s="512">
        <f>I219-G219</f>
        <v>55</v>
      </c>
      <c r="K219" s="512">
        <f ca="1">I1-H219</f>
        <v>70</v>
      </c>
      <c r="L219" s="512" t="s">
        <v>458</v>
      </c>
      <c r="M219" s="513">
        <v>45868</v>
      </c>
      <c r="N219" s="513">
        <v>45891</v>
      </c>
      <c r="O219" s="514" t="s">
        <v>459</v>
      </c>
      <c r="P219" s="512">
        <f>N219-M219</f>
        <v>23</v>
      </c>
      <c r="Q219" s="512">
        <f ca="1">I1-N219</f>
        <v>7</v>
      </c>
      <c r="R219" s="512"/>
      <c r="S219" s="512" t="s">
        <v>489</v>
      </c>
      <c r="T219" s="512" t="str">
        <f>O219</f>
        <v>CAT - III</v>
      </c>
      <c r="U219" s="512" t="s">
        <v>464</v>
      </c>
      <c r="V219" s="516"/>
    </row>
    <row r="220" spans="1:22" ht="52.5" x14ac:dyDescent="0.35">
      <c r="A220" s="311">
        <v>7</v>
      </c>
      <c r="B220" s="263" t="s">
        <v>686</v>
      </c>
      <c r="C220" s="264" t="s">
        <v>687</v>
      </c>
      <c r="D220" s="265" t="s">
        <v>699</v>
      </c>
      <c r="E220" s="263" t="s">
        <v>700</v>
      </c>
      <c r="F220" s="263" t="s">
        <v>457</v>
      </c>
      <c r="G220" s="284">
        <v>45809</v>
      </c>
      <c r="H220" s="284">
        <f>G220+15</f>
        <v>45824</v>
      </c>
      <c r="I220" s="284">
        <f>M220</f>
        <v>45878</v>
      </c>
      <c r="J220" s="263">
        <f>I220-G220</f>
        <v>69</v>
      </c>
      <c r="K220" s="263">
        <f ca="1">I1-H220</f>
        <v>74</v>
      </c>
      <c r="L220" s="263" t="s">
        <v>458</v>
      </c>
      <c r="M220" s="266">
        <v>45878</v>
      </c>
      <c r="N220" s="266"/>
      <c r="O220" s="267"/>
      <c r="P220" s="263">
        <f ca="1">I1-M220</f>
        <v>20</v>
      </c>
      <c r="Q220" s="263"/>
      <c r="R220" s="263"/>
      <c r="S220" s="263" t="s">
        <v>482</v>
      </c>
      <c r="T220" s="263" t="s">
        <v>458</v>
      </c>
      <c r="U220" s="263" t="s">
        <v>461</v>
      </c>
      <c r="V220" s="312"/>
    </row>
    <row r="221" spans="1:22" ht="42" x14ac:dyDescent="0.35">
      <c r="A221" s="313">
        <v>8</v>
      </c>
      <c r="B221" s="257" t="s">
        <v>686</v>
      </c>
      <c r="C221" s="268" t="s">
        <v>687</v>
      </c>
      <c r="D221" s="269" t="s">
        <v>701</v>
      </c>
      <c r="E221" s="259" t="s">
        <v>702</v>
      </c>
      <c r="F221" s="259" t="s">
        <v>457</v>
      </c>
      <c r="G221" s="283">
        <v>45802</v>
      </c>
      <c r="H221" s="283">
        <f>G221+15</f>
        <v>45817</v>
      </c>
      <c r="I221" s="285"/>
      <c r="J221" s="257">
        <f t="shared" ref="J221:J222" ca="1" si="23">$I$1-G221</f>
        <v>96</v>
      </c>
      <c r="K221" s="259">
        <f ca="1">$I$1-H221</f>
        <v>81</v>
      </c>
      <c r="L221" s="297"/>
      <c r="M221" s="276"/>
      <c r="N221" s="276"/>
      <c r="O221" s="277"/>
      <c r="P221" s="259"/>
      <c r="Q221" s="259"/>
      <c r="R221" s="259"/>
      <c r="S221" s="259"/>
      <c r="T221" s="259"/>
      <c r="U221" s="259"/>
      <c r="V221" s="321"/>
    </row>
    <row r="222" spans="1:22" ht="63" x14ac:dyDescent="0.35">
      <c r="A222" s="313">
        <v>9</v>
      </c>
      <c r="B222" s="257" t="s">
        <v>686</v>
      </c>
      <c r="C222" s="268" t="s">
        <v>687</v>
      </c>
      <c r="D222" s="269" t="s">
        <v>703</v>
      </c>
      <c r="E222" s="259" t="s">
        <v>704</v>
      </c>
      <c r="F222" s="259" t="s">
        <v>457</v>
      </c>
      <c r="G222" s="283">
        <v>45797</v>
      </c>
      <c r="H222" s="283">
        <f>G222+15</f>
        <v>45812</v>
      </c>
      <c r="I222" s="285"/>
      <c r="J222" s="257">
        <f t="shared" ca="1" si="23"/>
        <v>101</v>
      </c>
      <c r="K222" s="259">
        <f ca="1">$I$1-H222</f>
        <v>86</v>
      </c>
      <c r="L222" s="297"/>
      <c r="M222" s="276"/>
      <c r="N222" s="276"/>
      <c r="O222" s="277"/>
      <c r="P222" s="259"/>
      <c r="Q222" s="259"/>
      <c r="R222" s="259"/>
      <c r="S222" s="259"/>
      <c r="T222" s="259"/>
      <c r="U222" s="259"/>
      <c r="V222" s="321"/>
    </row>
    <row r="223" spans="1:22" x14ac:dyDescent="0.35">
      <c r="A223" s="356">
        <v>10</v>
      </c>
      <c r="B223" s="343" t="s">
        <v>686</v>
      </c>
      <c r="C223" s="359" t="s">
        <v>687</v>
      </c>
      <c r="D223" s="359" t="s">
        <v>705</v>
      </c>
      <c r="E223" s="343" t="s">
        <v>706</v>
      </c>
      <c r="F223" s="343" t="s">
        <v>457</v>
      </c>
      <c r="G223" s="348">
        <v>45782</v>
      </c>
      <c r="H223" s="348">
        <f>G223+15</f>
        <v>45797</v>
      </c>
      <c r="I223" s="348">
        <v>45846</v>
      </c>
      <c r="J223" s="343">
        <f>I223-G223</f>
        <v>64</v>
      </c>
      <c r="K223" s="343">
        <f>R223-H223</f>
        <v>78</v>
      </c>
      <c r="L223" s="271" t="s">
        <v>458</v>
      </c>
      <c r="M223" s="274">
        <v>45846</v>
      </c>
      <c r="N223" s="274">
        <v>45848</v>
      </c>
      <c r="O223" s="275" t="s">
        <v>459</v>
      </c>
      <c r="P223" s="271">
        <f t="shared" ref="P223:P229" si="24">N223-M223</f>
        <v>2</v>
      </c>
      <c r="Q223" s="271">
        <f>M224-N223</f>
        <v>6</v>
      </c>
      <c r="R223" s="351">
        <f>N225</f>
        <v>45875</v>
      </c>
      <c r="S223" s="343" t="s">
        <v>397</v>
      </c>
      <c r="T223" s="343" t="str">
        <f>O225</f>
        <v>CAT - I</v>
      </c>
      <c r="U223" s="343" t="s">
        <v>397</v>
      </c>
      <c r="V223" s="346"/>
    </row>
    <row r="224" spans="1:22" x14ac:dyDescent="0.35">
      <c r="A224" s="390"/>
      <c r="B224" s="385"/>
      <c r="C224" s="403"/>
      <c r="D224" s="403"/>
      <c r="E224" s="385"/>
      <c r="F224" s="385"/>
      <c r="G224" s="389"/>
      <c r="H224" s="389"/>
      <c r="I224" s="389"/>
      <c r="J224" s="385"/>
      <c r="K224" s="385"/>
      <c r="L224" s="271" t="s">
        <v>460</v>
      </c>
      <c r="M224" s="274">
        <v>45854</v>
      </c>
      <c r="N224" s="274">
        <v>45861</v>
      </c>
      <c r="O224" s="275" t="s">
        <v>459</v>
      </c>
      <c r="P224" s="271">
        <f t="shared" si="24"/>
        <v>7</v>
      </c>
      <c r="Q224" s="271">
        <f>M225-N224</f>
        <v>12</v>
      </c>
      <c r="R224" s="343"/>
      <c r="S224" s="385"/>
      <c r="T224" s="385"/>
      <c r="U224" s="385"/>
      <c r="V224" s="386"/>
    </row>
    <row r="225" spans="1:22" x14ac:dyDescent="0.35">
      <c r="A225" s="390"/>
      <c r="B225" s="385"/>
      <c r="C225" s="403"/>
      <c r="D225" s="403"/>
      <c r="E225" s="385"/>
      <c r="F225" s="385"/>
      <c r="G225" s="389"/>
      <c r="H225" s="389"/>
      <c r="I225" s="389"/>
      <c r="J225" s="385"/>
      <c r="K225" s="385"/>
      <c r="L225" s="271" t="s">
        <v>462</v>
      </c>
      <c r="M225" s="274">
        <v>45873</v>
      </c>
      <c r="N225" s="274">
        <v>45875</v>
      </c>
      <c r="O225" s="275" t="s">
        <v>472</v>
      </c>
      <c r="P225" s="271">
        <f t="shared" si="24"/>
        <v>2</v>
      </c>
      <c r="Q225" s="271"/>
      <c r="R225" s="343"/>
      <c r="S225" s="385"/>
      <c r="T225" s="385"/>
      <c r="U225" s="385"/>
      <c r="V225" s="316"/>
    </row>
    <row r="226" spans="1:22" x14ac:dyDescent="0.35">
      <c r="A226" s="508">
        <v>11</v>
      </c>
      <c r="B226" s="509" t="s">
        <v>686</v>
      </c>
      <c r="C226" s="522" t="s">
        <v>687</v>
      </c>
      <c r="D226" s="510" t="s">
        <v>707</v>
      </c>
      <c r="E226" s="509" t="s">
        <v>708</v>
      </c>
      <c r="F226" s="509" t="s">
        <v>457</v>
      </c>
      <c r="G226" s="523">
        <v>45809</v>
      </c>
      <c r="H226" s="523">
        <f>G226+15</f>
        <v>45824</v>
      </c>
      <c r="I226" s="523">
        <f>M226</f>
        <v>45859</v>
      </c>
      <c r="J226" s="509">
        <f>I226-G226</f>
        <v>50</v>
      </c>
      <c r="K226" s="509">
        <f ca="1">I1-H226</f>
        <v>74</v>
      </c>
      <c r="L226" s="512" t="s">
        <v>458</v>
      </c>
      <c r="M226" s="513">
        <v>45859</v>
      </c>
      <c r="N226" s="513">
        <v>45875</v>
      </c>
      <c r="O226" s="514" t="s">
        <v>459</v>
      </c>
      <c r="P226" s="512">
        <f t="shared" si="24"/>
        <v>16</v>
      </c>
      <c r="Q226" s="512">
        <f ca="1">I1-N226</f>
        <v>23</v>
      </c>
      <c r="R226" s="512"/>
      <c r="S226" s="509" t="s">
        <v>489</v>
      </c>
      <c r="T226" s="509" t="str">
        <f>O227</f>
        <v>CAT - II</v>
      </c>
      <c r="U226" s="509" t="s">
        <v>464</v>
      </c>
      <c r="V226" s="515"/>
    </row>
    <row r="227" spans="1:22" x14ac:dyDescent="0.35">
      <c r="A227" s="508"/>
      <c r="B227" s="509"/>
      <c r="C227" s="522"/>
      <c r="D227" s="510"/>
      <c r="E227" s="509"/>
      <c r="F227" s="509"/>
      <c r="G227" s="523"/>
      <c r="H227" s="523"/>
      <c r="I227" s="523"/>
      <c r="J227" s="509"/>
      <c r="K227" s="509"/>
      <c r="L227" s="512" t="s">
        <v>458</v>
      </c>
      <c r="M227" s="513">
        <v>45880</v>
      </c>
      <c r="N227" s="513">
        <v>45882</v>
      </c>
      <c r="O227" s="514" t="s">
        <v>481</v>
      </c>
      <c r="P227" s="512">
        <f t="shared" si="24"/>
        <v>2</v>
      </c>
      <c r="Q227" s="512">
        <f ca="1">I1-N227</f>
        <v>16</v>
      </c>
      <c r="R227" s="512"/>
      <c r="S227" s="509"/>
      <c r="T227" s="509"/>
      <c r="U227" s="509"/>
      <c r="V227" s="515"/>
    </row>
    <row r="228" spans="1:22" x14ac:dyDescent="0.35">
      <c r="A228" s="397">
        <v>12</v>
      </c>
      <c r="B228" s="367" t="s">
        <v>686</v>
      </c>
      <c r="C228" s="398" t="s">
        <v>687</v>
      </c>
      <c r="D228" s="399" t="s">
        <v>709</v>
      </c>
      <c r="E228" s="367" t="s">
        <v>710</v>
      </c>
      <c r="F228" s="367" t="s">
        <v>457</v>
      </c>
      <c r="G228" s="400">
        <v>45792</v>
      </c>
      <c r="H228" s="400">
        <f>G228+15</f>
        <v>45807</v>
      </c>
      <c r="I228" s="400">
        <f>M228</f>
        <v>45877</v>
      </c>
      <c r="J228" s="367">
        <f>I228-G228</f>
        <v>85</v>
      </c>
      <c r="K228" s="367">
        <f ca="1">I1-H228</f>
        <v>91</v>
      </c>
      <c r="L228" s="263" t="s">
        <v>458</v>
      </c>
      <c r="M228" s="266">
        <v>45877</v>
      </c>
      <c r="N228" s="266">
        <v>45878</v>
      </c>
      <c r="O228" s="267" t="s">
        <v>459</v>
      </c>
      <c r="P228" s="263">
        <f t="shared" si="24"/>
        <v>1</v>
      </c>
      <c r="Q228" s="263">
        <f ca="1">I1-N228</f>
        <v>20</v>
      </c>
      <c r="R228" s="367"/>
      <c r="S228" s="367" t="s">
        <v>482</v>
      </c>
      <c r="T228" s="367" t="str">
        <f>O228</f>
        <v>CAT - III</v>
      </c>
      <c r="U228" s="367" t="s">
        <v>461</v>
      </c>
      <c r="V228" s="312"/>
    </row>
    <row r="229" spans="1:22" x14ac:dyDescent="0.35">
      <c r="A229" s="397"/>
      <c r="B229" s="367"/>
      <c r="C229" s="398"/>
      <c r="D229" s="399"/>
      <c r="E229" s="367"/>
      <c r="F229" s="367"/>
      <c r="G229" s="400"/>
      <c r="H229" s="400"/>
      <c r="I229" s="400"/>
      <c r="J229" s="367"/>
      <c r="K229" s="367"/>
      <c r="L229" s="263" t="s">
        <v>460</v>
      </c>
      <c r="M229" s="266">
        <v>45880</v>
      </c>
      <c r="N229" s="266">
        <v>45882</v>
      </c>
      <c r="O229" s="267" t="s">
        <v>481</v>
      </c>
      <c r="P229" s="263">
        <f t="shared" si="24"/>
        <v>2</v>
      </c>
      <c r="Q229" s="263"/>
      <c r="R229" s="367"/>
      <c r="S229" s="367"/>
      <c r="T229" s="367"/>
      <c r="U229" s="367"/>
      <c r="V229" s="312"/>
    </row>
    <row r="230" spans="1:22" x14ac:dyDescent="0.35">
      <c r="A230" s="397"/>
      <c r="B230" s="367"/>
      <c r="C230" s="398"/>
      <c r="D230" s="399"/>
      <c r="E230" s="367"/>
      <c r="F230" s="367"/>
      <c r="G230" s="400"/>
      <c r="H230" s="400"/>
      <c r="I230" s="400"/>
      <c r="J230" s="367"/>
      <c r="K230" s="367"/>
      <c r="L230" s="263" t="s">
        <v>462</v>
      </c>
      <c r="M230" s="266">
        <v>45889</v>
      </c>
      <c r="N230" s="266"/>
      <c r="O230" s="267"/>
      <c r="P230" s="263"/>
      <c r="Q230" s="263"/>
      <c r="R230" s="367"/>
      <c r="S230" s="367"/>
      <c r="T230" s="367"/>
      <c r="U230" s="367"/>
      <c r="V230" s="312"/>
    </row>
    <row r="231" spans="1:22" ht="42" x14ac:dyDescent="0.35">
      <c r="A231" s="313">
        <v>13</v>
      </c>
      <c r="B231" s="257" t="s">
        <v>686</v>
      </c>
      <c r="C231" s="268" t="s">
        <v>687</v>
      </c>
      <c r="D231" s="269" t="s">
        <v>711</v>
      </c>
      <c r="E231" s="259" t="s">
        <v>712</v>
      </c>
      <c r="F231" s="259" t="s">
        <v>457</v>
      </c>
      <c r="G231" s="283">
        <v>45784</v>
      </c>
      <c r="H231" s="283">
        <f t="shared" ref="H231:H255" si="25">G231+15</f>
        <v>45799</v>
      </c>
      <c r="I231" s="285"/>
      <c r="J231" s="257">
        <f t="shared" ref="J231:K239" ca="1" si="26">$I$1-G231</f>
        <v>114</v>
      </c>
      <c r="K231" s="259">
        <f t="shared" ca="1" si="26"/>
        <v>99</v>
      </c>
      <c r="L231" s="297"/>
      <c r="M231" s="286"/>
      <c r="N231" s="286"/>
      <c r="O231" s="277"/>
      <c r="P231" s="259"/>
      <c r="Q231" s="259"/>
      <c r="R231" s="259"/>
      <c r="S231" s="259"/>
      <c r="T231" s="259"/>
      <c r="U231" s="259"/>
      <c r="V231" s="321"/>
    </row>
    <row r="232" spans="1:22" ht="42" x14ac:dyDescent="0.35">
      <c r="A232" s="313">
        <v>14</v>
      </c>
      <c r="B232" s="257" t="s">
        <v>686</v>
      </c>
      <c r="C232" s="268" t="s">
        <v>687</v>
      </c>
      <c r="D232" s="269" t="s">
        <v>713</v>
      </c>
      <c r="E232" s="259" t="s">
        <v>714</v>
      </c>
      <c r="F232" s="259" t="s">
        <v>457</v>
      </c>
      <c r="G232" s="283">
        <v>45809</v>
      </c>
      <c r="H232" s="283">
        <f t="shared" si="25"/>
        <v>45824</v>
      </c>
      <c r="I232" s="285"/>
      <c r="J232" s="257">
        <f t="shared" ca="1" si="26"/>
        <v>89</v>
      </c>
      <c r="K232" s="259">
        <f t="shared" ca="1" si="26"/>
        <v>74</v>
      </c>
      <c r="L232" s="297"/>
      <c r="M232" s="276"/>
      <c r="N232" s="276"/>
      <c r="O232" s="277"/>
      <c r="P232" s="259"/>
      <c r="Q232" s="259"/>
      <c r="R232" s="259"/>
      <c r="S232" s="259"/>
      <c r="T232" s="259"/>
      <c r="U232" s="259"/>
      <c r="V232" s="321"/>
    </row>
    <row r="233" spans="1:22" ht="52.5" x14ac:dyDescent="0.35">
      <c r="A233" s="313">
        <v>15</v>
      </c>
      <c r="B233" s="257" t="s">
        <v>686</v>
      </c>
      <c r="C233" s="268" t="s">
        <v>687</v>
      </c>
      <c r="D233" s="269" t="s">
        <v>715</v>
      </c>
      <c r="E233" s="259" t="s">
        <v>716</v>
      </c>
      <c r="F233" s="259" t="s">
        <v>467</v>
      </c>
      <c r="G233" s="283">
        <v>45797</v>
      </c>
      <c r="H233" s="283">
        <f t="shared" si="25"/>
        <v>45812</v>
      </c>
      <c r="I233" s="285"/>
      <c r="J233" s="257">
        <f t="shared" ca="1" si="26"/>
        <v>101</v>
      </c>
      <c r="K233" s="259">
        <f t="shared" ca="1" si="26"/>
        <v>86</v>
      </c>
      <c r="L233" s="297"/>
      <c r="M233" s="276"/>
      <c r="N233" s="276"/>
      <c r="O233" s="277"/>
      <c r="P233" s="259"/>
      <c r="Q233" s="259"/>
      <c r="R233" s="259"/>
      <c r="S233" s="259"/>
      <c r="T233" s="259"/>
      <c r="U233" s="259"/>
      <c r="V233" s="321"/>
    </row>
    <row r="234" spans="1:22" ht="52.5" x14ac:dyDescent="0.35">
      <c r="A234" s="313">
        <v>16</v>
      </c>
      <c r="B234" s="257" t="s">
        <v>686</v>
      </c>
      <c r="C234" s="268" t="s">
        <v>687</v>
      </c>
      <c r="D234" s="269" t="s">
        <v>717</v>
      </c>
      <c r="E234" s="259" t="s">
        <v>718</v>
      </c>
      <c r="F234" s="259" t="s">
        <v>467</v>
      </c>
      <c r="G234" s="283">
        <v>45797</v>
      </c>
      <c r="H234" s="283">
        <f t="shared" si="25"/>
        <v>45812</v>
      </c>
      <c r="I234" s="285"/>
      <c r="J234" s="257">
        <f t="shared" ca="1" si="26"/>
        <v>101</v>
      </c>
      <c r="K234" s="259">
        <f t="shared" ca="1" si="26"/>
        <v>86</v>
      </c>
      <c r="L234" s="297"/>
      <c r="M234" s="276"/>
      <c r="N234" s="276"/>
      <c r="O234" s="277"/>
      <c r="P234" s="259"/>
      <c r="Q234" s="259"/>
      <c r="R234" s="259"/>
      <c r="S234" s="259"/>
      <c r="T234" s="259"/>
      <c r="U234" s="259"/>
      <c r="V234" s="321"/>
    </row>
    <row r="235" spans="1:22" ht="52.5" x14ac:dyDescent="0.35">
      <c r="A235" s="313">
        <v>17</v>
      </c>
      <c r="B235" s="257" t="s">
        <v>686</v>
      </c>
      <c r="C235" s="268" t="s">
        <v>687</v>
      </c>
      <c r="D235" s="269" t="s">
        <v>719</v>
      </c>
      <c r="E235" s="259" t="s">
        <v>720</v>
      </c>
      <c r="F235" s="259" t="s">
        <v>457</v>
      </c>
      <c r="G235" s="283">
        <v>45797</v>
      </c>
      <c r="H235" s="283">
        <f t="shared" si="25"/>
        <v>45812</v>
      </c>
      <c r="I235" s="285"/>
      <c r="J235" s="257">
        <f t="shared" ca="1" si="26"/>
        <v>101</v>
      </c>
      <c r="K235" s="259">
        <f t="shared" ca="1" si="26"/>
        <v>86</v>
      </c>
      <c r="L235" s="297"/>
      <c r="M235" s="276"/>
      <c r="N235" s="276"/>
      <c r="O235" s="277"/>
      <c r="P235" s="259"/>
      <c r="Q235" s="259"/>
      <c r="R235" s="259"/>
      <c r="S235" s="259"/>
      <c r="T235" s="259"/>
      <c r="U235" s="259"/>
      <c r="V235" s="321"/>
    </row>
    <row r="236" spans="1:22" ht="52.5" x14ac:dyDescent="0.35">
      <c r="A236" s="313">
        <v>18</v>
      </c>
      <c r="B236" s="257" t="s">
        <v>686</v>
      </c>
      <c r="C236" s="268" t="s">
        <v>687</v>
      </c>
      <c r="D236" s="269" t="s">
        <v>721</v>
      </c>
      <c r="E236" s="259" t="s">
        <v>722</v>
      </c>
      <c r="F236" s="259" t="s">
        <v>467</v>
      </c>
      <c r="G236" s="283">
        <v>45805</v>
      </c>
      <c r="H236" s="283">
        <f t="shared" si="25"/>
        <v>45820</v>
      </c>
      <c r="I236" s="285"/>
      <c r="J236" s="257">
        <f t="shared" ca="1" si="26"/>
        <v>93</v>
      </c>
      <c r="K236" s="259">
        <f t="shared" ca="1" si="26"/>
        <v>78</v>
      </c>
      <c r="L236" s="297"/>
      <c r="M236" s="276"/>
      <c r="N236" s="276"/>
      <c r="O236" s="277"/>
      <c r="P236" s="259"/>
      <c r="Q236" s="259"/>
      <c r="R236" s="259"/>
      <c r="S236" s="259"/>
      <c r="T236" s="259"/>
      <c r="U236" s="259"/>
      <c r="V236" s="321"/>
    </row>
    <row r="237" spans="1:22" ht="42" x14ac:dyDescent="0.35">
      <c r="A237" s="313">
        <v>19</v>
      </c>
      <c r="B237" s="257" t="s">
        <v>686</v>
      </c>
      <c r="C237" s="268" t="s">
        <v>687</v>
      </c>
      <c r="D237" s="269" t="s">
        <v>723</v>
      </c>
      <c r="E237" s="259" t="s">
        <v>724</v>
      </c>
      <c r="F237" s="259" t="s">
        <v>457</v>
      </c>
      <c r="G237" s="283">
        <v>45805</v>
      </c>
      <c r="H237" s="283">
        <f t="shared" si="25"/>
        <v>45820</v>
      </c>
      <c r="I237" s="285"/>
      <c r="J237" s="257">
        <f t="shared" ca="1" si="26"/>
        <v>93</v>
      </c>
      <c r="K237" s="259">
        <f t="shared" ca="1" si="26"/>
        <v>78</v>
      </c>
      <c r="L237" s="297"/>
      <c r="M237" s="276"/>
      <c r="N237" s="276"/>
      <c r="O237" s="277"/>
      <c r="P237" s="259"/>
      <c r="Q237" s="259"/>
      <c r="R237" s="259"/>
      <c r="S237" s="259"/>
      <c r="T237" s="259"/>
      <c r="U237" s="259"/>
      <c r="V237" s="321"/>
    </row>
    <row r="238" spans="1:22" ht="63" x14ac:dyDescent="0.35">
      <c r="A238" s="313">
        <v>20</v>
      </c>
      <c r="B238" s="257" t="s">
        <v>686</v>
      </c>
      <c r="C238" s="268" t="s">
        <v>687</v>
      </c>
      <c r="D238" s="269" t="s">
        <v>725</v>
      </c>
      <c r="E238" s="259" t="s">
        <v>726</v>
      </c>
      <c r="F238" s="259" t="s">
        <v>467</v>
      </c>
      <c r="G238" s="283">
        <v>45834</v>
      </c>
      <c r="H238" s="283">
        <f t="shared" si="25"/>
        <v>45849</v>
      </c>
      <c r="I238" s="285"/>
      <c r="J238" s="257">
        <f t="shared" ca="1" si="26"/>
        <v>64</v>
      </c>
      <c r="K238" s="259">
        <f t="shared" ca="1" si="26"/>
        <v>49</v>
      </c>
      <c r="L238" s="297"/>
      <c r="M238" s="276"/>
      <c r="N238" s="276"/>
      <c r="O238" s="277"/>
      <c r="P238" s="259"/>
      <c r="Q238" s="259"/>
      <c r="R238" s="259"/>
      <c r="S238" s="259"/>
      <c r="T238" s="259"/>
      <c r="U238" s="259"/>
      <c r="V238" s="321"/>
    </row>
    <row r="239" spans="1:22" ht="52.5" x14ac:dyDescent="0.35">
      <c r="A239" s="313">
        <v>21</v>
      </c>
      <c r="B239" s="257" t="s">
        <v>686</v>
      </c>
      <c r="C239" s="268" t="s">
        <v>687</v>
      </c>
      <c r="D239" s="269" t="s">
        <v>727</v>
      </c>
      <c r="E239" s="259" t="s">
        <v>728</v>
      </c>
      <c r="F239" s="259" t="s">
        <v>457</v>
      </c>
      <c r="G239" s="283">
        <v>45840</v>
      </c>
      <c r="H239" s="283">
        <f t="shared" si="25"/>
        <v>45855</v>
      </c>
      <c r="I239" s="285"/>
      <c r="J239" s="257">
        <f t="shared" ca="1" si="26"/>
        <v>58</v>
      </c>
      <c r="K239" s="259">
        <f t="shared" ca="1" si="26"/>
        <v>43</v>
      </c>
      <c r="L239" s="297"/>
      <c r="M239" s="276"/>
      <c r="N239" s="276"/>
      <c r="O239" s="277"/>
      <c r="P239" s="259"/>
      <c r="Q239" s="259"/>
      <c r="R239" s="259"/>
      <c r="S239" s="259"/>
      <c r="T239" s="259"/>
      <c r="U239" s="259"/>
      <c r="V239" s="321"/>
    </row>
    <row r="240" spans="1:22" ht="52.5" x14ac:dyDescent="0.35">
      <c r="A240" s="315">
        <v>22</v>
      </c>
      <c r="B240" s="271" t="s">
        <v>686</v>
      </c>
      <c r="C240" s="272" t="s">
        <v>687</v>
      </c>
      <c r="D240" s="273" t="s">
        <v>729</v>
      </c>
      <c r="E240" s="271" t="s">
        <v>730</v>
      </c>
      <c r="F240" s="271" t="s">
        <v>467</v>
      </c>
      <c r="G240" s="282">
        <v>45813</v>
      </c>
      <c r="H240" s="282">
        <f t="shared" si="25"/>
        <v>45828</v>
      </c>
      <c r="I240" s="282">
        <v>45854</v>
      </c>
      <c r="J240" s="271">
        <f>I240-G240</f>
        <v>41</v>
      </c>
      <c r="K240" s="271">
        <f>R240-H240</f>
        <v>31</v>
      </c>
      <c r="L240" s="271" t="s">
        <v>458</v>
      </c>
      <c r="M240" s="274">
        <v>45854</v>
      </c>
      <c r="N240" s="274">
        <v>45859</v>
      </c>
      <c r="O240" s="275" t="s">
        <v>511</v>
      </c>
      <c r="P240" s="271">
        <f>N240-M240</f>
        <v>5</v>
      </c>
      <c r="Q240" s="271"/>
      <c r="R240" s="274">
        <f>N240</f>
        <v>45859</v>
      </c>
      <c r="S240" s="271" t="s">
        <v>397</v>
      </c>
      <c r="T240" s="271" t="str">
        <f>O240</f>
        <v xml:space="preserve">CAT -IV </v>
      </c>
      <c r="U240" s="271" t="s">
        <v>397</v>
      </c>
      <c r="V240" s="316"/>
    </row>
    <row r="241" spans="1:22" x14ac:dyDescent="0.35">
      <c r="A241" s="377">
        <v>23</v>
      </c>
      <c r="B241" s="368" t="s">
        <v>686</v>
      </c>
      <c r="C241" s="405" t="s">
        <v>687</v>
      </c>
      <c r="D241" s="408" t="s">
        <v>731</v>
      </c>
      <c r="E241" s="263" t="s">
        <v>732</v>
      </c>
      <c r="F241" s="368" t="s">
        <v>457</v>
      </c>
      <c r="G241" s="383">
        <v>45826</v>
      </c>
      <c r="H241" s="383">
        <f t="shared" si="25"/>
        <v>45841</v>
      </c>
      <c r="I241" s="383">
        <v>45878</v>
      </c>
      <c r="J241" s="368">
        <f>I241-G241</f>
        <v>52</v>
      </c>
      <c r="K241" s="368">
        <f ca="1">I1-H241</f>
        <v>57</v>
      </c>
      <c r="L241" s="263" t="s">
        <v>458</v>
      </c>
      <c r="M241" s="266">
        <v>45878</v>
      </c>
      <c r="N241" s="266">
        <v>45891</v>
      </c>
      <c r="O241" s="267" t="s">
        <v>459</v>
      </c>
      <c r="P241" s="263">
        <f>N241-M241</f>
        <v>13</v>
      </c>
      <c r="Q241" s="263">
        <f>M242-N241</f>
        <v>7</v>
      </c>
      <c r="R241" s="263"/>
      <c r="S241" s="368" t="s">
        <v>482</v>
      </c>
      <c r="T241" s="368" t="str">
        <f>O241</f>
        <v>CAT - III</v>
      </c>
      <c r="U241" s="368" t="s">
        <v>461</v>
      </c>
      <c r="V241" s="524"/>
    </row>
    <row r="242" spans="1:22" x14ac:dyDescent="0.35">
      <c r="A242" s="378"/>
      <c r="B242" s="369"/>
      <c r="C242" s="407"/>
      <c r="D242" s="410"/>
      <c r="E242" s="263"/>
      <c r="F242" s="369"/>
      <c r="G242" s="384"/>
      <c r="H242" s="384"/>
      <c r="I242" s="384"/>
      <c r="J242" s="369"/>
      <c r="K242" s="369"/>
      <c r="L242" s="263" t="s">
        <v>460</v>
      </c>
      <c r="M242" s="266">
        <v>45898</v>
      </c>
      <c r="N242" s="266"/>
      <c r="O242" s="267"/>
      <c r="P242" s="263"/>
      <c r="Q242" s="263"/>
      <c r="R242" s="263"/>
      <c r="S242" s="369"/>
      <c r="T242" s="369"/>
      <c r="U242" s="369"/>
      <c r="V242" s="525"/>
    </row>
    <row r="243" spans="1:22" ht="31.5" x14ac:dyDescent="0.35">
      <c r="A243" s="313">
        <v>24</v>
      </c>
      <c r="B243" s="257" t="s">
        <v>686</v>
      </c>
      <c r="C243" s="268" t="s">
        <v>687</v>
      </c>
      <c r="D243" s="269" t="s">
        <v>733</v>
      </c>
      <c r="E243" s="259" t="s">
        <v>734</v>
      </c>
      <c r="F243" s="259" t="s">
        <v>467</v>
      </c>
      <c r="G243" s="283">
        <v>45853</v>
      </c>
      <c r="H243" s="283">
        <f t="shared" si="25"/>
        <v>45868</v>
      </c>
      <c r="I243" s="285"/>
      <c r="J243" s="257">
        <f t="shared" ref="J243:J245" ca="1" si="27">$I$1-G243</f>
        <v>45</v>
      </c>
      <c r="K243" s="259">
        <f ca="1">$I$1-H243</f>
        <v>30</v>
      </c>
      <c r="L243" s="297"/>
      <c r="M243" s="276"/>
      <c r="N243" s="276"/>
      <c r="O243" s="277"/>
      <c r="P243" s="259"/>
      <c r="Q243" s="259"/>
      <c r="R243" s="259"/>
      <c r="S243" s="259"/>
      <c r="T243" s="259"/>
      <c r="U243" s="259"/>
      <c r="V243" s="321"/>
    </row>
    <row r="244" spans="1:22" ht="52.5" x14ac:dyDescent="0.35">
      <c r="A244" s="313">
        <v>25</v>
      </c>
      <c r="B244" s="257" t="s">
        <v>686</v>
      </c>
      <c r="C244" s="268" t="s">
        <v>687</v>
      </c>
      <c r="D244" s="269" t="s">
        <v>735</v>
      </c>
      <c r="E244" s="259" t="s">
        <v>736</v>
      </c>
      <c r="F244" s="259" t="s">
        <v>467</v>
      </c>
      <c r="G244" s="283">
        <v>45874</v>
      </c>
      <c r="H244" s="283">
        <f t="shared" si="25"/>
        <v>45889</v>
      </c>
      <c r="I244" s="285"/>
      <c r="J244" s="257">
        <f t="shared" ca="1" si="27"/>
        <v>24</v>
      </c>
      <c r="K244" s="259">
        <f ca="1">$I$1-H244</f>
        <v>9</v>
      </c>
      <c r="L244" s="297"/>
      <c r="M244" s="276"/>
      <c r="N244" s="276"/>
      <c r="O244" s="277"/>
      <c r="P244" s="259"/>
      <c r="Q244" s="259"/>
      <c r="R244" s="259"/>
      <c r="S244" s="259"/>
      <c r="T244" s="259"/>
      <c r="U244" s="259"/>
      <c r="V244" s="321"/>
    </row>
    <row r="245" spans="1:22" ht="147" x14ac:dyDescent="0.35">
      <c r="A245" s="313">
        <v>26</v>
      </c>
      <c r="B245" s="257" t="s">
        <v>686</v>
      </c>
      <c r="C245" s="268" t="s">
        <v>687</v>
      </c>
      <c r="D245" s="269" t="s">
        <v>737</v>
      </c>
      <c r="E245" s="259" t="s">
        <v>738</v>
      </c>
      <c r="F245" s="259" t="s">
        <v>467</v>
      </c>
      <c r="G245" s="283">
        <v>45900</v>
      </c>
      <c r="H245" s="283">
        <f t="shared" si="25"/>
        <v>45915</v>
      </c>
      <c r="I245" s="285"/>
      <c r="J245" s="257">
        <f t="shared" ca="1" si="27"/>
        <v>-2</v>
      </c>
      <c r="K245" s="259">
        <f ca="1">$I$1-H245</f>
        <v>-17</v>
      </c>
      <c r="L245" s="297"/>
      <c r="M245" s="276"/>
      <c r="N245" s="276"/>
      <c r="O245" s="277"/>
      <c r="P245" s="259"/>
      <c r="Q245" s="259"/>
      <c r="R245" s="259"/>
      <c r="S245" s="259"/>
      <c r="T245" s="259"/>
      <c r="U245" s="259"/>
      <c r="V245" s="321"/>
    </row>
    <row r="246" spans="1:22" x14ac:dyDescent="0.35">
      <c r="A246" s="526">
        <v>27</v>
      </c>
      <c r="B246" s="527" t="s">
        <v>686</v>
      </c>
      <c r="C246" s="528" t="s">
        <v>687</v>
      </c>
      <c r="D246" s="529" t="s">
        <v>739</v>
      </c>
      <c r="E246" s="527" t="s">
        <v>740</v>
      </c>
      <c r="F246" s="512" t="s">
        <v>457</v>
      </c>
      <c r="G246" s="530">
        <v>45834</v>
      </c>
      <c r="H246" s="530">
        <f t="shared" si="25"/>
        <v>45849</v>
      </c>
      <c r="I246" s="530">
        <f>M246</f>
        <v>45869</v>
      </c>
      <c r="J246" s="512">
        <f>I246-G246</f>
        <v>35</v>
      </c>
      <c r="K246" s="512">
        <f ca="1">I1-H246</f>
        <v>49</v>
      </c>
      <c r="L246" s="512" t="s">
        <v>458</v>
      </c>
      <c r="M246" s="513">
        <v>45869</v>
      </c>
      <c r="N246" s="513">
        <v>45895</v>
      </c>
      <c r="O246" s="514" t="s">
        <v>459</v>
      </c>
      <c r="P246" s="512">
        <f>N246-M246</f>
        <v>26</v>
      </c>
      <c r="Q246" s="512">
        <f ca="1">I1-N246</f>
        <v>3</v>
      </c>
      <c r="R246" s="512"/>
      <c r="S246" s="527" t="s">
        <v>489</v>
      </c>
      <c r="T246" s="527" t="str">
        <f>O246</f>
        <v>CAT - III</v>
      </c>
      <c r="U246" s="527" t="s">
        <v>464</v>
      </c>
      <c r="V246" s="531"/>
    </row>
    <row r="247" spans="1:22" x14ac:dyDescent="0.35">
      <c r="A247" s="532"/>
      <c r="B247" s="533"/>
      <c r="C247" s="534"/>
      <c r="D247" s="535"/>
      <c r="E247" s="533"/>
      <c r="F247" s="512"/>
      <c r="G247" s="536"/>
      <c r="H247" s="536"/>
      <c r="I247" s="536"/>
      <c r="J247" s="512"/>
      <c r="K247" s="512"/>
      <c r="L247" s="512"/>
      <c r="M247" s="513"/>
      <c r="N247" s="513"/>
      <c r="O247" s="514"/>
      <c r="P247" s="512"/>
      <c r="Q247" s="512"/>
      <c r="R247" s="512"/>
      <c r="S247" s="533"/>
      <c r="T247" s="533"/>
      <c r="U247" s="533"/>
      <c r="V247" s="537"/>
    </row>
    <row r="248" spans="1:22" ht="31.5" x14ac:dyDescent="0.35">
      <c r="A248" s="313">
        <v>28</v>
      </c>
      <c r="B248" s="257" t="s">
        <v>686</v>
      </c>
      <c r="C248" s="268" t="s">
        <v>687</v>
      </c>
      <c r="D248" s="269" t="s">
        <v>741</v>
      </c>
      <c r="E248" s="259" t="s">
        <v>742</v>
      </c>
      <c r="F248" s="259" t="s">
        <v>457</v>
      </c>
      <c r="G248" s="283">
        <v>45814</v>
      </c>
      <c r="H248" s="283">
        <f t="shared" si="25"/>
        <v>45829</v>
      </c>
      <c r="I248" s="285"/>
      <c r="J248" s="257">
        <f t="shared" ref="J248:J251" ca="1" si="28">$I$1-G248</f>
        <v>84</v>
      </c>
      <c r="K248" s="259">
        <f ca="1">$I$1-H248</f>
        <v>69</v>
      </c>
      <c r="L248" s="297"/>
      <c r="M248" s="276"/>
      <c r="N248" s="276"/>
      <c r="O248" s="277"/>
      <c r="P248" s="259"/>
      <c r="Q248" s="259"/>
      <c r="R248" s="259"/>
      <c r="S248" s="259"/>
      <c r="T248" s="259"/>
      <c r="U248" s="259"/>
      <c r="V248" s="321"/>
    </row>
    <row r="249" spans="1:22" ht="31.5" x14ac:dyDescent="0.35">
      <c r="A249" s="313">
        <v>29</v>
      </c>
      <c r="B249" s="257" t="s">
        <v>686</v>
      </c>
      <c r="C249" s="268" t="s">
        <v>687</v>
      </c>
      <c r="D249" s="269" t="s">
        <v>743</v>
      </c>
      <c r="E249" s="259" t="s">
        <v>744</v>
      </c>
      <c r="F249" s="259" t="s">
        <v>457</v>
      </c>
      <c r="G249" s="283">
        <v>45814</v>
      </c>
      <c r="H249" s="283">
        <f t="shared" si="25"/>
        <v>45829</v>
      </c>
      <c r="I249" s="285"/>
      <c r="J249" s="257">
        <f t="shared" ca="1" si="28"/>
        <v>84</v>
      </c>
      <c r="K249" s="259">
        <f ca="1">$I$1-H249</f>
        <v>69</v>
      </c>
      <c r="L249" s="297"/>
      <c r="M249" s="276"/>
      <c r="N249" s="276"/>
      <c r="O249" s="277"/>
      <c r="P249" s="259"/>
      <c r="Q249" s="259"/>
      <c r="R249" s="259"/>
      <c r="S249" s="259"/>
      <c r="T249" s="259"/>
      <c r="U249" s="259"/>
      <c r="V249" s="321"/>
    </row>
    <row r="250" spans="1:22" ht="52.5" x14ac:dyDescent="0.35">
      <c r="A250" s="313">
        <v>30</v>
      </c>
      <c r="B250" s="257" t="s">
        <v>686</v>
      </c>
      <c r="C250" s="268" t="s">
        <v>687</v>
      </c>
      <c r="D250" s="269" t="s">
        <v>745</v>
      </c>
      <c r="E250" s="259" t="s">
        <v>746</v>
      </c>
      <c r="F250" s="259" t="s">
        <v>457</v>
      </c>
      <c r="G250" s="283">
        <v>45826</v>
      </c>
      <c r="H250" s="283">
        <f t="shared" si="25"/>
        <v>45841</v>
      </c>
      <c r="I250" s="285"/>
      <c r="J250" s="257">
        <f t="shared" ca="1" si="28"/>
        <v>72</v>
      </c>
      <c r="K250" s="259">
        <f ca="1">$I$1-H250</f>
        <v>57</v>
      </c>
      <c r="L250" s="297"/>
      <c r="M250" s="276"/>
      <c r="N250" s="276"/>
      <c r="O250" s="277"/>
      <c r="P250" s="259"/>
      <c r="Q250" s="259"/>
      <c r="R250" s="259"/>
      <c r="S250" s="259"/>
      <c r="T250" s="259"/>
      <c r="U250" s="259"/>
      <c r="V250" s="321"/>
    </row>
    <row r="251" spans="1:22" ht="42" x14ac:dyDescent="0.35">
      <c r="A251" s="313">
        <v>31</v>
      </c>
      <c r="B251" s="257" t="s">
        <v>686</v>
      </c>
      <c r="C251" s="268" t="s">
        <v>687</v>
      </c>
      <c r="D251" s="269" t="s">
        <v>747</v>
      </c>
      <c r="E251" s="259" t="s">
        <v>748</v>
      </c>
      <c r="F251" s="259" t="s">
        <v>457</v>
      </c>
      <c r="G251" s="283">
        <v>45834</v>
      </c>
      <c r="H251" s="283">
        <f t="shared" si="25"/>
        <v>45849</v>
      </c>
      <c r="I251" s="285"/>
      <c r="J251" s="257">
        <f t="shared" ca="1" si="28"/>
        <v>64</v>
      </c>
      <c r="K251" s="259">
        <f ca="1">$I$1-H251</f>
        <v>49</v>
      </c>
      <c r="L251" s="297"/>
      <c r="M251" s="276"/>
      <c r="N251" s="276"/>
      <c r="O251" s="277"/>
      <c r="P251" s="259"/>
      <c r="Q251" s="259"/>
      <c r="R251" s="259"/>
      <c r="S251" s="259"/>
      <c r="T251" s="259"/>
      <c r="U251" s="259"/>
      <c r="V251" s="321"/>
    </row>
    <row r="252" spans="1:22" x14ac:dyDescent="0.35">
      <c r="A252" s="526">
        <v>32</v>
      </c>
      <c r="B252" s="527" t="s">
        <v>686</v>
      </c>
      <c r="C252" s="538" t="s">
        <v>687</v>
      </c>
      <c r="D252" s="529" t="s">
        <v>749</v>
      </c>
      <c r="E252" s="527" t="s">
        <v>750</v>
      </c>
      <c r="F252" s="527" t="s">
        <v>457</v>
      </c>
      <c r="G252" s="530">
        <v>45848</v>
      </c>
      <c r="H252" s="530">
        <f t="shared" si="25"/>
        <v>45863</v>
      </c>
      <c r="I252" s="530">
        <f>M252</f>
        <v>45869</v>
      </c>
      <c r="J252" s="527">
        <f>I252-G252</f>
        <v>21</v>
      </c>
      <c r="K252" s="527">
        <f ca="1">I1-H252</f>
        <v>35</v>
      </c>
      <c r="L252" s="512" t="s">
        <v>458</v>
      </c>
      <c r="M252" s="513">
        <v>45869</v>
      </c>
      <c r="N252" s="513">
        <v>45889</v>
      </c>
      <c r="O252" s="514"/>
      <c r="P252" s="512">
        <f ca="1">I1-M252</f>
        <v>29</v>
      </c>
      <c r="Q252" s="512">
        <f ca="1">I1-M253</f>
        <v>3</v>
      </c>
      <c r="R252" s="512"/>
      <c r="S252" s="527" t="s">
        <v>482</v>
      </c>
      <c r="T252" s="527" t="s">
        <v>458</v>
      </c>
      <c r="U252" s="527" t="s">
        <v>461</v>
      </c>
      <c r="V252" s="531"/>
    </row>
    <row r="253" spans="1:22" x14ac:dyDescent="0.35">
      <c r="A253" s="532"/>
      <c r="B253" s="533"/>
      <c r="C253" s="539"/>
      <c r="D253" s="535"/>
      <c r="E253" s="533"/>
      <c r="F253" s="533"/>
      <c r="G253" s="536"/>
      <c r="H253" s="536"/>
      <c r="I253" s="536"/>
      <c r="J253" s="533"/>
      <c r="K253" s="533"/>
      <c r="L253" s="512" t="s">
        <v>460</v>
      </c>
      <c r="M253" s="513">
        <v>45895</v>
      </c>
      <c r="N253" s="513">
        <v>45897</v>
      </c>
      <c r="O253" s="514"/>
      <c r="P253" s="512">
        <f>N253-M253</f>
        <v>2</v>
      </c>
      <c r="Q253" s="512"/>
      <c r="R253" s="512"/>
      <c r="S253" s="533"/>
      <c r="T253" s="533"/>
      <c r="U253" s="533"/>
      <c r="V253" s="537"/>
    </row>
    <row r="254" spans="1:22" ht="31.5" x14ac:dyDescent="0.35">
      <c r="A254" s="313">
        <f>A252+1</f>
        <v>33</v>
      </c>
      <c r="B254" s="257" t="s">
        <v>686</v>
      </c>
      <c r="C254" s="268" t="s">
        <v>687</v>
      </c>
      <c r="D254" s="269" t="s">
        <v>751</v>
      </c>
      <c r="E254" s="259" t="s">
        <v>752</v>
      </c>
      <c r="F254" s="259" t="s">
        <v>457</v>
      </c>
      <c r="G254" s="283">
        <v>45868</v>
      </c>
      <c r="H254" s="283">
        <f t="shared" si="25"/>
        <v>45883</v>
      </c>
      <c r="I254" s="285"/>
      <c r="J254" s="257">
        <f t="shared" ref="J254" ca="1" si="29">$I$1-G254</f>
        <v>30</v>
      </c>
      <c r="K254" s="259">
        <f ca="1">$I$1-H254</f>
        <v>15</v>
      </c>
      <c r="L254" s="297"/>
      <c r="M254" s="276"/>
      <c r="N254" s="276"/>
      <c r="O254" s="277"/>
      <c r="P254" s="259"/>
      <c r="Q254" s="259"/>
      <c r="R254" s="259"/>
      <c r="S254" s="259"/>
      <c r="T254" s="259"/>
      <c r="U254" s="259"/>
      <c r="V254" s="321"/>
    </row>
    <row r="255" spans="1:22" x14ac:dyDescent="0.35">
      <c r="A255" s="356">
        <f t="shared" ref="A255:A288" si="30">A254+1</f>
        <v>34</v>
      </c>
      <c r="B255" s="343" t="s">
        <v>686</v>
      </c>
      <c r="C255" s="359" t="s">
        <v>687</v>
      </c>
      <c r="D255" s="362" t="s">
        <v>753</v>
      </c>
      <c r="E255" s="343" t="s">
        <v>754</v>
      </c>
      <c r="F255" s="343" t="s">
        <v>457</v>
      </c>
      <c r="G255" s="393">
        <v>45797</v>
      </c>
      <c r="H255" s="393">
        <f t="shared" si="25"/>
        <v>45812</v>
      </c>
      <c r="I255" s="393">
        <f>M255</f>
        <v>45790</v>
      </c>
      <c r="J255" s="343">
        <f>I255-G255</f>
        <v>-7</v>
      </c>
      <c r="K255" s="343">
        <f>R255-H255</f>
        <v>63</v>
      </c>
      <c r="L255" s="271" t="s">
        <v>458</v>
      </c>
      <c r="M255" s="274">
        <v>45790</v>
      </c>
      <c r="N255" s="274">
        <v>45812</v>
      </c>
      <c r="O255" s="275" t="s">
        <v>459</v>
      </c>
      <c r="P255" s="271">
        <f>N255-M255</f>
        <v>22</v>
      </c>
      <c r="Q255" s="271">
        <f>M256-N255</f>
        <v>12</v>
      </c>
      <c r="R255" s="351">
        <f>N257</f>
        <v>45875</v>
      </c>
      <c r="S255" s="343" t="s">
        <v>397</v>
      </c>
      <c r="T255" s="343" t="str">
        <f>O257</f>
        <v>CAT - I</v>
      </c>
      <c r="U255" s="343" t="s">
        <v>397</v>
      </c>
      <c r="V255" s="346"/>
    </row>
    <row r="256" spans="1:22" x14ac:dyDescent="0.35">
      <c r="A256" s="390"/>
      <c r="B256" s="385"/>
      <c r="C256" s="395"/>
      <c r="D256" s="396"/>
      <c r="E256" s="385"/>
      <c r="F256" s="385"/>
      <c r="G256" s="394"/>
      <c r="H256" s="394"/>
      <c r="I256" s="394"/>
      <c r="J256" s="385"/>
      <c r="K256" s="385"/>
      <c r="L256" s="271" t="s">
        <v>460</v>
      </c>
      <c r="M256" s="274">
        <v>45824</v>
      </c>
      <c r="N256" s="274">
        <v>45842</v>
      </c>
      <c r="O256" s="275" t="s">
        <v>481</v>
      </c>
      <c r="P256" s="271">
        <f>N256-M256</f>
        <v>18</v>
      </c>
      <c r="Q256" s="271">
        <f>M257-N256</f>
        <v>18</v>
      </c>
      <c r="R256" s="343"/>
      <c r="S256" s="385"/>
      <c r="T256" s="385"/>
      <c r="U256" s="385"/>
      <c r="V256" s="386"/>
    </row>
    <row r="257" spans="1:22" x14ac:dyDescent="0.35">
      <c r="A257" s="390"/>
      <c r="B257" s="385"/>
      <c r="C257" s="395"/>
      <c r="D257" s="396"/>
      <c r="E257" s="385"/>
      <c r="F257" s="385"/>
      <c r="G257" s="394"/>
      <c r="H257" s="394"/>
      <c r="I257" s="394"/>
      <c r="J257" s="385"/>
      <c r="K257" s="385"/>
      <c r="L257" s="271" t="s">
        <v>462</v>
      </c>
      <c r="M257" s="274">
        <v>45860</v>
      </c>
      <c r="N257" s="274">
        <v>45875</v>
      </c>
      <c r="O257" s="275" t="s">
        <v>472</v>
      </c>
      <c r="P257" s="271">
        <f>N257-M257</f>
        <v>15</v>
      </c>
      <c r="Q257" s="271"/>
      <c r="R257" s="343"/>
      <c r="S257" s="385"/>
      <c r="T257" s="385"/>
      <c r="U257" s="385"/>
      <c r="V257" s="386"/>
    </row>
    <row r="258" spans="1:22" x14ac:dyDescent="0.35">
      <c r="A258" s="356">
        <f>A255+1</f>
        <v>35</v>
      </c>
      <c r="B258" s="343" t="s">
        <v>686</v>
      </c>
      <c r="C258" s="391" t="s">
        <v>755</v>
      </c>
      <c r="D258" s="391" t="s">
        <v>756</v>
      </c>
      <c r="E258" s="343" t="s">
        <v>757</v>
      </c>
      <c r="F258" s="343" t="s">
        <v>457</v>
      </c>
      <c r="G258" s="348">
        <v>45826</v>
      </c>
      <c r="H258" s="348">
        <f>G258+15</f>
        <v>45841</v>
      </c>
      <c r="I258" s="348">
        <v>45804</v>
      </c>
      <c r="J258" s="343">
        <f>I258-G258</f>
        <v>-22</v>
      </c>
      <c r="K258" s="343">
        <f>R258-H258</f>
        <v>35</v>
      </c>
      <c r="L258" s="271" t="s">
        <v>458</v>
      </c>
      <c r="M258" s="274">
        <v>45804</v>
      </c>
      <c r="N258" s="274">
        <v>45847</v>
      </c>
      <c r="O258" s="275" t="s">
        <v>459</v>
      </c>
      <c r="P258" s="271">
        <f>N258-M258</f>
        <v>43</v>
      </c>
      <c r="Q258" s="271">
        <f>M259-N258</f>
        <v>8</v>
      </c>
      <c r="R258" s="351">
        <f>N261</f>
        <v>45876</v>
      </c>
      <c r="S258" s="343" t="s">
        <v>397</v>
      </c>
      <c r="T258" s="343" t="str">
        <f>O261</f>
        <v>CAT - I</v>
      </c>
      <c r="U258" s="343" t="str">
        <f>S258</f>
        <v>Approved</v>
      </c>
      <c r="V258" s="346"/>
    </row>
    <row r="259" spans="1:22" x14ac:dyDescent="0.35">
      <c r="A259" s="390"/>
      <c r="B259" s="385"/>
      <c r="C259" s="385"/>
      <c r="D259" s="392"/>
      <c r="E259" s="385"/>
      <c r="F259" s="385"/>
      <c r="G259" s="389"/>
      <c r="H259" s="389"/>
      <c r="I259" s="389"/>
      <c r="J259" s="385"/>
      <c r="K259" s="385"/>
      <c r="L259" s="271" t="s">
        <v>460</v>
      </c>
      <c r="M259" s="274">
        <v>45855</v>
      </c>
      <c r="N259" s="274">
        <v>45861</v>
      </c>
      <c r="O259" s="275" t="s">
        <v>459</v>
      </c>
      <c r="P259" s="271">
        <f>N259-M259</f>
        <v>6</v>
      </c>
      <c r="Q259" s="271">
        <f>M260-N259</f>
        <v>7</v>
      </c>
      <c r="R259" s="343"/>
      <c r="S259" s="385"/>
      <c r="T259" s="385"/>
      <c r="U259" s="385"/>
      <c r="V259" s="386"/>
    </row>
    <row r="260" spans="1:22" x14ac:dyDescent="0.35">
      <c r="A260" s="390"/>
      <c r="B260" s="385"/>
      <c r="C260" s="385"/>
      <c r="D260" s="392"/>
      <c r="E260" s="385"/>
      <c r="F260" s="385"/>
      <c r="G260" s="389"/>
      <c r="H260" s="389"/>
      <c r="I260" s="389"/>
      <c r="J260" s="385"/>
      <c r="K260" s="385"/>
      <c r="L260" s="271" t="s">
        <v>462</v>
      </c>
      <c r="M260" s="274">
        <v>45868</v>
      </c>
      <c r="N260" s="274"/>
      <c r="O260" s="275"/>
      <c r="P260" s="271"/>
      <c r="Q260" s="271"/>
      <c r="R260" s="343"/>
      <c r="S260" s="385"/>
      <c r="T260" s="385"/>
      <c r="U260" s="385"/>
      <c r="V260" s="386"/>
    </row>
    <row r="261" spans="1:22" x14ac:dyDescent="0.35">
      <c r="A261" s="390"/>
      <c r="B261" s="385"/>
      <c r="C261" s="385"/>
      <c r="D261" s="392"/>
      <c r="E261" s="385"/>
      <c r="F261" s="385"/>
      <c r="G261" s="389"/>
      <c r="H261" s="389"/>
      <c r="I261" s="389"/>
      <c r="J261" s="385"/>
      <c r="K261" s="385"/>
      <c r="L261" s="271" t="s">
        <v>462</v>
      </c>
      <c r="M261" s="274">
        <v>45875</v>
      </c>
      <c r="N261" s="274">
        <v>45876</v>
      </c>
      <c r="O261" s="275" t="s">
        <v>472</v>
      </c>
      <c r="P261" s="271">
        <f>N261-M261</f>
        <v>1</v>
      </c>
      <c r="Q261" s="271"/>
      <c r="R261" s="343"/>
      <c r="S261" s="385"/>
      <c r="T261" s="385"/>
      <c r="U261" s="385"/>
      <c r="V261" s="386"/>
    </row>
    <row r="262" spans="1:22" x14ac:dyDescent="0.35">
      <c r="A262" s="313">
        <f>A258+1</f>
        <v>36</v>
      </c>
      <c r="B262" s="257" t="s">
        <v>686</v>
      </c>
      <c r="C262" s="268" t="s">
        <v>755</v>
      </c>
      <c r="D262" s="269" t="s">
        <v>758</v>
      </c>
      <c r="E262" s="259" t="s">
        <v>759</v>
      </c>
      <c r="F262" s="259" t="s">
        <v>467</v>
      </c>
      <c r="G262" s="283">
        <v>45826</v>
      </c>
      <c r="H262" s="283">
        <f t="shared" ref="H262:H279" si="31">G262+15</f>
        <v>45841</v>
      </c>
      <c r="I262" s="283"/>
      <c r="J262" s="257">
        <f t="shared" ref="J262" ca="1" si="32">$I$1-G262</f>
        <v>72</v>
      </c>
      <c r="K262" s="259">
        <f ca="1">$I$1-H262</f>
        <v>57</v>
      </c>
      <c r="L262" s="297"/>
      <c r="M262" s="276"/>
      <c r="N262" s="276"/>
      <c r="O262" s="277"/>
      <c r="P262" s="259"/>
      <c r="Q262" s="259"/>
      <c r="R262" s="259"/>
      <c r="S262" s="259"/>
      <c r="T262" s="259"/>
      <c r="U262" s="259"/>
      <c r="V262" s="321"/>
    </row>
    <row r="263" spans="1:22" x14ac:dyDescent="0.35">
      <c r="A263" s="377">
        <f t="shared" si="30"/>
        <v>37</v>
      </c>
      <c r="B263" s="368" t="s">
        <v>686</v>
      </c>
      <c r="C263" s="387" t="s">
        <v>755</v>
      </c>
      <c r="D263" s="381" t="s">
        <v>760</v>
      </c>
      <c r="E263" s="368" t="s">
        <v>761</v>
      </c>
      <c r="F263" s="368" t="s">
        <v>457</v>
      </c>
      <c r="G263" s="383">
        <f>G213</f>
        <v>45797</v>
      </c>
      <c r="H263" s="383">
        <f t="shared" si="31"/>
        <v>45812</v>
      </c>
      <c r="I263" s="383">
        <v>45817</v>
      </c>
      <c r="J263" s="368">
        <f>I263-G263</f>
        <v>20</v>
      </c>
      <c r="K263" s="368">
        <f ca="1">I1-H263</f>
        <v>86</v>
      </c>
      <c r="L263" s="263" t="s">
        <v>458</v>
      </c>
      <c r="M263" s="266">
        <v>45817</v>
      </c>
      <c r="N263" s="266">
        <v>45828</v>
      </c>
      <c r="O263" s="267" t="s">
        <v>459</v>
      </c>
      <c r="P263" s="263">
        <f>N263-M263</f>
        <v>11</v>
      </c>
      <c r="Q263" s="263">
        <f ca="1">I1-N263</f>
        <v>70</v>
      </c>
      <c r="R263" s="263"/>
      <c r="S263" s="368" t="s">
        <v>482</v>
      </c>
      <c r="T263" s="368" t="str">
        <f>O263</f>
        <v>CAT - III</v>
      </c>
      <c r="U263" s="368" t="s">
        <v>461</v>
      </c>
      <c r="V263" s="312"/>
    </row>
    <row r="264" spans="1:22" x14ac:dyDescent="0.35">
      <c r="A264" s="378"/>
      <c r="B264" s="369"/>
      <c r="C264" s="388"/>
      <c r="D264" s="382"/>
      <c r="E264" s="369"/>
      <c r="F264" s="369"/>
      <c r="G264" s="384"/>
      <c r="H264" s="384"/>
      <c r="I264" s="384"/>
      <c r="J264" s="369"/>
      <c r="K264" s="369"/>
      <c r="L264" s="263" t="s">
        <v>460</v>
      </c>
      <c r="M264" s="266">
        <v>45894</v>
      </c>
      <c r="N264" s="266"/>
      <c r="O264" s="267"/>
      <c r="P264" s="263"/>
      <c r="Q264" s="263"/>
      <c r="R264" s="330"/>
      <c r="S264" s="369"/>
      <c r="T264" s="369"/>
      <c r="U264" s="369"/>
      <c r="V264" s="312"/>
    </row>
    <row r="265" spans="1:22" x14ac:dyDescent="0.35">
      <c r="A265" s="377">
        <f>A263+1</f>
        <v>38</v>
      </c>
      <c r="B265" s="368" t="s">
        <v>686</v>
      </c>
      <c r="C265" s="379" t="s">
        <v>755</v>
      </c>
      <c r="D265" s="381" t="s">
        <v>762</v>
      </c>
      <c r="E265" s="368" t="s">
        <v>763</v>
      </c>
      <c r="F265" s="263" t="s">
        <v>457</v>
      </c>
      <c r="G265" s="284">
        <f>G216</f>
        <v>45797</v>
      </c>
      <c r="H265" s="284">
        <f t="shared" si="31"/>
        <v>45812</v>
      </c>
      <c r="I265" s="284">
        <v>45817</v>
      </c>
      <c r="J265" s="368">
        <f>I265-G265</f>
        <v>20</v>
      </c>
      <c r="K265" s="368">
        <f ca="1">I1-H265</f>
        <v>86</v>
      </c>
      <c r="L265" s="263" t="s">
        <v>458</v>
      </c>
      <c r="M265" s="266">
        <v>45817</v>
      </c>
      <c r="N265" s="266">
        <v>45820</v>
      </c>
      <c r="O265" s="267" t="s">
        <v>459</v>
      </c>
      <c r="P265" s="263">
        <f>N265-M265</f>
        <v>3</v>
      </c>
      <c r="Q265" s="263">
        <f ca="1">I1-N265</f>
        <v>78</v>
      </c>
      <c r="R265" s="368"/>
      <c r="S265" s="368" t="s">
        <v>482</v>
      </c>
      <c r="T265" s="368" t="str">
        <f>O265</f>
        <v>CAT - III</v>
      </c>
      <c r="U265" s="368" t="s">
        <v>461</v>
      </c>
      <c r="V265" s="312"/>
    </row>
    <row r="266" spans="1:22" x14ac:dyDescent="0.35">
      <c r="A266" s="378"/>
      <c r="B266" s="369"/>
      <c r="C266" s="380"/>
      <c r="D266" s="382"/>
      <c r="E266" s="369"/>
      <c r="F266" s="263"/>
      <c r="G266" s="284"/>
      <c r="H266" s="284"/>
      <c r="I266" s="284"/>
      <c r="J266" s="369"/>
      <c r="K266" s="369"/>
      <c r="L266" s="263" t="s">
        <v>460</v>
      </c>
      <c r="M266" s="266">
        <v>45894</v>
      </c>
      <c r="N266" s="266"/>
      <c r="O266" s="267"/>
      <c r="P266" s="263"/>
      <c r="Q266" s="263"/>
      <c r="R266" s="369"/>
      <c r="S266" s="369"/>
      <c r="T266" s="369"/>
      <c r="U266" s="369"/>
      <c r="V266" s="312"/>
    </row>
    <row r="267" spans="1:22" ht="21" x14ac:dyDescent="0.35">
      <c r="A267" s="313">
        <f>A265+1</f>
        <v>39</v>
      </c>
      <c r="B267" s="257" t="s">
        <v>686</v>
      </c>
      <c r="C267" s="268" t="s">
        <v>755</v>
      </c>
      <c r="D267" s="269" t="s">
        <v>764</v>
      </c>
      <c r="E267" s="259" t="s">
        <v>765</v>
      </c>
      <c r="F267" s="259" t="s">
        <v>457</v>
      </c>
      <c r="G267" s="283">
        <f>G219</f>
        <v>45813</v>
      </c>
      <c r="H267" s="283">
        <f t="shared" si="31"/>
        <v>45828</v>
      </c>
      <c r="I267" s="285"/>
      <c r="J267" s="257">
        <f t="shared" ref="J267:J271" ca="1" si="33">$I$1-G267</f>
        <v>85</v>
      </c>
      <c r="K267" s="259">
        <f ca="1">$I$1-H267</f>
        <v>70</v>
      </c>
      <c r="L267" s="297"/>
      <c r="M267" s="276"/>
      <c r="N267" s="276"/>
      <c r="O267" s="277"/>
      <c r="P267" s="259"/>
      <c r="Q267" s="259"/>
      <c r="R267" s="259"/>
      <c r="S267" s="259"/>
      <c r="T267" s="259"/>
      <c r="U267" s="259"/>
      <c r="V267" s="321"/>
    </row>
    <row r="268" spans="1:22" ht="31.5" x14ac:dyDescent="0.35">
      <c r="A268" s="313">
        <f t="shared" si="30"/>
        <v>40</v>
      </c>
      <c r="B268" s="257" t="s">
        <v>686</v>
      </c>
      <c r="C268" s="268" t="s">
        <v>755</v>
      </c>
      <c r="D268" s="269" t="s">
        <v>766</v>
      </c>
      <c r="E268" s="259" t="s">
        <v>767</v>
      </c>
      <c r="F268" s="259" t="s">
        <v>467</v>
      </c>
      <c r="G268" s="283">
        <f>G221</f>
        <v>45802</v>
      </c>
      <c r="H268" s="283">
        <f t="shared" si="31"/>
        <v>45817</v>
      </c>
      <c r="I268" s="285"/>
      <c r="J268" s="257">
        <f t="shared" ca="1" si="33"/>
        <v>96</v>
      </c>
      <c r="K268" s="259">
        <f ca="1">$I$1-H268</f>
        <v>81</v>
      </c>
      <c r="L268" s="297"/>
      <c r="M268" s="276"/>
      <c r="N268" s="276"/>
      <c r="O268" s="277"/>
      <c r="P268" s="259"/>
      <c r="Q268" s="259"/>
      <c r="R268" s="259"/>
      <c r="S268" s="259"/>
      <c r="T268" s="259"/>
      <c r="U268" s="259"/>
      <c r="V268" s="321"/>
    </row>
    <row r="269" spans="1:22" ht="31.5" x14ac:dyDescent="0.35">
      <c r="A269" s="313">
        <f t="shared" si="30"/>
        <v>41</v>
      </c>
      <c r="B269" s="257" t="s">
        <v>686</v>
      </c>
      <c r="C269" s="268" t="s">
        <v>755</v>
      </c>
      <c r="D269" s="269" t="s">
        <v>768</v>
      </c>
      <c r="E269" s="259" t="s">
        <v>769</v>
      </c>
      <c r="F269" s="259" t="s">
        <v>467</v>
      </c>
      <c r="G269" s="283">
        <f>G222</f>
        <v>45797</v>
      </c>
      <c r="H269" s="283">
        <f t="shared" si="31"/>
        <v>45812</v>
      </c>
      <c r="I269" s="285"/>
      <c r="J269" s="257">
        <f t="shared" ca="1" si="33"/>
        <v>101</v>
      </c>
      <c r="K269" s="259">
        <f ca="1">$I$1-H269</f>
        <v>86</v>
      </c>
      <c r="L269" s="297"/>
      <c r="M269" s="276"/>
      <c r="N269" s="276"/>
      <c r="O269" s="277"/>
      <c r="P269" s="259"/>
      <c r="Q269" s="259"/>
      <c r="R269" s="259"/>
      <c r="S269" s="259"/>
      <c r="T269" s="259"/>
      <c r="U269" s="259"/>
      <c r="V269" s="321"/>
    </row>
    <row r="270" spans="1:22" ht="42" x14ac:dyDescent="0.35">
      <c r="A270" s="313">
        <f t="shared" si="30"/>
        <v>42</v>
      </c>
      <c r="B270" s="257" t="s">
        <v>686</v>
      </c>
      <c r="C270" s="268" t="s">
        <v>755</v>
      </c>
      <c r="D270" s="269" t="s">
        <v>770</v>
      </c>
      <c r="E270" s="259" t="s">
        <v>771</v>
      </c>
      <c r="F270" s="259" t="s">
        <v>457</v>
      </c>
      <c r="G270" s="283">
        <f>G223</f>
        <v>45782</v>
      </c>
      <c r="H270" s="283">
        <f t="shared" si="31"/>
        <v>45797</v>
      </c>
      <c r="I270" s="285"/>
      <c r="J270" s="257">
        <f t="shared" ca="1" si="33"/>
        <v>116</v>
      </c>
      <c r="K270" s="259">
        <f ca="1">$I$1-H270</f>
        <v>101</v>
      </c>
      <c r="L270" s="297"/>
      <c r="M270" s="276"/>
      <c r="N270" s="276"/>
      <c r="O270" s="277"/>
      <c r="P270" s="259"/>
      <c r="Q270" s="259"/>
      <c r="R270" s="259"/>
      <c r="S270" s="259"/>
      <c r="T270" s="259"/>
      <c r="U270" s="259"/>
      <c r="V270" s="321"/>
    </row>
    <row r="271" spans="1:22" ht="21" x14ac:dyDescent="0.35">
      <c r="A271" s="313">
        <f t="shared" si="30"/>
        <v>43</v>
      </c>
      <c r="B271" s="257" t="s">
        <v>686</v>
      </c>
      <c r="C271" s="268" t="s">
        <v>755</v>
      </c>
      <c r="D271" s="269" t="s">
        <v>772</v>
      </c>
      <c r="E271" s="259" t="s">
        <v>773</v>
      </c>
      <c r="F271" s="259" t="s">
        <v>457</v>
      </c>
      <c r="G271" s="283">
        <f>G226</f>
        <v>45809</v>
      </c>
      <c r="H271" s="283">
        <f t="shared" si="31"/>
        <v>45824</v>
      </c>
      <c r="I271" s="285"/>
      <c r="J271" s="257">
        <f t="shared" ca="1" si="33"/>
        <v>89</v>
      </c>
      <c r="K271" s="259">
        <f ca="1">$I$1-H271</f>
        <v>74</v>
      </c>
      <c r="L271" s="297"/>
      <c r="M271" s="276"/>
      <c r="N271" s="276"/>
      <c r="O271" s="277"/>
      <c r="P271" s="259"/>
      <c r="Q271" s="259"/>
      <c r="R271" s="259"/>
      <c r="S271" s="259"/>
      <c r="T271" s="259"/>
      <c r="U271" s="259"/>
      <c r="V271" s="321"/>
    </row>
    <row r="272" spans="1:22" x14ac:dyDescent="0.35">
      <c r="A272" s="493">
        <f t="shared" si="30"/>
        <v>44</v>
      </c>
      <c r="B272" s="494" t="s">
        <v>686</v>
      </c>
      <c r="C272" s="540" t="s">
        <v>755</v>
      </c>
      <c r="D272" s="541" t="s">
        <v>774</v>
      </c>
      <c r="E272" s="494" t="s">
        <v>775</v>
      </c>
      <c r="F272" s="494" t="s">
        <v>457</v>
      </c>
      <c r="G272" s="542">
        <f>G228</f>
        <v>45792</v>
      </c>
      <c r="H272" s="542">
        <f t="shared" si="31"/>
        <v>45807</v>
      </c>
      <c r="I272" s="542">
        <f>M272</f>
        <v>45877</v>
      </c>
      <c r="J272" s="494">
        <f>I272-G272</f>
        <v>85</v>
      </c>
      <c r="K272" s="494">
        <f ca="1">I1-H272</f>
        <v>91</v>
      </c>
      <c r="L272" s="271" t="s">
        <v>458</v>
      </c>
      <c r="M272" s="274">
        <v>45877</v>
      </c>
      <c r="N272" s="274">
        <v>45895</v>
      </c>
      <c r="O272" s="275" t="s">
        <v>459</v>
      </c>
      <c r="P272" s="271">
        <f>N272-M272</f>
        <v>18</v>
      </c>
      <c r="Q272" s="271">
        <f>M273-N272</f>
        <v>2</v>
      </c>
      <c r="R272" s="271"/>
      <c r="S272" s="494" t="s">
        <v>397</v>
      </c>
      <c r="T272" s="494" t="str">
        <f>O273</f>
        <v>CAT - I</v>
      </c>
      <c r="U272" s="494" t="s">
        <v>397</v>
      </c>
      <c r="V272" s="497"/>
    </row>
    <row r="273" spans="1:22" x14ac:dyDescent="0.35">
      <c r="A273" s="503"/>
      <c r="B273" s="504"/>
      <c r="C273" s="543"/>
      <c r="D273" s="544"/>
      <c r="E273" s="504"/>
      <c r="F273" s="504"/>
      <c r="G273" s="545"/>
      <c r="H273" s="545"/>
      <c r="I273" s="545"/>
      <c r="J273" s="504"/>
      <c r="K273" s="504"/>
      <c r="L273" s="271" t="s">
        <v>460</v>
      </c>
      <c r="M273" s="274">
        <v>45897</v>
      </c>
      <c r="N273" s="274">
        <v>45897</v>
      </c>
      <c r="O273" s="275" t="s">
        <v>472</v>
      </c>
      <c r="P273" s="271">
        <f>N273-M273</f>
        <v>0</v>
      </c>
      <c r="Q273" s="271"/>
      <c r="R273" s="271"/>
      <c r="S273" s="504"/>
      <c r="T273" s="504"/>
      <c r="U273" s="504"/>
      <c r="V273" s="507"/>
    </row>
    <row r="274" spans="1:22" ht="21" x14ac:dyDescent="0.35">
      <c r="A274" s="313">
        <f>A272+1</f>
        <v>45</v>
      </c>
      <c r="B274" s="257" t="s">
        <v>686</v>
      </c>
      <c r="C274" s="268" t="s">
        <v>755</v>
      </c>
      <c r="D274" s="269" t="s">
        <v>776</v>
      </c>
      <c r="E274" s="259" t="s">
        <v>777</v>
      </c>
      <c r="F274" s="259" t="s">
        <v>457</v>
      </c>
      <c r="G274" s="283">
        <f>G231</f>
        <v>45784</v>
      </c>
      <c r="H274" s="283">
        <f t="shared" si="31"/>
        <v>45799</v>
      </c>
      <c r="I274" s="285"/>
      <c r="J274" s="257">
        <f t="shared" ref="J274:K288" ca="1" si="34">$I$1-G274</f>
        <v>114</v>
      </c>
      <c r="K274" s="259">
        <f t="shared" ca="1" si="34"/>
        <v>99</v>
      </c>
      <c r="L274" s="297"/>
      <c r="M274" s="276"/>
      <c r="N274" s="276"/>
      <c r="O274" s="277"/>
      <c r="P274" s="259"/>
      <c r="Q274" s="259"/>
      <c r="R274" s="259"/>
      <c r="S274" s="259"/>
      <c r="T274" s="259"/>
      <c r="U274" s="259"/>
      <c r="V274" s="321"/>
    </row>
    <row r="275" spans="1:22" ht="21" x14ac:dyDescent="0.35">
      <c r="A275" s="313">
        <f t="shared" si="30"/>
        <v>46</v>
      </c>
      <c r="B275" s="257" t="s">
        <v>686</v>
      </c>
      <c r="C275" s="268" t="s">
        <v>755</v>
      </c>
      <c r="D275" s="269" t="s">
        <v>778</v>
      </c>
      <c r="E275" s="259" t="s">
        <v>779</v>
      </c>
      <c r="F275" s="259" t="s">
        <v>457</v>
      </c>
      <c r="G275" s="283">
        <f>G232</f>
        <v>45809</v>
      </c>
      <c r="H275" s="283">
        <f t="shared" si="31"/>
        <v>45824</v>
      </c>
      <c r="I275" s="285"/>
      <c r="J275" s="257">
        <f t="shared" ca="1" si="34"/>
        <v>89</v>
      </c>
      <c r="K275" s="259">
        <f t="shared" ca="1" si="34"/>
        <v>74</v>
      </c>
      <c r="L275" s="297"/>
      <c r="M275" s="276"/>
      <c r="N275" s="276"/>
      <c r="O275" s="277"/>
      <c r="P275" s="259"/>
      <c r="Q275" s="259"/>
      <c r="R275" s="259"/>
      <c r="S275" s="259"/>
      <c r="T275" s="259"/>
      <c r="U275" s="259"/>
      <c r="V275" s="321"/>
    </row>
    <row r="276" spans="1:22" ht="31.5" x14ac:dyDescent="0.35">
      <c r="A276" s="313">
        <f t="shared" si="30"/>
        <v>47</v>
      </c>
      <c r="B276" s="257" t="s">
        <v>686</v>
      </c>
      <c r="C276" s="268" t="s">
        <v>755</v>
      </c>
      <c r="D276" s="269" t="s">
        <v>780</v>
      </c>
      <c r="E276" s="259" t="s">
        <v>781</v>
      </c>
      <c r="F276" s="259" t="s">
        <v>467</v>
      </c>
      <c r="G276" s="283">
        <f>G234</f>
        <v>45797</v>
      </c>
      <c r="H276" s="283">
        <f t="shared" si="31"/>
        <v>45812</v>
      </c>
      <c r="I276" s="285"/>
      <c r="J276" s="257">
        <f t="shared" ca="1" si="34"/>
        <v>101</v>
      </c>
      <c r="K276" s="259">
        <f t="shared" ca="1" si="34"/>
        <v>86</v>
      </c>
      <c r="L276" s="297"/>
      <c r="M276" s="276"/>
      <c r="N276" s="276"/>
      <c r="O276" s="277"/>
      <c r="P276" s="259"/>
      <c r="Q276" s="259"/>
      <c r="R276" s="259"/>
      <c r="S276" s="259"/>
      <c r="T276" s="259"/>
      <c r="U276" s="259"/>
      <c r="V276" s="321"/>
    </row>
    <row r="277" spans="1:22" ht="21" x14ac:dyDescent="0.35">
      <c r="A277" s="313">
        <f t="shared" si="30"/>
        <v>48</v>
      </c>
      <c r="B277" s="257" t="s">
        <v>686</v>
      </c>
      <c r="C277" s="268" t="s">
        <v>755</v>
      </c>
      <c r="D277" s="269" t="s">
        <v>782</v>
      </c>
      <c r="E277" s="259" t="s">
        <v>783</v>
      </c>
      <c r="F277" s="259" t="s">
        <v>467</v>
      </c>
      <c r="G277" s="283">
        <v>45834</v>
      </c>
      <c r="H277" s="283">
        <f t="shared" si="31"/>
        <v>45849</v>
      </c>
      <c r="I277" s="283"/>
      <c r="J277" s="257">
        <f t="shared" ca="1" si="34"/>
        <v>64</v>
      </c>
      <c r="K277" s="259">
        <f t="shared" ca="1" si="34"/>
        <v>49</v>
      </c>
      <c r="L277" s="297"/>
      <c r="M277" s="276"/>
      <c r="N277" s="276"/>
      <c r="O277" s="277"/>
      <c r="P277" s="259"/>
      <c r="Q277" s="259"/>
      <c r="R277" s="259"/>
      <c r="S277" s="259"/>
      <c r="T277" s="259"/>
      <c r="U277" s="259"/>
      <c r="V277" s="321"/>
    </row>
    <row r="278" spans="1:22" ht="21" x14ac:dyDescent="0.35">
      <c r="A278" s="313">
        <f t="shared" si="30"/>
        <v>49</v>
      </c>
      <c r="B278" s="257" t="s">
        <v>686</v>
      </c>
      <c r="C278" s="268" t="s">
        <v>755</v>
      </c>
      <c r="D278" s="269" t="s">
        <v>784</v>
      </c>
      <c r="E278" s="259" t="s">
        <v>785</v>
      </c>
      <c r="F278" s="259" t="s">
        <v>467</v>
      </c>
      <c r="G278" s="283">
        <v>45840</v>
      </c>
      <c r="H278" s="283">
        <f t="shared" si="31"/>
        <v>45855</v>
      </c>
      <c r="I278" s="283"/>
      <c r="J278" s="257">
        <f t="shared" ca="1" si="34"/>
        <v>58</v>
      </c>
      <c r="K278" s="259">
        <f t="shared" ca="1" si="34"/>
        <v>43</v>
      </c>
      <c r="L278" s="297"/>
      <c r="M278" s="276"/>
      <c r="N278" s="276"/>
      <c r="O278" s="277"/>
      <c r="P278" s="259"/>
      <c r="Q278" s="259"/>
      <c r="R278" s="259"/>
      <c r="S278" s="259"/>
      <c r="T278" s="259"/>
      <c r="U278" s="259"/>
      <c r="V278" s="321"/>
    </row>
    <row r="279" spans="1:22" ht="42" x14ac:dyDescent="0.35">
      <c r="A279" s="313">
        <f t="shared" si="30"/>
        <v>50</v>
      </c>
      <c r="B279" s="257" t="s">
        <v>686</v>
      </c>
      <c r="C279" s="268" t="s">
        <v>755</v>
      </c>
      <c r="D279" s="269" t="s">
        <v>786</v>
      </c>
      <c r="E279" s="259" t="s">
        <v>787</v>
      </c>
      <c r="F279" s="259" t="s">
        <v>467</v>
      </c>
      <c r="G279" s="283">
        <v>45826</v>
      </c>
      <c r="H279" s="283">
        <f t="shared" si="31"/>
        <v>45841</v>
      </c>
      <c r="I279" s="285"/>
      <c r="J279" s="257">
        <f t="shared" ca="1" si="34"/>
        <v>72</v>
      </c>
      <c r="K279" s="259">
        <f t="shared" ca="1" si="34"/>
        <v>57</v>
      </c>
      <c r="L279" s="323"/>
      <c r="M279" s="276"/>
      <c r="N279" s="276"/>
      <c r="O279" s="280"/>
      <c r="P279" s="259"/>
      <c r="Q279" s="259"/>
      <c r="R279" s="287"/>
      <c r="S279" s="287"/>
      <c r="T279" s="287"/>
      <c r="U279" s="287"/>
      <c r="V279" s="324"/>
    </row>
    <row r="280" spans="1:22" ht="31.5" x14ac:dyDescent="0.35">
      <c r="A280" s="313">
        <f t="shared" si="30"/>
        <v>51</v>
      </c>
      <c r="B280" s="257" t="s">
        <v>686</v>
      </c>
      <c r="C280" s="268" t="s">
        <v>755</v>
      </c>
      <c r="D280" s="269" t="s">
        <v>788</v>
      </c>
      <c r="E280" s="259" t="s">
        <v>789</v>
      </c>
      <c r="F280" s="259" t="s">
        <v>457</v>
      </c>
      <c r="G280" s="283"/>
      <c r="H280" s="283"/>
      <c r="I280" s="285"/>
      <c r="J280" s="257"/>
      <c r="K280" s="259"/>
      <c r="L280" s="259"/>
      <c r="M280" s="276"/>
      <c r="N280" s="276"/>
      <c r="O280" s="277"/>
      <c r="P280" s="259"/>
      <c r="Q280" s="259"/>
      <c r="R280" s="259"/>
      <c r="S280" s="259"/>
      <c r="T280" s="259"/>
      <c r="U280" s="259"/>
      <c r="V280" s="321"/>
    </row>
    <row r="281" spans="1:22" x14ac:dyDescent="0.35">
      <c r="A281" s="319">
        <f t="shared" si="30"/>
        <v>52</v>
      </c>
      <c r="B281" s="291" t="s">
        <v>686</v>
      </c>
      <c r="C281" s="292" t="s">
        <v>755</v>
      </c>
      <c r="D281" s="293" t="s">
        <v>790</v>
      </c>
      <c r="E281" s="291" t="s">
        <v>791</v>
      </c>
      <c r="F281" s="291" t="s">
        <v>457</v>
      </c>
      <c r="G281" s="298">
        <f>G241</f>
        <v>45826</v>
      </c>
      <c r="H281" s="298">
        <f t="shared" ref="H281:H289" si="35">G281+15</f>
        <v>45841</v>
      </c>
      <c r="I281" s="298">
        <f>M281</f>
        <v>45878</v>
      </c>
      <c r="J281" s="291">
        <f>I281-G281</f>
        <v>52</v>
      </c>
      <c r="K281" s="291">
        <f ca="1">I1-H281</f>
        <v>57</v>
      </c>
      <c r="L281" s="291" t="s">
        <v>458</v>
      </c>
      <c r="M281" s="294">
        <v>45878</v>
      </c>
      <c r="N281" s="294">
        <v>45891</v>
      </c>
      <c r="O281" s="295" t="s">
        <v>459</v>
      </c>
      <c r="P281" s="291">
        <f>N281-M281</f>
        <v>13</v>
      </c>
      <c r="Q281" s="291">
        <f ca="1">I1-N281</f>
        <v>7</v>
      </c>
      <c r="R281" s="291"/>
      <c r="S281" s="291" t="s">
        <v>489</v>
      </c>
      <c r="T281" s="291" t="str">
        <f>O281</f>
        <v>CAT - III</v>
      </c>
      <c r="U281" s="291" t="s">
        <v>464</v>
      </c>
      <c r="V281" s="320"/>
    </row>
    <row r="282" spans="1:22" ht="31.5" x14ac:dyDescent="0.35">
      <c r="A282" s="313">
        <f t="shared" si="30"/>
        <v>53</v>
      </c>
      <c r="B282" s="257" t="s">
        <v>686</v>
      </c>
      <c r="C282" s="268" t="s">
        <v>755</v>
      </c>
      <c r="D282" s="269" t="s">
        <v>792</v>
      </c>
      <c r="E282" s="259" t="s">
        <v>793</v>
      </c>
      <c r="F282" s="258" t="s">
        <v>467</v>
      </c>
      <c r="G282" s="283">
        <v>45826</v>
      </c>
      <c r="H282" s="283">
        <f t="shared" si="35"/>
        <v>45841</v>
      </c>
      <c r="I282" s="285"/>
      <c r="J282" s="257">
        <f t="shared" ca="1" si="34"/>
        <v>72</v>
      </c>
      <c r="K282" s="288">
        <f ca="1">I1-H281</f>
        <v>57</v>
      </c>
      <c r="L282" s="259"/>
      <c r="M282" s="276"/>
      <c r="N282" s="276"/>
      <c r="O282" s="277"/>
      <c r="P282" s="259"/>
      <c r="Q282" s="259"/>
      <c r="R282" s="259"/>
      <c r="S282" s="259"/>
      <c r="T282" s="259"/>
      <c r="U282" s="259"/>
      <c r="V282" s="321"/>
    </row>
    <row r="283" spans="1:22" ht="31.5" x14ac:dyDescent="0.35">
      <c r="A283" s="313">
        <f t="shared" si="30"/>
        <v>54</v>
      </c>
      <c r="B283" s="257" t="s">
        <v>686</v>
      </c>
      <c r="C283" s="268" t="s">
        <v>755</v>
      </c>
      <c r="D283" s="269" t="s">
        <v>794</v>
      </c>
      <c r="E283" s="259" t="s">
        <v>795</v>
      </c>
      <c r="F283" s="259" t="s">
        <v>457</v>
      </c>
      <c r="G283" s="283">
        <v>45797</v>
      </c>
      <c r="H283" s="283">
        <f t="shared" si="35"/>
        <v>45812</v>
      </c>
      <c r="I283" s="285"/>
      <c r="J283" s="257">
        <f t="shared" ca="1" si="34"/>
        <v>101</v>
      </c>
      <c r="K283" s="259">
        <f ca="1">I1-H283</f>
        <v>86</v>
      </c>
      <c r="L283" s="259"/>
      <c r="M283" s="276"/>
      <c r="N283" s="276"/>
      <c r="O283" s="277"/>
      <c r="P283" s="259"/>
      <c r="Q283" s="259"/>
      <c r="R283" s="259"/>
      <c r="S283" s="259"/>
      <c r="T283" s="259"/>
      <c r="U283" s="259"/>
      <c r="V283" s="321"/>
    </row>
    <row r="284" spans="1:22" ht="31.5" x14ac:dyDescent="0.35">
      <c r="A284" s="319">
        <f t="shared" si="30"/>
        <v>55</v>
      </c>
      <c r="B284" s="291" t="s">
        <v>686</v>
      </c>
      <c r="C284" s="292" t="s">
        <v>755</v>
      </c>
      <c r="D284" s="293" t="s">
        <v>796</v>
      </c>
      <c r="E284" s="291" t="s">
        <v>797</v>
      </c>
      <c r="F284" s="291" t="s">
        <v>457</v>
      </c>
      <c r="G284" s="298">
        <f>G246</f>
        <v>45834</v>
      </c>
      <c r="H284" s="298">
        <f t="shared" si="35"/>
        <v>45849</v>
      </c>
      <c r="I284" s="298">
        <f>M284</f>
        <v>45869</v>
      </c>
      <c r="J284" s="291">
        <f>I284-G284</f>
        <v>35</v>
      </c>
      <c r="K284" s="291">
        <f ca="1">I1-H284</f>
        <v>49</v>
      </c>
      <c r="L284" s="291" t="s">
        <v>458</v>
      </c>
      <c r="M284" s="294">
        <v>45869</v>
      </c>
      <c r="N284" s="294">
        <v>45895</v>
      </c>
      <c r="O284" s="295" t="s">
        <v>459</v>
      </c>
      <c r="P284" s="291">
        <f>N284-M284</f>
        <v>26</v>
      </c>
      <c r="Q284" s="291">
        <f ca="1">I1-N284</f>
        <v>3</v>
      </c>
      <c r="R284" s="291"/>
      <c r="S284" s="291" t="s">
        <v>489</v>
      </c>
      <c r="T284" s="291" t="str">
        <f>O284</f>
        <v>CAT - III</v>
      </c>
      <c r="U284" s="291" t="s">
        <v>464</v>
      </c>
      <c r="V284" s="320"/>
    </row>
    <row r="285" spans="1:22" ht="21" x14ac:dyDescent="0.35">
      <c r="A285" s="325"/>
      <c r="B285" s="257" t="s">
        <v>686</v>
      </c>
      <c r="C285" s="268" t="s">
        <v>755</v>
      </c>
      <c r="D285" s="269" t="s">
        <v>798</v>
      </c>
      <c r="E285" s="259" t="s">
        <v>799</v>
      </c>
      <c r="F285" s="259" t="s">
        <v>467</v>
      </c>
      <c r="G285" s="283">
        <v>45868</v>
      </c>
      <c r="H285" s="283">
        <f t="shared" si="35"/>
        <v>45883</v>
      </c>
      <c r="I285" s="285"/>
      <c r="J285" s="257">
        <f t="shared" ca="1" si="34"/>
        <v>30</v>
      </c>
      <c r="K285" s="259">
        <f ca="1">$I$1-H285</f>
        <v>15</v>
      </c>
      <c r="L285" s="297"/>
      <c r="M285" s="276"/>
      <c r="N285" s="276"/>
      <c r="O285" s="277"/>
      <c r="P285" s="259"/>
      <c r="Q285" s="259"/>
      <c r="R285" s="259"/>
      <c r="S285" s="259"/>
      <c r="T285" s="259"/>
      <c r="U285" s="259"/>
      <c r="V285" s="321"/>
    </row>
    <row r="286" spans="1:22" x14ac:dyDescent="0.35">
      <c r="A286" s="313">
        <f>A284+1</f>
        <v>56</v>
      </c>
      <c r="B286" s="257" t="s">
        <v>686</v>
      </c>
      <c r="C286" s="268" t="s">
        <v>755</v>
      </c>
      <c r="D286" s="269" t="s">
        <v>800</v>
      </c>
      <c r="E286" s="259" t="s">
        <v>801</v>
      </c>
      <c r="F286" s="259" t="s">
        <v>467</v>
      </c>
      <c r="G286" s="283">
        <v>45899</v>
      </c>
      <c r="H286" s="283">
        <f t="shared" si="35"/>
        <v>45914</v>
      </c>
      <c r="I286" s="285"/>
      <c r="J286" s="257">
        <f t="shared" ca="1" si="34"/>
        <v>-1</v>
      </c>
      <c r="K286" s="259">
        <f ca="1">$I$1-H286</f>
        <v>-16</v>
      </c>
      <c r="L286" s="297"/>
      <c r="M286" s="276"/>
      <c r="N286" s="276"/>
      <c r="O286" s="277"/>
      <c r="P286" s="259"/>
      <c r="Q286" s="259"/>
      <c r="R286" s="259"/>
      <c r="S286" s="259"/>
      <c r="T286" s="259"/>
      <c r="U286" s="259"/>
      <c r="V286" s="321"/>
    </row>
    <row r="287" spans="1:22" ht="42" x14ac:dyDescent="0.35">
      <c r="A287" s="313">
        <f t="shared" si="30"/>
        <v>57</v>
      </c>
      <c r="B287" s="257" t="s">
        <v>686</v>
      </c>
      <c r="C287" s="268" t="s">
        <v>755</v>
      </c>
      <c r="D287" s="269" t="s">
        <v>802</v>
      </c>
      <c r="E287" s="259" t="s">
        <v>803</v>
      </c>
      <c r="F287" s="259" t="s">
        <v>467</v>
      </c>
      <c r="G287" s="283">
        <v>45899</v>
      </c>
      <c r="H287" s="283">
        <f t="shared" si="35"/>
        <v>45914</v>
      </c>
      <c r="I287" s="285"/>
      <c r="J287" s="257">
        <f t="shared" ca="1" si="34"/>
        <v>-1</v>
      </c>
      <c r="K287" s="259">
        <f ca="1">$I$1-H287</f>
        <v>-16</v>
      </c>
      <c r="L287" s="297"/>
      <c r="M287" s="276"/>
      <c r="N287" s="276"/>
      <c r="O287" s="277"/>
      <c r="P287" s="259"/>
      <c r="Q287" s="259"/>
      <c r="R287" s="259"/>
      <c r="S287" s="259"/>
      <c r="T287" s="259"/>
      <c r="U287" s="259"/>
      <c r="V287" s="321"/>
    </row>
    <row r="288" spans="1:22" x14ac:dyDescent="0.35">
      <c r="A288" s="313">
        <f t="shared" si="30"/>
        <v>58</v>
      </c>
      <c r="B288" s="257" t="s">
        <v>686</v>
      </c>
      <c r="C288" s="268" t="s">
        <v>755</v>
      </c>
      <c r="D288" s="269" t="s">
        <v>804</v>
      </c>
      <c r="E288" s="259" t="s">
        <v>805</v>
      </c>
      <c r="F288" s="259" t="s">
        <v>457</v>
      </c>
      <c r="G288" s="283">
        <f>G252</f>
        <v>45848</v>
      </c>
      <c r="H288" s="283">
        <f t="shared" si="35"/>
        <v>45863</v>
      </c>
      <c r="I288" s="285"/>
      <c r="J288" s="257">
        <f t="shared" ca="1" si="34"/>
        <v>50</v>
      </c>
      <c r="K288" s="259">
        <f ca="1">$I$1-H288</f>
        <v>35</v>
      </c>
      <c r="L288" s="297"/>
      <c r="M288" s="276"/>
      <c r="N288" s="276"/>
      <c r="O288" s="277"/>
      <c r="P288" s="259"/>
      <c r="Q288" s="259"/>
      <c r="R288" s="259"/>
      <c r="S288" s="259"/>
      <c r="T288" s="259"/>
      <c r="U288" s="259"/>
      <c r="V288" s="321"/>
    </row>
    <row r="289" spans="1:22" x14ac:dyDescent="0.35">
      <c r="A289" s="370">
        <v>59</v>
      </c>
      <c r="B289" s="352" t="s">
        <v>686</v>
      </c>
      <c r="C289" s="373" t="s">
        <v>755</v>
      </c>
      <c r="D289" s="375" t="s">
        <v>806</v>
      </c>
      <c r="E289" s="352" t="s">
        <v>807</v>
      </c>
      <c r="F289" s="352" t="s">
        <v>457</v>
      </c>
      <c r="G289" s="365">
        <v>45793</v>
      </c>
      <c r="H289" s="365">
        <f t="shared" si="35"/>
        <v>45808</v>
      </c>
      <c r="I289" s="365">
        <v>45793</v>
      </c>
      <c r="J289" s="352">
        <f>I289-G289</f>
        <v>0</v>
      </c>
      <c r="K289" s="352">
        <f ca="1">I1-H289</f>
        <v>90</v>
      </c>
      <c r="L289" s="291" t="s">
        <v>458</v>
      </c>
      <c r="M289" s="294">
        <v>45793</v>
      </c>
      <c r="N289" s="294">
        <v>45807</v>
      </c>
      <c r="O289" s="295" t="s">
        <v>459</v>
      </c>
      <c r="P289" s="291">
        <f>N289-M289</f>
        <v>14</v>
      </c>
      <c r="Q289" s="291">
        <f ca="1">I1-N289</f>
        <v>91</v>
      </c>
      <c r="R289" s="352"/>
      <c r="S289" s="352" t="s">
        <v>489</v>
      </c>
      <c r="T289" s="352" t="str">
        <f>O289</f>
        <v>CAT - III</v>
      </c>
      <c r="U289" s="352" t="s">
        <v>464</v>
      </c>
      <c r="V289" s="354">
        <f ca="1">I1-N290</f>
        <v>35</v>
      </c>
    </row>
    <row r="290" spans="1:22" x14ac:dyDescent="0.35">
      <c r="A290" s="371"/>
      <c r="B290" s="372"/>
      <c r="C290" s="374"/>
      <c r="D290" s="376"/>
      <c r="E290" s="353"/>
      <c r="F290" s="353"/>
      <c r="G290" s="353"/>
      <c r="H290" s="353"/>
      <c r="I290" s="366"/>
      <c r="J290" s="353"/>
      <c r="K290" s="353"/>
      <c r="L290" s="291" t="s">
        <v>460</v>
      </c>
      <c r="M290" s="294">
        <v>45862</v>
      </c>
      <c r="N290" s="294">
        <v>45863</v>
      </c>
      <c r="O290" s="295" t="s">
        <v>459</v>
      </c>
      <c r="P290" s="291">
        <f>M290-N289</f>
        <v>55</v>
      </c>
      <c r="Q290" s="291">
        <f>N290-M290</f>
        <v>1</v>
      </c>
      <c r="R290" s="367"/>
      <c r="S290" s="353"/>
      <c r="T290" s="353"/>
      <c r="U290" s="353"/>
      <c r="V290" s="355"/>
    </row>
    <row r="291" spans="1:22" ht="21" x14ac:dyDescent="0.35">
      <c r="A291" s="313">
        <v>60</v>
      </c>
      <c r="B291" s="257" t="s">
        <v>686</v>
      </c>
      <c r="C291" s="268" t="s">
        <v>755</v>
      </c>
      <c r="D291" s="269" t="s">
        <v>808</v>
      </c>
      <c r="E291" s="259" t="s">
        <v>809</v>
      </c>
      <c r="F291" s="288" t="s">
        <v>457</v>
      </c>
      <c r="G291" s="283">
        <v>45900</v>
      </c>
      <c r="H291" s="283">
        <f>G291+15</f>
        <v>45915</v>
      </c>
      <c r="I291" s="285"/>
      <c r="J291" s="257">
        <f t="shared" ref="J291" ca="1" si="36">$I$1-G291</f>
        <v>-2</v>
      </c>
      <c r="K291" s="259">
        <f ca="1">$I$1-H291</f>
        <v>-17</v>
      </c>
      <c r="L291" s="297"/>
      <c r="M291" s="276"/>
      <c r="N291" s="276"/>
      <c r="O291" s="277"/>
      <c r="P291" s="259"/>
      <c r="Q291" s="259"/>
      <c r="R291" s="259"/>
      <c r="S291" s="259"/>
      <c r="T291" s="259"/>
      <c r="U291" s="259"/>
      <c r="V291" s="321"/>
    </row>
    <row r="292" spans="1:22" ht="31.5" x14ac:dyDescent="0.35">
      <c r="A292" s="319">
        <v>61</v>
      </c>
      <c r="B292" s="291" t="s">
        <v>686</v>
      </c>
      <c r="C292" s="292" t="s">
        <v>755</v>
      </c>
      <c r="D292" s="293" t="s">
        <v>810</v>
      </c>
      <c r="E292" s="291" t="s">
        <v>811</v>
      </c>
      <c r="F292" s="326" t="s">
        <v>457</v>
      </c>
      <c r="G292" s="298">
        <f>G220</f>
        <v>45809</v>
      </c>
      <c r="H292" s="298">
        <f>G292+15</f>
        <v>45824</v>
      </c>
      <c r="I292" s="298">
        <f>M292</f>
        <v>45878</v>
      </c>
      <c r="J292" s="291">
        <f>I292-G292</f>
        <v>69</v>
      </c>
      <c r="K292" s="326">
        <f ca="1">I1-H292</f>
        <v>74</v>
      </c>
      <c r="L292" s="291" t="s">
        <v>458</v>
      </c>
      <c r="M292" s="294">
        <v>45878</v>
      </c>
      <c r="N292" s="294">
        <v>45891</v>
      </c>
      <c r="O292" s="295" t="s">
        <v>459</v>
      </c>
      <c r="P292" s="291">
        <f>N292-M292</f>
        <v>13</v>
      </c>
      <c r="Q292" s="291">
        <f ca="1">I1-N292</f>
        <v>7</v>
      </c>
      <c r="R292" s="291"/>
      <c r="S292" s="291" t="s">
        <v>489</v>
      </c>
      <c r="T292" s="291" t="str">
        <f>O292</f>
        <v>CAT - III</v>
      </c>
      <c r="U292" s="291" t="s">
        <v>464</v>
      </c>
      <c r="V292" s="320"/>
    </row>
    <row r="293" spans="1:22" x14ac:dyDescent="0.35">
      <c r="A293" s="356">
        <v>62</v>
      </c>
      <c r="B293" s="343" t="s">
        <v>686</v>
      </c>
      <c r="C293" s="359" t="s">
        <v>755</v>
      </c>
      <c r="D293" s="362" t="s">
        <v>812</v>
      </c>
      <c r="E293" s="343" t="s">
        <v>867</v>
      </c>
      <c r="F293" s="343" t="s">
        <v>457</v>
      </c>
      <c r="G293" s="348">
        <v>45803</v>
      </c>
      <c r="H293" s="348">
        <f>G293+15</f>
        <v>45818</v>
      </c>
      <c r="I293" s="348">
        <v>45803</v>
      </c>
      <c r="J293" s="343">
        <f>I293-G293</f>
        <v>0</v>
      </c>
      <c r="K293" s="343">
        <f>R293-H293</f>
        <v>21</v>
      </c>
      <c r="L293" s="271" t="s">
        <v>458</v>
      </c>
      <c r="M293" s="274">
        <v>45803</v>
      </c>
      <c r="N293" s="274">
        <v>45810</v>
      </c>
      <c r="O293" s="275" t="s">
        <v>459</v>
      </c>
      <c r="P293" s="271">
        <f>N293-M293</f>
        <v>7</v>
      </c>
      <c r="Q293" s="271">
        <f>M294-N293</f>
        <v>8</v>
      </c>
      <c r="R293" s="351">
        <f>N295</f>
        <v>45839</v>
      </c>
      <c r="S293" s="343" t="s">
        <v>482</v>
      </c>
      <c r="T293" s="343" t="str">
        <f>O295</f>
        <v>CAT - I</v>
      </c>
      <c r="U293" s="343" t="s">
        <v>397</v>
      </c>
      <c r="V293" s="346">
        <f ca="1">V1-N294</f>
        <v>78</v>
      </c>
    </row>
    <row r="294" spans="1:22" x14ac:dyDescent="0.35">
      <c r="A294" s="357"/>
      <c r="B294" s="344"/>
      <c r="C294" s="360"/>
      <c r="D294" s="363"/>
      <c r="E294" s="344"/>
      <c r="F294" s="344"/>
      <c r="G294" s="349"/>
      <c r="H294" s="349"/>
      <c r="I294" s="349"/>
      <c r="J294" s="344"/>
      <c r="K294" s="344"/>
      <c r="L294" s="271" t="s">
        <v>460</v>
      </c>
      <c r="M294" s="274">
        <v>45818</v>
      </c>
      <c r="N294" s="274">
        <v>45820</v>
      </c>
      <c r="O294" s="275" t="s">
        <v>459</v>
      </c>
      <c r="P294" s="271">
        <f>N294-M294</f>
        <v>2</v>
      </c>
      <c r="Q294" s="271">
        <f ca="1">I1-N294</f>
        <v>78</v>
      </c>
      <c r="R294" s="344"/>
      <c r="S294" s="344"/>
      <c r="T294" s="344"/>
      <c r="U294" s="344"/>
      <c r="V294" s="346"/>
    </row>
    <row r="295" spans="1:22" ht="15" thickBot="1" x14ac:dyDescent="0.4">
      <c r="A295" s="358"/>
      <c r="B295" s="345"/>
      <c r="C295" s="361"/>
      <c r="D295" s="364"/>
      <c r="E295" s="345"/>
      <c r="F295" s="345"/>
      <c r="G295" s="350"/>
      <c r="H295" s="350"/>
      <c r="I295" s="350"/>
      <c r="J295" s="345"/>
      <c r="K295" s="345"/>
      <c r="L295" s="327" t="s">
        <v>462</v>
      </c>
      <c r="M295" s="328">
        <v>45835</v>
      </c>
      <c r="N295" s="328">
        <v>45839</v>
      </c>
      <c r="O295" s="329" t="s">
        <v>472</v>
      </c>
      <c r="P295" s="327"/>
      <c r="Q295" s="327"/>
      <c r="R295" s="345"/>
      <c r="S295" s="345"/>
      <c r="T295" s="345"/>
      <c r="U295" s="345"/>
      <c r="V295" s="347"/>
    </row>
  </sheetData>
  <mergeCells count="948">
    <mergeCell ref="U293:U295"/>
    <mergeCell ref="V293:V295"/>
    <mergeCell ref="I293:I295"/>
    <mergeCell ref="J293:J295"/>
    <mergeCell ref="K293:K295"/>
    <mergeCell ref="R293:R295"/>
    <mergeCell ref="S293:S295"/>
    <mergeCell ref="T293:T295"/>
    <mergeCell ref="U289:U290"/>
    <mergeCell ref="V289:V290"/>
    <mergeCell ref="A293:A295"/>
    <mergeCell ref="B293:B295"/>
    <mergeCell ref="C293:C295"/>
    <mergeCell ref="D293:D295"/>
    <mergeCell ref="E293:E295"/>
    <mergeCell ref="F293:F295"/>
    <mergeCell ref="G293:G295"/>
    <mergeCell ref="H293:H295"/>
    <mergeCell ref="I289:I290"/>
    <mergeCell ref="J289:J290"/>
    <mergeCell ref="K289:K290"/>
    <mergeCell ref="R289:R290"/>
    <mergeCell ref="S289:S290"/>
    <mergeCell ref="T289:T290"/>
    <mergeCell ref="U272:U273"/>
    <mergeCell ref="V272:V273"/>
    <mergeCell ref="A289:A290"/>
    <mergeCell ref="B289:B290"/>
    <mergeCell ref="C289:C290"/>
    <mergeCell ref="D289:D290"/>
    <mergeCell ref="E289:E290"/>
    <mergeCell ref="F289:F290"/>
    <mergeCell ref="G289:G290"/>
    <mergeCell ref="H289:H290"/>
    <mergeCell ref="H272:H273"/>
    <mergeCell ref="I272:I273"/>
    <mergeCell ref="J272:J273"/>
    <mergeCell ref="K272:K273"/>
    <mergeCell ref="S272:S273"/>
    <mergeCell ref="T272:T273"/>
    <mergeCell ref="S265:S266"/>
    <mergeCell ref="T265:T266"/>
    <mergeCell ref="U265:U266"/>
    <mergeCell ref="A272:A273"/>
    <mergeCell ref="B272:B273"/>
    <mergeCell ref="C272:C273"/>
    <mergeCell ref="D272:D273"/>
    <mergeCell ref="E272:E273"/>
    <mergeCell ref="F272:F273"/>
    <mergeCell ref="G272:G273"/>
    <mergeCell ref="T263:T264"/>
    <mergeCell ref="U263:U264"/>
    <mergeCell ref="A265:A266"/>
    <mergeCell ref="B265:B266"/>
    <mergeCell ref="C265:C266"/>
    <mergeCell ref="D265:D266"/>
    <mergeCell ref="E265:E266"/>
    <mergeCell ref="J265:J266"/>
    <mergeCell ref="K265:K266"/>
    <mergeCell ref="R265:R266"/>
    <mergeCell ref="G263:G264"/>
    <mergeCell ref="H263:H264"/>
    <mergeCell ref="I263:I264"/>
    <mergeCell ref="J263:J264"/>
    <mergeCell ref="K263:K264"/>
    <mergeCell ref="S263:S264"/>
    <mergeCell ref="S258:S261"/>
    <mergeCell ref="T258:T261"/>
    <mergeCell ref="U258:U261"/>
    <mergeCell ref="V258:V261"/>
    <mergeCell ref="A263:A264"/>
    <mergeCell ref="B263:B264"/>
    <mergeCell ref="C263:C264"/>
    <mergeCell ref="D263:D264"/>
    <mergeCell ref="E263:E264"/>
    <mergeCell ref="F263:F264"/>
    <mergeCell ref="G258:G261"/>
    <mergeCell ref="H258:H261"/>
    <mergeCell ref="I258:I261"/>
    <mergeCell ref="J258:J261"/>
    <mergeCell ref="K258:K261"/>
    <mergeCell ref="R258:R261"/>
    <mergeCell ref="S255:S257"/>
    <mergeCell ref="T255:T257"/>
    <mergeCell ref="U255:U257"/>
    <mergeCell ref="V255:V257"/>
    <mergeCell ref="A258:A261"/>
    <mergeCell ref="B258:B261"/>
    <mergeCell ref="C258:C261"/>
    <mergeCell ref="D258:D261"/>
    <mergeCell ref="E258:E261"/>
    <mergeCell ref="F258:F261"/>
    <mergeCell ref="G255:G257"/>
    <mergeCell ref="H255:H257"/>
    <mergeCell ref="I255:I257"/>
    <mergeCell ref="J255:J257"/>
    <mergeCell ref="K255:K257"/>
    <mergeCell ref="R255:R257"/>
    <mergeCell ref="A255:A257"/>
    <mergeCell ref="B255:B257"/>
    <mergeCell ref="C255:C257"/>
    <mergeCell ref="D255:D257"/>
    <mergeCell ref="E255:E257"/>
    <mergeCell ref="F255:F257"/>
    <mergeCell ref="J252:J253"/>
    <mergeCell ref="K252:K253"/>
    <mergeCell ref="S252:S253"/>
    <mergeCell ref="T252:T253"/>
    <mergeCell ref="U252:U253"/>
    <mergeCell ref="V252:V253"/>
    <mergeCell ref="V246:V247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G246:G247"/>
    <mergeCell ref="H246:H247"/>
    <mergeCell ref="I246:I247"/>
    <mergeCell ref="S246:S247"/>
    <mergeCell ref="T246:T247"/>
    <mergeCell ref="U246:U247"/>
    <mergeCell ref="K241:K242"/>
    <mergeCell ref="S241:S242"/>
    <mergeCell ref="T241:T242"/>
    <mergeCell ref="U241:U242"/>
    <mergeCell ref="V241:V242"/>
    <mergeCell ref="A246:A247"/>
    <mergeCell ref="B246:B247"/>
    <mergeCell ref="C246:C247"/>
    <mergeCell ref="D246:D247"/>
    <mergeCell ref="E246:E247"/>
    <mergeCell ref="U228:U230"/>
    <mergeCell ref="A241:A242"/>
    <mergeCell ref="B241:B242"/>
    <mergeCell ref="C241:C242"/>
    <mergeCell ref="D241:D242"/>
    <mergeCell ref="F241:F242"/>
    <mergeCell ref="G241:G242"/>
    <mergeCell ref="H241:H242"/>
    <mergeCell ref="I241:I242"/>
    <mergeCell ref="J241:J242"/>
    <mergeCell ref="I228:I230"/>
    <mergeCell ref="J228:J230"/>
    <mergeCell ref="K228:K230"/>
    <mergeCell ref="R228:R230"/>
    <mergeCell ref="S228:S230"/>
    <mergeCell ref="T228:T230"/>
    <mergeCell ref="U226:U227"/>
    <mergeCell ref="V226:V227"/>
    <mergeCell ref="A228:A230"/>
    <mergeCell ref="B228:B230"/>
    <mergeCell ref="C228:C230"/>
    <mergeCell ref="D228:D230"/>
    <mergeCell ref="E228:E230"/>
    <mergeCell ref="F228:F230"/>
    <mergeCell ref="G228:G230"/>
    <mergeCell ref="H228:H230"/>
    <mergeCell ref="H226:H227"/>
    <mergeCell ref="I226:I227"/>
    <mergeCell ref="J226:J227"/>
    <mergeCell ref="K226:K227"/>
    <mergeCell ref="S226:S227"/>
    <mergeCell ref="T226:T227"/>
    <mergeCell ref="T223:T225"/>
    <mergeCell ref="U223:U225"/>
    <mergeCell ref="V223:V224"/>
    <mergeCell ref="A226:A227"/>
    <mergeCell ref="B226:B227"/>
    <mergeCell ref="C226:C227"/>
    <mergeCell ref="D226:D227"/>
    <mergeCell ref="E226:E227"/>
    <mergeCell ref="F226:F227"/>
    <mergeCell ref="G226:G227"/>
    <mergeCell ref="H223:H225"/>
    <mergeCell ref="I223:I225"/>
    <mergeCell ref="J223:J225"/>
    <mergeCell ref="K223:K225"/>
    <mergeCell ref="R223:R225"/>
    <mergeCell ref="S223:S225"/>
    <mergeCell ref="T216:T218"/>
    <mergeCell ref="U216:U218"/>
    <mergeCell ref="V216:V217"/>
    <mergeCell ref="A223:A225"/>
    <mergeCell ref="B223:B225"/>
    <mergeCell ref="C223:C225"/>
    <mergeCell ref="D223:D225"/>
    <mergeCell ref="E223:E225"/>
    <mergeCell ref="F223:F225"/>
    <mergeCell ref="G223:G225"/>
    <mergeCell ref="H216:H217"/>
    <mergeCell ref="I216:I217"/>
    <mergeCell ref="J216:J218"/>
    <mergeCell ref="K216:K218"/>
    <mergeCell ref="R216:R217"/>
    <mergeCell ref="S216:S218"/>
    <mergeCell ref="T213:T215"/>
    <mergeCell ref="U213:U215"/>
    <mergeCell ref="V213:V215"/>
    <mergeCell ref="A216:A218"/>
    <mergeCell ref="B216:B218"/>
    <mergeCell ref="C216:C218"/>
    <mergeCell ref="D216:D218"/>
    <mergeCell ref="E216:E218"/>
    <mergeCell ref="F216:F217"/>
    <mergeCell ref="G216:G217"/>
    <mergeCell ref="G213:G215"/>
    <mergeCell ref="H213:H215"/>
    <mergeCell ref="I213:I215"/>
    <mergeCell ref="J213:J215"/>
    <mergeCell ref="K213:K215"/>
    <mergeCell ref="S213:S215"/>
    <mergeCell ref="S210:S211"/>
    <mergeCell ref="T210:T211"/>
    <mergeCell ref="U210:U211"/>
    <mergeCell ref="V210:V211"/>
    <mergeCell ref="A213:A215"/>
    <mergeCell ref="B213:B215"/>
    <mergeCell ref="C213:C215"/>
    <mergeCell ref="D213:D215"/>
    <mergeCell ref="E213:E215"/>
    <mergeCell ref="F213:F215"/>
    <mergeCell ref="G210:G211"/>
    <mergeCell ref="H210:H211"/>
    <mergeCell ref="I210:I211"/>
    <mergeCell ref="J210:J211"/>
    <mergeCell ref="K210:K211"/>
    <mergeCell ref="R210:R211"/>
    <mergeCell ref="S207:S209"/>
    <mergeCell ref="T207:T209"/>
    <mergeCell ref="U207:U209"/>
    <mergeCell ref="V207:V209"/>
    <mergeCell ref="A210:A211"/>
    <mergeCell ref="B210:B211"/>
    <mergeCell ref="C210:C211"/>
    <mergeCell ref="D210:D211"/>
    <mergeCell ref="E210:E211"/>
    <mergeCell ref="F210:F211"/>
    <mergeCell ref="G207:G209"/>
    <mergeCell ref="H207:H209"/>
    <mergeCell ref="I207:I209"/>
    <mergeCell ref="J207:J209"/>
    <mergeCell ref="K207:K209"/>
    <mergeCell ref="R207:R209"/>
    <mergeCell ref="S202:S204"/>
    <mergeCell ref="T202:T204"/>
    <mergeCell ref="U202:U204"/>
    <mergeCell ref="V202:V204"/>
    <mergeCell ref="A207:A208"/>
    <mergeCell ref="B207:B209"/>
    <mergeCell ref="C207:C209"/>
    <mergeCell ref="D207:D209"/>
    <mergeCell ref="E207:E209"/>
    <mergeCell ref="F207:F209"/>
    <mergeCell ref="G202:G204"/>
    <mergeCell ref="H202:H204"/>
    <mergeCell ref="I202:I204"/>
    <mergeCell ref="J202:J204"/>
    <mergeCell ref="K202:K204"/>
    <mergeCell ref="R202:R204"/>
    <mergeCell ref="S199:S201"/>
    <mergeCell ref="T199:T201"/>
    <mergeCell ref="U199:U201"/>
    <mergeCell ref="V199:V201"/>
    <mergeCell ref="A202:A204"/>
    <mergeCell ref="B202:B204"/>
    <mergeCell ref="C202:C204"/>
    <mergeCell ref="D202:D204"/>
    <mergeCell ref="E202:E204"/>
    <mergeCell ref="F202:F204"/>
    <mergeCell ref="G199:G201"/>
    <mergeCell ref="H199:H201"/>
    <mergeCell ref="I199:I201"/>
    <mergeCell ref="J199:J201"/>
    <mergeCell ref="K199:K201"/>
    <mergeCell ref="R199:R201"/>
    <mergeCell ref="S197:S198"/>
    <mergeCell ref="T197:T198"/>
    <mergeCell ref="U197:U198"/>
    <mergeCell ref="V197:V198"/>
    <mergeCell ref="A199:A201"/>
    <mergeCell ref="B199:B201"/>
    <mergeCell ref="C199:C201"/>
    <mergeCell ref="D199:D201"/>
    <mergeCell ref="E199:E201"/>
    <mergeCell ref="F199:F201"/>
    <mergeCell ref="G197:G198"/>
    <mergeCell ref="H197:H198"/>
    <mergeCell ref="I197:I198"/>
    <mergeCell ref="J197:J198"/>
    <mergeCell ref="K197:K198"/>
    <mergeCell ref="R197:R198"/>
    <mergeCell ref="A197:A198"/>
    <mergeCell ref="B197:B198"/>
    <mergeCell ref="C197:C198"/>
    <mergeCell ref="D197:D198"/>
    <mergeCell ref="E197:E198"/>
    <mergeCell ref="F197:F198"/>
    <mergeCell ref="J194:J196"/>
    <mergeCell ref="K194:K196"/>
    <mergeCell ref="R194:R196"/>
    <mergeCell ref="S194:S196"/>
    <mergeCell ref="T194:T196"/>
    <mergeCell ref="U194:U196"/>
    <mergeCell ref="V190:V191"/>
    <mergeCell ref="A194:A196"/>
    <mergeCell ref="B194:B196"/>
    <mergeCell ref="C194:C196"/>
    <mergeCell ref="D194:D196"/>
    <mergeCell ref="E194:E196"/>
    <mergeCell ref="F194:F196"/>
    <mergeCell ref="G194:G196"/>
    <mergeCell ref="H194:H196"/>
    <mergeCell ref="I194:I196"/>
    <mergeCell ref="I190:I191"/>
    <mergeCell ref="J190:J191"/>
    <mergeCell ref="K190:K191"/>
    <mergeCell ref="S190:S191"/>
    <mergeCell ref="T190:T191"/>
    <mergeCell ref="U190:U191"/>
    <mergeCell ref="U184:U188"/>
    <mergeCell ref="V184:V188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84:I188"/>
    <mergeCell ref="J184:J188"/>
    <mergeCell ref="K184:K188"/>
    <mergeCell ref="R184:R188"/>
    <mergeCell ref="S184:S188"/>
    <mergeCell ref="T184:T188"/>
    <mergeCell ref="U182:U183"/>
    <mergeCell ref="V182:V183"/>
    <mergeCell ref="A184:A188"/>
    <mergeCell ref="B184:B188"/>
    <mergeCell ref="C184:C188"/>
    <mergeCell ref="D184:D188"/>
    <mergeCell ref="E184:E188"/>
    <mergeCell ref="F184:F188"/>
    <mergeCell ref="G184:G188"/>
    <mergeCell ref="H184:H188"/>
    <mergeCell ref="I182:I183"/>
    <mergeCell ref="J182:J183"/>
    <mergeCell ref="K182:K183"/>
    <mergeCell ref="R182:R183"/>
    <mergeCell ref="S182:S183"/>
    <mergeCell ref="T182:T183"/>
    <mergeCell ref="U161:U162"/>
    <mergeCell ref="V161:V162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H161:H162"/>
    <mergeCell ref="I161:I162"/>
    <mergeCell ref="J161:J162"/>
    <mergeCell ref="K161:K162"/>
    <mergeCell ref="S161:S162"/>
    <mergeCell ref="T161:T162"/>
    <mergeCell ref="T157:T160"/>
    <mergeCell ref="U157:U160"/>
    <mergeCell ref="V157:V160"/>
    <mergeCell ref="A161:A162"/>
    <mergeCell ref="B161:B162"/>
    <mergeCell ref="C161:C162"/>
    <mergeCell ref="D161:D162"/>
    <mergeCell ref="E161:E162"/>
    <mergeCell ref="F161:F162"/>
    <mergeCell ref="G161:G162"/>
    <mergeCell ref="G157:G160"/>
    <mergeCell ref="H157:H160"/>
    <mergeCell ref="I157:I160"/>
    <mergeCell ref="J157:J160"/>
    <mergeCell ref="K157:K160"/>
    <mergeCell ref="S157:S160"/>
    <mergeCell ref="A157:A160"/>
    <mergeCell ref="B157:B160"/>
    <mergeCell ref="C157:C160"/>
    <mergeCell ref="D157:D160"/>
    <mergeCell ref="E157:E160"/>
    <mergeCell ref="F157:F160"/>
    <mergeCell ref="J153:J154"/>
    <mergeCell ref="K153:K154"/>
    <mergeCell ref="S153:S154"/>
    <mergeCell ref="T153:T154"/>
    <mergeCell ref="U153:U154"/>
    <mergeCell ref="V153:V154"/>
    <mergeCell ref="V149:V150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J149:J152"/>
    <mergeCell ref="K149:K152"/>
    <mergeCell ref="R149:R151"/>
    <mergeCell ref="S149:S152"/>
    <mergeCell ref="T149:T152"/>
    <mergeCell ref="U149:U152"/>
    <mergeCell ref="V145:V148"/>
    <mergeCell ref="A149:A152"/>
    <mergeCell ref="B149:B152"/>
    <mergeCell ref="C149:C152"/>
    <mergeCell ref="D149:D152"/>
    <mergeCell ref="E149:E152"/>
    <mergeCell ref="F149:F152"/>
    <mergeCell ref="G149:G152"/>
    <mergeCell ref="H149:H152"/>
    <mergeCell ref="I149:I152"/>
    <mergeCell ref="J145:J148"/>
    <mergeCell ref="K145:K148"/>
    <mergeCell ref="R145:R148"/>
    <mergeCell ref="S145:S148"/>
    <mergeCell ref="T145:T148"/>
    <mergeCell ref="U145:U148"/>
    <mergeCell ref="U143:U144"/>
    <mergeCell ref="A145:A148"/>
    <mergeCell ref="B145:B148"/>
    <mergeCell ref="C145:C148"/>
    <mergeCell ref="D145:D148"/>
    <mergeCell ref="E145:E148"/>
    <mergeCell ref="F145:F148"/>
    <mergeCell ref="G145:G148"/>
    <mergeCell ref="H145:H148"/>
    <mergeCell ref="I145:I148"/>
    <mergeCell ref="I143:I144"/>
    <mergeCell ref="J143:J144"/>
    <mergeCell ref="K143:K144"/>
    <mergeCell ref="R143:R144"/>
    <mergeCell ref="S143:S144"/>
    <mergeCell ref="T143:T144"/>
    <mergeCell ref="U141:U142"/>
    <mergeCell ref="V141:V142"/>
    <mergeCell ref="A143:A144"/>
    <mergeCell ref="B143:B144"/>
    <mergeCell ref="C143:C144"/>
    <mergeCell ref="D143:D144"/>
    <mergeCell ref="E143:E144"/>
    <mergeCell ref="F143:F144"/>
    <mergeCell ref="G143:G144"/>
    <mergeCell ref="H143:H144"/>
    <mergeCell ref="I141:I142"/>
    <mergeCell ref="J141:J142"/>
    <mergeCell ref="K141:K142"/>
    <mergeCell ref="R141:R142"/>
    <mergeCell ref="S141:S142"/>
    <mergeCell ref="T141:T142"/>
    <mergeCell ref="U137:U140"/>
    <mergeCell ref="V137:V140"/>
    <mergeCell ref="A141:A142"/>
    <mergeCell ref="B141:B142"/>
    <mergeCell ref="C141:C142"/>
    <mergeCell ref="D141:D142"/>
    <mergeCell ref="E141:E142"/>
    <mergeCell ref="F141:F142"/>
    <mergeCell ref="G141:G142"/>
    <mergeCell ref="H141:H142"/>
    <mergeCell ref="I137:I140"/>
    <mergeCell ref="J137:J140"/>
    <mergeCell ref="K137:K140"/>
    <mergeCell ref="R137:R140"/>
    <mergeCell ref="S137:S140"/>
    <mergeCell ref="T137:T140"/>
    <mergeCell ref="U132:U133"/>
    <mergeCell ref="V132:V133"/>
    <mergeCell ref="A137:A140"/>
    <mergeCell ref="B137:B140"/>
    <mergeCell ref="C137:C140"/>
    <mergeCell ref="D137:D140"/>
    <mergeCell ref="E137:E140"/>
    <mergeCell ref="F137:F140"/>
    <mergeCell ref="G137:G140"/>
    <mergeCell ref="H137:H140"/>
    <mergeCell ref="I132:I133"/>
    <mergeCell ref="J132:J133"/>
    <mergeCell ref="K132:K133"/>
    <mergeCell ref="R132:R133"/>
    <mergeCell ref="S132:S133"/>
    <mergeCell ref="T132:T133"/>
    <mergeCell ref="U128:U131"/>
    <mergeCell ref="V128:V13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28:I131"/>
    <mergeCell ref="J128:J131"/>
    <mergeCell ref="K128:K131"/>
    <mergeCell ref="R128:R131"/>
    <mergeCell ref="S128:S131"/>
    <mergeCell ref="T128:T131"/>
    <mergeCell ref="U107:U108"/>
    <mergeCell ref="V107:V108"/>
    <mergeCell ref="A128:A131"/>
    <mergeCell ref="B128:B131"/>
    <mergeCell ref="C128:C131"/>
    <mergeCell ref="D128:D131"/>
    <mergeCell ref="E128:E131"/>
    <mergeCell ref="F128:F131"/>
    <mergeCell ref="G128:G131"/>
    <mergeCell ref="H128:H131"/>
    <mergeCell ref="J107:J108"/>
    <mergeCell ref="K107:K108"/>
    <mergeCell ref="L107:L108"/>
    <mergeCell ref="R107:R108"/>
    <mergeCell ref="S107:S108"/>
    <mergeCell ref="T107:T108"/>
    <mergeCell ref="V104:V106"/>
    <mergeCell ref="A107:A108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J104:J106"/>
    <mergeCell ref="K104:K106"/>
    <mergeCell ref="R104:R106"/>
    <mergeCell ref="S104:S106"/>
    <mergeCell ref="T104:T106"/>
    <mergeCell ref="U104:U106"/>
    <mergeCell ref="V102:V103"/>
    <mergeCell ref="A104:A106"/>
    <mergeCell ref="B104:B106"/>
    <mergeCell ref="C104:C106"/>
    <mergeCell ref="D104:D106"/>
    <mergeCell ref="E104:E106"/>
    <mergeCell ref="F104:F106"/>
    <mergeCell ref="G104:G106"/>
    <mergeCell ref="H104:H106"/>
    <mergeCell ref="I104:I106"/>
    <mergeCell ref="J102:J103"/>
    <mergeCell ref="K102:K103"/>
    <mergeCell ref="R102:R103"/>
    <mergeCell ref="S102:S103"/>
    <mergeCell ref="T102:T103"/>
    <mergeCell ref="U102:U103"/>
    <mergeCell ref="V92:V93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I92:I93"/>
    <mergeCell ref="J92:J93"/>
    <mergeCell ref="K92:K93"/>
    <mergeCell ref="S92:S93"/>
    <mergeCell ref="T92:T93"/>
    <mergeCell ref="U92:U93"/>
    <mergeCell ref="U89:U91"/>
    <mergeCell ref="V89:V91"/>
    <mergeCell ref="A92:A93"/>
    <mergeCell ref="B92:B93"/>
    <mergeCell ref="C92:C93"/>
    <mergeCell ref="D92:D93"/>
    <mergeCell ref="E92:E93"/>
    <mergeCell ref="F92:F93"/>
    <mergeCell ref="G92:G93"/>
    <mergeCell ref="H92:H93"/>
    <mergeCell ref="H89:H91"/>
    <mergeCell ref="I89:I91"/>
    <mergeCell ref="J89:J91"/>
    <mergeCell ref="K89:K91"/>
    <mergeCell ref="S89:S91"/>
    <mergeCell ref="T89:T91"/>
    <mergeCell ref="T86:T88"/>
    <mergeCell ref="U86:U88"/>
    <mergeCell ref="V86:V87"/>
    <mergeCell ref="A89:A91"/>
    <mergeCell ref="B89:B91"/>
    <mergeCell ref="C89:C91"/>
    <mergeCell ref="D89:D91"/>
    <mergeCell ref="E89:E91"/>
    <mergeCell ref="F89:F91"/>
    <mergeCell ref="G89:G91"/>
    <mergeCell ref="G86:G88"/>
    <mergeCell ref="H86:H88"/>
    <mergeCell ref="I86:I88"/>
    <mergeCell ref="J86:J88"/>
    <mergeCell ref="K86:K88"/>
    <mergeCell ref="S86:S88"/>
    <mergeCell ref="A86:A88"/>
    <mergeCell ref="B86:B88"/>
    <mergeCell ref="C86:C88"/>
    <mergeCell ref="D86:D88"/>
    <mergeCell ref="E86:E88"/>
    <mergeCell ref="F86:F88"/>
    <mergeCell ref="J84:J85"/>
    <mergeCell ref="K84:K85"/>
    <mergeCell ref="S84:S85"/>
    <mergeCell ref="T84:T85"/>
    <mergeCell ref="U84:U85"/>
    <mergeCell ref="V84:V85"/>
    <mergeCell ref="V79:V82"/>
    <mergeCell ref="A84:A85"/>
    <mergeCell ref="B84:B85"/>
    <mergeCell ref="C84:C85"/>
    <mergeCell ref="D84:D85"/>
    <mergeCell ref="E84:E85"/>
    <mergeCell ref="F84:F85"/>
    <mergeCell ref="G84:G85"/>
    <mergeCell ref="H84:H85"/>
    <mergeCell ref="I84:I85"/>
    <mergeCell ref="J79:J82"/>
    <mergeCell ref="K79:K82"/>
    <mergeCell ref="R79:R82"/>
    <mergeCell ref="S79:S82"/>
    <mergeCell ref="T79:T82"/>
    <mergeCell ref="U79:U82"/>
    <mergeCell ref="V76:V78"/>
    <mergeCell ref="A79:A82"/>
    <mergeCell ref="B79:B82"/>
    <mergeCell ref="C79:C82"/>
    <mergeCell ref="D79:D82"/>
    <mergeCell ref="E79:E82"/>
    <mergeCell ref="F79:F82"/>
    <mergeCell ref="G79:G82"/>
    <mergeCell ref="H79:H82"/>
    <mergeCell ref="I79:I82"/>
    <mergeCell ref="J76:J78"/>
    <mergeCell ref="K76:K78"/>
    <mergeCell ref="R76:R78"/>
    <mergeCell ref="S76:S78"/>
    <mergeCell ref="T76:T78"/>
    <mergeCell ref="U76:U78"/>
    <mergeCell ref="V72:V75"/>
    <mergeCell ref="A76:A78"/>
    <mergeCell ref="B76:B78"/>
    <mergeCell ref="C76:C78"/>
    <mergeCell ref="D76:D78"/>
    <mergeCell ref="E76:E78"/>
    <mergeCell ref="F76:F78"/>
    <mergeCell ref="G76:G78"/>
    <mergeCell ref="H76:H78"/>
    <mergeCell ref="I76:I78"/>
    <mergeCell ref="J72:J75"/>
    <mergeCell ref="K72:K75"/>
    <mergeCell ref="R72:R75"/>
    <mergeCell ref="S72:S75"/>
    <mergeCell ref="T72:T75"/>
    <mergeCell ref="U72:U75"/>
    <mergeCell ref="V64:V65"/>
    <mergeCell ref="A72:A75"/>
    <mergeCell ref="B72:B75"/>
    <mergeCell ref="C72:C75"/>
    <mergeCell ref="D72:D75"/>
    <mergeCell ref="E72:E75"/>
    <mergeCell ref="F72:F75"/>
    <mergeCell ref="G72:G75"/>
    <mergeCell ref="H72:H75"/>
    <mergeCell ref="I72:I75"/>
    <mergeCell ref="J64:J65"/>
    <mergeCell ref="K64:K65"/>
    <mergeCell ref="R64:R65"/>
    <mergeCell ref="S64:S65"/>
    <mergeCell ref="T64:T65"/>
    <mergeCell ref="U64:U65"/>
    <mergeCell ref="V57:V61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I57:I61"/>
    <mergeCell ref="J57:J61"/>
    <mergeCell ref="K57:K61"/>
    <mergeCell ref="S57:S61"/>
    <mergeCell ref="T57:T61"/>
    <mergeCell ref="U57:U61"/>
    <mergeCell ref="T52:T53"/>
    <mergeCell ref="U52:U53"/>
    <mergeCell ref="A57:A61"/>
    <mergeCell ref="B57:B61"/>
    <mergeCell ref="C57:C61"/>
    <mergeCell ref="D57:D61"/>
    <mergeCell ref="E57:E61"/>
    <mergeCell ref="F57:F61"/>
    <mergeCell ref="G57:G61"/>
    <mergeCell ref="H57:H61"/>
    <mergeCell ref="H52:H53"/>
    <mergeCell ref="I52:I53"/>
    <mergeCell ref="J52:J53"/>
    <mergeCell ref="K52:K53"/>
    <mergeCell ref="R52:R53"/>
    <mergeCell ref="S52:S53"/>
    <mergeCell ref="T46:T51"/>
    <mergeCell ref="U46:U51"/>
    <mergeCell ref="V46:V49"/>
    <mergeCell ref="A52:A53"/>
    <mergeCell ref="B52:B53"/>
    <mergeCell ref="C52:C53"/>
    <mergeCell ref="D52:D53"/>
    <mergeCell ref="E52:E53"/>
    <mergeCell ref="F52:F53"/>
    <mergeCell ref="G52:G53"/>
    <mergeCell ref="H46:H51"/>
    <mergeCell ref="I46:I51"/>
    <mergeCell ref="J46:J51"/>
    <mergeCell ref="K46:K51"/>
    <mergeCell ref="R46:R51"/>
    <mergeCell ref="S46:S51"/>
    <mergeCell ref="T44:T45"/>
    <mergeCell ref="U44:U45"/>
    <mergeCell ref="V44:V45"/>
    <mergeCell ref="A46:A51"/>
    <mergeCell ref="B46:B51"/>
    <mergeCell ref="C46:C51"/>
    <mergeCell ref="D46:D51"/>
    <mergeCell ref="E46:E51"/>
    <mergeCell ref="F46:F51"/>
    <mergeCell ref="G46:G51"/>
    <mergeCell ref="H44:H45"/>
    <mergeCell ref="I44:I45"/>
    <mergeCell ref="J44:J45"/>
    <mergeCell ref="K44:K45"/>
    <mergeCell ref="R44:R45"/>
    <mergeCell ref="S44:S45"/>
    <mergeCell ref="S42:S43"/>
    <mergeCell ref="T42:T43"/>
    <mergeCell ref="U42:U43"/>
    <mergeCell ref="A44:A45"/>
    <mergeCell ref="B44:B45"/>
    <mergeCell ref="C44:C45"/>
    <mergeCell ref="D44:D45"/>
    <mergeCell ref="E44:E45"/>
    <mergeCell ref="F44:F45"/>
    <mergeCell ref="G44:G45"/>
    <mergeCell ref="G42:G43"/>
    <mergeCell ref="H42:H43"/>
    <mergeCell ref="I42:I43"/>
    <mergeCell ref="J42:J43"/>
    <mergeCell ref="K42:K43"/>
    <mergeCell ref="R42:R43"/>
    <mergeCell ref="S36:S41"/>
    <mergeCell ref="T36:T41"/>
    <mergeCell ref="U36:U41"/>
    <mergeCell ref="V36:V41"/>
    <mergeCell ref="A42:A43"/>
    <mergeCell ref="B42:B43"/>
    <mergeCell ref="C42:C43"/>
    <mergeCell ref="D42:D43"/>
    <mergeCell ref="E42:E43"/>
    <mergeCell ref="F42:F43"/>
    <mergeCell ref="G36:G41"/>
    <mergeCell ref="H36:H41"/>
    <mergeCell ref="I36:I41"/>
    <mergeCell ref="J36:J41"/>
    <mergeCell ref="K36:K41"/>
    <mergeCell ref="R36:R41"/>
    <mergeCell ref="S34:S35"/>
    <mergeCell ref="T34:T35"/>
    <mergeCell ref="U34:U35"/>
    <mergeCell ref="V34:V35"/>
    <mergeCell ref="A36:A41"/>
    <mergeCell ref="B36:B41"/>
    <mergeCell ref="C36:C41"/>
    <mergeCell ref="D36:D41"/>
    <mergeCell ref="E36:E41"/>
    <mergeCell ref="F36:F41"/>
    <mergeCell ref="H34:H35"/>
    <mergeCell ref="I34:I35"/>
    <mergeCell ref="J34:J35"/>
    <mergeCell ref="K34:K35"/>
    <mergeCell ref="O34:O35"/>
    <mergeCell ref="R34:R35"/>
    <mergeCell ref="T32:T33"/>
    <mergeCell ref="U32:U33"/>
    <mergeCell ref="V32:V33"/>
    <mergeCell ref="A34:A35"/>
    <mergeCell ref="B34:B35"/>
    <mergeCell ref="C34:C35"/>
    <mergeCell ref="D34:D35"/>
    <mergeCell ref="E34:E35"/>
    <mergeCell ref="F34:F35"/>
    <mergeCell ref="G34:G35"/>
    <mergeCell ref="H32:H33"/>
    <mergeCell ref="I32:I33"/>
    <mergeCell ref="J32:J33"/>
    <mergeCell ref="K32:K33"/>
    <mergeCell ref="R32:R33"/>
    <mergeCell ref="S32:S33"/>
    <mergeCell ref="T29:T31"/>
    <mergeCell ref="U29:U31"/>
    <mergeCell ref="V29:V31"/>
    <mergeCell ref="A32:A33"/>
    <mergeCell ref="B32:B33"/>
    <mergeCell ref="C32:C33"/>
    <mergeCell ref="D32:D33"/>
    <mergeCell ref="E32:E33"/>
    <mergeCell ref="F32:F33"/>
    <mergeCell ref="G32:G33"/>
    <mergeCell ref="H29:H31"/>
    <mergeCell ref="I29:I31"/>
    <mergeCell ref="J29:J31"/>
    <mergeCell ref="K29:K31"/>
    <mergeCell ref="R29:R31"/>
    <mergeCell ref="S29:S31"/>
    <mergeCell ref="T23:T25"/>
    <mergeCell ref="U23:U25"/>
    <mergeCell ref="V23:V25"/>
    <mergeCell ref="A29:A31"/>
    <mergeCell ref="B29:B31"/>
    <mergeCell ref="C29:C31"/>
    <mergeCell ref="D29:D31"/>
    <mergeCell ref="E29:E31"/>
    <mergeCell ref="F29:F31"/>
    <mergeCell ref="G29:G31"/>
    <mergeCell ref="H23:H25"/>
    <mergeCell ref="I23:I25"/>
    <mergeCell ref="J23:J25"/>
    <mergeCell ref="K23:K25"/>
    <mergeCell ref="R23:R25"/>
    <mergeCell ref="S23:S25"/>
    <mergeCell ref="T19:T22"/>
    <mergeCell ref="U19:U22"/>
    <mergeCell ref="V19:V22"/>
    <mergeCell ref="A23:A25"/>
    <mergeCell ref="B23:B25"/>
    <mergeCell ref="C23:C25"/>
    <mergeCell ref="D23:D25"/>
    <mergeCell ref="E23:E25"/>
    <mergeCell ref="F23:F25"/>
    <mergeCell ref="G23:G25"/>
    <mergeCell ref="H19:H22"/>
    <mergeCell ref="I19:I22"/>
    <mergeCell ref="J19:J22"/>
    <mergeCell ref="K19:K22"/>
    <mergeCell ref="R19:R22"/>
    <mergeCell ref="S19:S22"/>
    <mergeCell ref="T15:T16"/>
    <mergeCell ref="U15:U16"/>
    <mergeCell ref="V15:V16"/>
    <mergeCell ref="A19:A22"/>
    <mergeCell ref="B19:B22"/>
    <mergeCell ref="C19:C22"/>
    <mergeCell ref="D19:D22"/>
    <mergeCell ref="E19:E22"/>
    <mergeCell ref="F19:F22"/>
    <mergeCell ref="G19:G22"/>
    <mergeCell ref="H15:H16"/>
    <mergeCell ref="I15:I16"/>
    <mergeCell ref="J15:J16"/>
    <mergeCell ref="K15:K16"/>
    <mergeCell ref="R15:R16"/>
    <mergeCell ref="S15:S16"/>
    <mergeCell ref="T13:T14"/>
    <mergeCell ref="U13:U14"/>
    <mergeCell ref="V13:V14"/>
    <mergeCell ref="A15:A16"/>
    <mergeCell ref="B15:B16"/>
    <mergeCell ref="C15:C16"/>
    <mergeCell ref="D15:D16"/>
    <mergeCell ref="E15:E16"/>
    <mergeCell ref="F15:F16"/>
    <mergeCell ref="G15:G16"/>
    <mergeCell ref="H13:H14"/>
    <mergeCell ref="I13:I14"/>
    <mergeCell ref="J13:J14"/>
    <mergeCell ref="K13:K14"/>
    <mergeCell ref="R13:R14"/>
    <mergeCell ref="S13:S14"/>
    <mergeCell ref="T10:T11"/>
    <mergeCell ref="U10:U11"/>
    <mergeCell ref="V10:V11"/>
    <mergeCell ref="A13:A14"/>
    <mergeCell ref="B13:B14"/>
    <mergeCell ref="C13:C14"/>
    <mergeCell ref="D13:D14"/>
    <mergeCell ref="E13:E14"/>
    <mergeCell ref="F13:F14"/>
    <mergeCell ref="G13:G14"/>
    <mergeCell ref="H10:H11"/>
    <mergeCell ref="I10:I11"/>
    <mergeCell ref="J10:J11"/>
    <mergeCell ref="K10:K11"/>
    <mergeCell ref="R10:R11"/>
    <mergeCell ref="S10:S11"/>
    <mergeCell ref="T7:T8"/>
    <mergeCell ref="U7:U8"/>
    <mergeCell ref="V7:V8"/>
    <mergeCell ref="A10:A11"/>
    <mergeCell ref="B10:B11"/>
    <mergeCell ref="C10:C11"/>
    <mergeCell ref="D10:D11"/>
    <mergeCell ref="E10:E11"/>
    <mergeCell ref="F10:F11"/>
    <mergeCell ref="G10:G11"/>
    <mergeCell ref="H7:H8"/>
    <mergeCell ref="I7:I8"/>
    <mergeCell ref="J7:J8"/>
    <mergeCell ref="K7:K8"/>
    <mergeCell ref="R7:R8"/>
    <mergeCell ref="S7:S8"/>
    <mergeCell ref="T3:T6"/>
    <mergeCell ref="U3:U6"/>
    <mergeCell ref="V3:V6"/>
    <mergeCell ref="A7:A8"/>
    <mergeCell ref="B7:B8"/>
    <mergeCell ref="C7:C8"/>
    <mergeCell ref="D7:D8"/>
    <mergeCell ref="E7:E8"/>
    <mergeCell ref="F7:F8"/>
    <mergeCell ref="G7:G8"/>
    <mergeCell ref="H3:H6"/>
    <mergeCell ref="I3:I6"/>
    <mergeCell ref="J3:J6"/>
    <mergeCell ref="K3:K6"/>
    <mergeCell ref="R3:R6"/>
    <mergeCell ref="S3:S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184 F3 F283:F289 F7 F192:F195 F44 F26:F29 F141 F202 F15 F104 F226 F46 F132 F254:F255 F197:F199 F9:F10 F32 F12:F13 F143 F205:F207 F109:F128 F86 F52 F23 F17:F19 F54:F57 F34 F36 F216 F145 F212:F213 F228 F79 F219:F223 F62:F72 F155:F157 F210 F134:F137 F94:F102 F189:F190 F258 F153 F84 F149 F107 F161 F163:F182 F262:F263 F92 F274:F281 F89 F265:F272 F231:F241 F243:F252" xr:uid="{66723969-E424-4C84-B73F-124E4A3FB424}">
      <formula1>"Approval, Information"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.5" x14ac:dyDescent="0.35"/>
  <cols>
    <col min="1" max="1" width="12.7265625" bestFit="1" customWidth="1"/>
    <col min="2" max="9" width="5.90625" bestFit="1" customWidth="1"/>
    <col min="10" max="11" width="6.90625" bestFit="1" customWidth="1"/>
    <col min="12" max="22" width="5.90625" bestFit="1" customWidth="1"/>
    <col min="31" max="31" width="5.90625" bestFit="1" customWidth="1"/>
    <col min="32" max="32" width="13.81640625" bestFit="1" customWidth="1"/>
    <col min="33" max="33" width="17.7265625" bestFit="1" customWidth="1"/>
  </cols>
  <sheetData>
    <row r="2" spans="1:43" s="10" customFormat="1" x14ac:dyDescent="0.35">
      <c r="A2" s="170" t="s">
        <v>10</v>
      </c>
      <c r="B2" s="171">
        <v>45754</v>
      </c>
      <c r="C2" s="171">
        <v>45755</v>
      </c>
      <c r="D2" s="171">
        <v>45756</v>
      </c>
      <c r="E2" s="171">
        <v>45757</v>
      </c>
      <c r="F2" s="171">
        <v>45758</v>
      </c>
      <c r="G2" s="171">
        <v>45759</v>
      </c>
      <c r="H2" s="171">
        <v>45760</v>
      </c>
      <c r="I2" s="171">
        <v>45761</v>
      </c>
      <c r="J2" s="171">
        <v>45762</v>
      </c>
      <c r="K2" s="171">
        <v>45763</v>
      </c>
      <c r="L2" s="171">
        <v>45764</v>
      </c>
      <c r="M2" s="171">
        <v>45765</v>
      </c>
      <c r="N2" s="171">
        <v>45766</v>
      </c>
      <c r="O2" s="171">
        <v>45767</v>
      </c>
      <c r="P2" s="171">
        <v>45768</v>
      </c>
      <c r="Q2" s="171">
        <v>45769</v>
      </c>
      <c r="R2" s="171">
        <v>45770</v>
      </c>
      <c r="S2" s="171">
        <v>45771</v>
      </c>
      <c r="T2" s="171">
        <v>45772</v>
      </c>
      <c r="U2" s="171">
        <v>45773</v>
      </c>
      <c r="V2" s="171">
        <v>45774</v>
      </c>
      <c r="W2" s="171">
        <v>45775</v>
      </c>
      <c r="X2" s="171">
        <v>45776</v>
      </c>
      <c r="Y2" s="171">
        <v>45777</v>
      </c>
      <c r="Z2" s="171">
        <v>45778</v>
      </c>
      <c r="AA2" s="171">
        <v>45779</v>
      </c>
      <c r="AB2" s="171">
        <v>45780</v>
      </c>
      <c r="AC2" s="171">
        <v>45781</v>
      </c>
      <c r="AD2" s="171">
        <v>45782</v>
      </c>
      <c r="AE2" s="171">
        <v>45783</v>
      </c>
      <c r="AF2" s="171">
        <v>45784</v>
      </c>
      <c r="AG2" s="171">
        <v>45785</v>
      </c>
      <c r="AH2" s="171">
        <v>45786</v>
      </c>
      <c r="AI2" s="171">
        <v>45787</v>
      </c>
      <c r="AJ2" s="171">
        <v>45788</v>
      </c>
      <c r="AK2" s="171">
        <v>45789</v>
      </c>
      <c r="AL2" s="171">
        <v>45790</v>
      </c>
      <c r="AM2" s="171">
        <v>45791</v>
      </c>
    </row>
    <row r="3" spans="1:43" s="10" customFormat="1" x14ac:dyDescent="0.35">
      <c r="A3" s="170" t="s">
        <v>409</v>
      </c>
      <c r="B3" s="172">
        <v>1</v>
      </c>
      <c r="C3" s="172">
        <v>1</v>
      </c>
      <c r="D3" s="172">
        <v>1</v>
      </c>
      <c r="E3" s="172">
        <v>1</v>
      </c>
      <c r="F3" s="172">
        <v>2</v>
      </c>
      <c r="G3" s="173">
        <v>2</v>
      </c>
      <c r="H3" s="173">
        <v>1</v>
      </c>
      <c r="I3" s="173">
        <v>1</v>
      </c>
      <c r="J3" s="174"/>
      <c r="K3" s="174"/>
      <c r="L3" s="173">
        <v>4</v>
      </c>
      <c r="M3" s="173">
        <v>4</v>
      </c>
      <c r="N3" s="173">
        <v>4</v>
      </c>
      <c r="O3" s="173">
        <v>4</v>
      </c>
      <c r="P3" s="173">
        <v>4</v>
      </c>
      <c r="Q3" s="173">
        <v>6</v>
      </c>
      <c r="R3" s="173">
        <v>6</v>
      </c>
      <c r="S3" s="173">
        <v>6</v>
      </c>
      <c r="T3" s="173">
        <v>6</v>
      </c>
      <c r="U3" s="173">
        <v>4</v>
      </c>
      <c r="V3" s="173">
        <v>4</v>
      </c>
      <c r="W3" s="175">
        <v>4</v>
      </c>
      <c r="X3" s="175">
        <v>6</v>
      </c>
      <c r="Y3" s="175">
        <v>6</v>
      </c>
      <c r="Z3" s="175">
        <v>4</v>
      </c>
      <c r="AA3" s="175">
        <v>4</v>
      </c>
      <c r="AB3" s="175">
        <v>6</v>
      </c>
      <c r="AC3" s="175">
        <v>6</v>
      </c>
      <c r="AD3" s="175">
        <v>6</v>
      </c>
      <c r="AE3" s="173">
        <v>5</v>
      </c>
      <c r="AF3" s="175">
        <v>4</v>
      </c>
      <c r="AG3" s="175">
        <v>3</v>
      </c>
      <c r="AH3" s="175">
        <v>5</v>
      </c>
      <c r="AI3" s="175">
        <v>5</v>
      </c>
      <c r="AJ3" s="175">
        <v>5</v>
      </c>
      <c r="AK3" s="175">
        <v>4</v>
      </c>
      <c r="AL3" s="175">
        <v>6</v>
      </c>
      <c r="AM3" s="175"/>
      <c r="AP3" s="176">
        <f>SUM(B3:AK3)</f>
        <v>135</v>
      </c>
    </row>
    <row r="4" spans="1:43" s="10" customFormat="1" x14ac:dyDescent="0.35">
      <c r="A4" s="170" t="s">
        <v>410</v>
      </c>
      <c r="B4" s="175">
        <f>'Construction Status'!Z4</f>
        <v>1.5</v>
      </c>
      <c r="C4" s="175">
        <f>'Construction Status'!AA4</f>
        <v>3.5</v>
      </c>
      <c r="D4" s="175">
        <f>'Construction Status'!AB4</f>
        <v>4</v>
      </c>
      <c r="E4" s="175">
        <f>'Construction Status'!AC4</f>
        <v>4</v>
      </c>
      <c r="F4" s="175">
        <f>'Construction Status'!AD4</f>
        <v>4</v>
      </c>
      <c r="G4" s="175">
        <f>'Construction Status'!AE4</f>
        <v>4</v>
      </c>
      <c r="H4" s="175">
        <f>'Construction Status'!AF4</f>
        <v>3</v>
      </c>
      <c r="I4" s="175">
        <f>'Construction Status'!AG4</f>
        <v>2</v>
      </c>
      <c r="J4" s="175">
        <f>'Construction Status'!AH4</f>
        <v>0</v>
      </c>
      <c r="K4" s="175">
        <f>'Construction Status'!AI4-10</f>
        <v>0</v>
      </c>
      <c r="L4" s="175">
        <f>'Construction Status'!AJ4</f>
        <v>20</v>
      </c>
      <c r="M4" s="175">
        <f>'Construction Status'!AK4</f>
        <v>20</v>
      </c>
      <c r="N4" s="175">
        <f>'Construction Status'!AL4+5</f>
        <v>25</v>
      </c>
      <c r="O4" s="175">
        <f>'Construction Status'!AM4+5</f>
        <v>26</v>
      </c>
      <c r="P4" s="175">
        <f>'Construction Status'!AN4</f>
        <v>40</v>
      </c>
      <c r="Q4" s="175">
        <f>'Construction Status'!AO4</f>
        <v>40</v>
      </c>
      <c r="R4" s="175">
        <f>'Construction Status'!AP4</f>
        <v>40</v>
      </c>
      <c r="S4" s="175">
        <f>'Construction Status'!AQ4</f>
        <v>38</v>
      </c>
      <c r="T4" s="175">
        <f>'Construction Status'!AR4</f>
        <v>0</v>
      </c>
      <c r="U4" s="175">
        <f>'Construction Status'!AS4</f>
        <v>0</v>
      </c>
      <c r="V4" s="175">
        <f>'Construction Status'!AT4</f>
        <v>0</v>
      </c>
      <c r="W4" s="175">
        <f>'Construction Status'!AU4</f>
        <v>0</v>
      </c>
      <c r="X4" s="175">
        <f>'Construction Status'!AV4</f>
        <v>0</v>
      </c>
      <c r="Y4" s="175">
        <f>'Construction Status'!AW4</f>
        <v>0</v>
      </c>
      <c r="Z4" s="175">
        <f>'Construction Status'!AX4</f>
        <v>0</v>
      </c>
      <c r="AA4" s="175">
        <f>'Construction Status'!AY4</f>
        <v>0</v>
      </c>
      <c r="AB4" s="175">
        <f>'Construction Status'!AZ4</f>
        <v>0</v>
      </c>
      <c r="AC4" s="175">
        <f>'Construction Status'!BA4</f>
        <v>0</v>
      </c>
      <c r="AD4" s="175"/>
      <c r="AE4" s="175"/>
      <c r="AF4" s="175">
        <v>5</v>
      </c>
      <c r="AG4" s="175">
        <v>10</v>
      </c>
      <c r="AH4" s="175">
        <v>10</v>
      </c>
      <c r="AI4" s="175">
        <v>5</v>
      </c>
      <c r="AJ4" s="175">
        <v>7</v>
      </c>
      <c r="AK4" s="175">
        <v>5</v>
      </c>
      <c r="AL4" s="175"/>
      <c r="AM4" s="175"/>
      <c r="AP4" s="176">
        <f>SUM(B4:AK4)</f>
        <v>317</v>
      </c>
      <c r="AQ4" s="177">
        <f>AP4/AP3</f>
        <v>2.3481481481481481</v>
      </c>
    </row>
    <row r="5" spans="1:43" s="10" customFormat="1" x14ac:dyDescent="0.35">
      <c r="A5" s="170" t="s">
        <v>411</v>
      </c>
      <c r="B5" s="175">
        <f>'Construction Status'!Z5</f>
        <v>0</v>
      </c>
      <c r="C5" s="175">
        <f>'Construction Status'!AA5</f>
        <v>0</v>
      </c>
      <c r="D5" s="175">
        <f>'Construction Status'!AB5</f>
        <v>0</v>
      </c>
      <c r="E5" s="175">
        <f>'Construction Status'!AC5</f>
        <v>0</v>
      </c>
      <c r="F5" s="175">
        <f>'Construction Status'!AD5</f>
        <v>0</v>
      </c>
      <c r="G5" s="175">
        <f>'Construction Status'!AE5</f>
        <v>0</v>
      </c>
      <c r="H5" s="175">
        <f>'Construction Status'!AF5</f>
        <v>0</v>
      </c>
      <c r="I5" s="175">
        <f>'Construction Status'!AG5</f>
        <v>0</v>
      </c>
      <c r="J5" s="175">
        <f>'Construction Status'!AH5</f>
        <v>0</v>
      </c>
      <c r="K5" s="175">
        <f>'Construction Status'!AI5</f>
        <v>0</v>
      </c>
      <c r="L5" s="175">
        <f>'Construction Status'!AJ5</f>
        <v>0</v>
      </c>
      <c r="M5" s="175">
        <f>'Construction Status'!AK5</f>
        <v>0</v>
      </c>
      <c r="N5" s="175">
        <f>'Construction Status'!AL5</f>
        <v>0</v>
      </c>
      <c r="O5" s="175">
        <f>'Construction Status'!AM5</f>
        <v>0</v>
      </c>
      <c r="P5" s="175">
        <f>'Construction Status'!AN5</f>
        <v>0</v>
      </c>
      <c r="Q5" s="175">
        <f>'Construction Status'!AO5</f>
        <v>0</v>
      </c>
      <c r="R5" s="175">
        <f>'Construction Status'!AP5</f>
        <v>0</v>
      </c>
      <c r="S5" s="175">
        <f>'Construction Status'!AQ5</f>
        <v>0</v>
      </c>
      <c r="T5" s="175">
        <f>'Construction Status'!AR5</f>
        <v>10</v>
      </c>
      <c r="U5" s="175">
        <f>'Construction Status'!AS5</f>
        <v>10</v>
      </c>
      <c r="V5" s="175">
        <f>'Construction Status'!AT5</f>
        <v>10</v>
      </c>
      <c r="W5" s="175">
        <f>'Construction Status'!AU5</f>
        <v>10</v>
      </c>
      <c r="X5" s="175">
        <f>'Construction Status'!AV5</f>
        <v>12</v>
      </c>
      <c r="Y5" s="175">
        <f>'Construction Status'!AW5</f>
        <v>13</v>
      </c>
      <c r="Z5" s="175">
        <f>'Construction Status'!AX5</f>
        <v>10</v>
      </c>
      <c r="AA5" s="175">
        <f>'Construction Status'!AY5</f>
        <v>12</v>
      </c>
      <c r="AB5" s="175">
        <f>'Construction Status'!AZ5</f>
        <v>11</v>
      </c>
      <c r="AC5" s="175">
        <f>'Construction Status'!BA5</f>
        <v>20</v>
      </c>
      <c r="AD5" s="175">
        <v>14</v>
      </c>
      <c r="AE5" s="175">
        <v>16</v>
      </c>
      <c r="AF5" s="175">
        <v>16</v>
      </c>
      <c r="AG5" s="175">
        <v>10</v>
      </c>
      <c r="AH5" s="175">
        <v>10</v>
      </c>
      <c r="AI5" s="175">
        <v>5</v>
      </c>
      <c r="AJ5" s="175">
        <v>7</v>
      </c>
      <c r="AK5" s="175">
        <v>5</v>
      </c>
      <c r="AL5" s="175"/>
      <c r="AM5" s="175"/>
      <c r="AP5" s="176">
        <f>SUM(T3:AK3)</f>
        <v>87</v>
      </c>
    </row>
    <row r="6" spans="1:43" s="10" customFormat="1" x14ac:dyDescent="0.35">
      <c r="A6" s="178" t="s">
        <v>412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P6" s="176">
        <f>SUM(B5:AK5)</f>
        <v>201</v>
      </c>
      <c r="AQ6" s="177">
        <f>AP6/AP5</f>
        <v>2.3103448275862069</v>
      </c>
    </row>
    <row r="7" spans="1:43" s="10" customFormat="1" x14ac:dyDescent="0.35">
      <c r="A7" s="170" t="s">
        <v>410</v>
      </c>
      <c r="B7" s="180">
        <f>B4/B3</f>
        <v>1.5</v>
      </c>
      <c r="C7" s="180">
        <f t="shared" ref="C7:S7" si="0">C4/C3</f>
        <v>3.5</v>
      </c>
      <c r="D7" s="180">
        <f t="shared" si="0"/>
        <v>4</v>
      </c>
      <c r="E7" s="180">
        <f t="shared" si="0"/>
        <v>4</v>
      </c>
      <c r="F7" s="180">
        <f t="shared" si="0"/>
        <v>2</v>
      </c>
      <c r="G7" s="180">
        <f t="shared" si="0"/>
        <v>2</v>
      </c>
      <c r="H7" s="180">
        <f t="shared" si="0"/>
        <v>3</v>
      </c>
      <c r="I7" s="180">
        <f t="shared" si="0"/>
        <v>2</v>
      </c>
      <c r="J7" s="180"/>
      <c r="K7" s="180"/>
      <c r="L7" s="180">
        <f t="shared" si="0"/>
        <v>5</v>
      </c>
      <c r="M7" s="180">
        <f t="shared" si="0"/>
        <v>5</v>
      </c>
      <c r="N7" s="180">
        <f t="shared" si="0"/>
        <v>6.25</v>
      </c>
      <c r="O7" s="180">
        <f t="shared" si="0"/>
        <v>6.5</v>
      </c>
      <c r="P7" s="180">
        <f t="shared" si="0"/>
        <v>10</v>
      </c>
      <c r="Q7" s="180">
        <f t="shared" si="0"/>
        <v>6.666666666666667</v>
      </c>
      <c r="R7" s="180">
        <f t="shared" si="0"/>
        <v>6.666666666666667</v>
      </c>
      <c r="S7" s="180">
        <f t="shared" si="0"/>
        <v>6.333333333333333</v>
      </c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</row>
    <row r="8" spans="1:43" s="10" customFormat="1" x14ac:dyDescent="0.35">
      <c r="A8" s="170" t="s">
        <v>411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80">
        <f>T5/T3</f>
        <v>1.6666666666666667</v>
      </c>
      <c r="U8" s="180">
        <f t="shared" ref="U8:AD8" si="1">U5/U3</f>
        <v>2.5</v>
      </c>
      <c r="V8" s="180">
        <f t="shared" si="1"/>
        <v>2.5</v>
      </c>
      <c r="W8" s="180">
        <f t="shared" si="1"/>
        <v>2.5</v>
      </c>
      <c r="X8" s="180">
        <f t="shared" si="1"/>
        <v>2</v>
      </c>
      <c r="Y8" s="180">
        <f t="shared" si="1"/>
        <v>2.1666666666666665</v>
      </c>
      <c r="Z8" s="180">
        <f t="shared" si="1"/>
        <v>2.5</v>
      </c>
      <c r="AA8" s="180">
        <f t="shared" si="1"/>
        <v>3</v>
      </c>
      <c r="AB8" s="180">
        <f t="shared" si="1"/>
        <v>1.8333333333333333</v>
      </c>
      <c r="AC8" s="180">
        <f t="shared" si="1"/>
        <v>3.3333333333333335</v>
      </c>
      <c r="AD8" s="180">
        <f t="shared" si="1"/>
        <v>2.3333333333333335</v>
      </c>
      <c r="AE8" s="180">
        <f t="shared" ref="AE8:AM8" si="2">AE5/AE3</f>
        <v>3.2</v>
      </c>
      <c r="AF8" s="180">
        <f t="shared" si="2"/>
        <v>4</v>
      </c>
      <c r="AG8" s="180">
        <f t="shared" si="2"/>
        <v>3.3333333333333335</v>
      </c>
      <c r="AH8" s="180">
        <f t="shared" si="2"/>
        <v>2</v>
      </c>
      <c r="AI8" s="180">
        <f t="shared" si="2"/>
        <v>1</v>
      </c>
      <c r="AJ8" s="180">
        <f t="shared" si="2"/>
        <v>1.4</v>
      </c>
      <c r="AK8" s="180">
        <f t="shared" si="2"/>
        <v>1.25</v>
      </c>
      <c r="AL8" s="180">
        <f t="shared" si="2"/>
        <v>0</v>
      </c>
      <c r="AM8" s="180" t="e">
        <f t="shared" si="2"/>
        <v>#DIV/0!</v>
      </c>
    </row>
    <row r="10" spans="1:43" x14ac:dyDescent="0.35">
      <c r="A10" s="181" t="s">
        <v>413</v>
      </c>
    </row>
    <row r="11" spans="1:43" x14ac:dyDescent="0.35">
      <c r="A11" s="181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5">
      <c r="AC13" t="s">
        <v>415</v>
      </c>
      <c r="AE13" t="s">
        <v>8</v>
      </c>
      <c r="AF13" t="s">
        <v>414</v>
      </c>
      <c r="AG13" t="s">
        <v>416</v>
      </c>
    </row>
    <row r="14" spans="1:43" x14ac:dyDescent="0.35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6">
        <f>AE14/AF14</f>
        <v>10.684210526315789</v>
      </c>
    </row>
    <row r="16" spans="1:43" x14ac:dyDescent="0.35">
      <c r="AC16" t="s">
        <v>4</v>
      </c>
    </row>
    <row r="17" spans="29:33" x14ac:dyDescent="0.35">
      <c r="AC17">
        <v>250</v>
      </c>
      <c r="AD17">
        <v>121</v>
      </c>
      <c r="AE17">
        <f>AC17-AD17</f>
        <v>129</v>
      </c>
      <c r="AF17">
        <f>AF14</f>
        <v>19</v>
      </c>
      <c r="AG17" s="186">
        <f>AE17/AF17</f>
        <v>6.7894736842105265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dimension ref="A1:F21"/>
  <sheetViews>
    <sheetView topLeftCell="A2" zoomScale="80" zoomScaleNormal="80" workbookViewId="0">
      <selection activeCell="C14" sqref="C14"/>
    </sheetView>
  </sheetViews>
  <sheetFormatPr defaultRowHeight="16" x14ac:dyDescent="0.4"/>
  <cols>
    <col min="1" max="1" width="8.81640625" style="123" bestFit="1" customWidth="1"/>
    <col min="2" max="2" width="33.453125" style="123" customWidth="1"/>
    <col min="3" max="3" width="41.1796875" style="123" customWidth="1"/>
    <col min="4" max="4" width="19.453125" style="123" customWidth="1"/>
    <col min="5" max="5" width="21.81640625" style="123" customWidth="1"/>
    <col min="6" max="6" width="10.81640625" style="123" bestFit="1" customWidth="1"/>
    <col min="7" max="16384" width="8.7265625" style="123"/>
  </cols>
  <sheetData>
    <row r="1" spans="1:6" s="131" customFormat="1" x14ac:dyDescent="0.35">
      <c r="A1" s="240" t="s">
        <v>316</v>
      </c>
      <c r="B1" s="240" t="s">
        <v>388</v>
      </c>
      <c r="C1" s="241" t="s">
        <v>341</v>
      </c>
      <c r="D1" s="240" t="s">
        <v>317</v>
      </c>
      <c r="E1" s="240" t="s">
        <v>318</v>
      </c>
      <c r="F1" s="240" t="s">
        <v>301</v>
      </c>
    </row>
    <row r="2" spans="1:6" x14ac:dyDescent="0.4">
      <c r="A2" s="242">
        <v>1</v>
      </c>
      <c r="B2" s="243" t="s">
        <v>342</v>
      </c>
      <c r="C2" s="242" t="s">
        <v>398</v>
      </c>
      <c r="D2" s="244">
        <v>45757</v>
      </c>
      <c r="E2" s="245">
        <v>45759</v>
      </c>
      <c r="F2" s="246" t="s">
        <v>7</v>
      </c>
    </row>
    <row r="3" spans="1:6" x14ac:dyDescent="0.4">
      <c r="A3" s="242">
        <v>2</v>
      </c>
      <c r="B3" s="243" t="s">
        <v>343</v>
      </c>
      <c r="C3" s="242" t="s">
        <v>363</v>
      </c>
      <c r="D3" s="244">
        <v>45757</v>
      </c>
      <c r="E3" s="245">
        <v>45747</v>
      </c>
      <c r="F3" s="246" t="s">
        <v>7</v>
      </c>
    </row>
    <row r="4" spans="1:6" x14ac:dyDescent="0.4">
      <c r="A4" s="247">
        <v>3</v>
      </c>
      <c r="B4" s="248" t="s">
        <v>344</v>
      </c>
      <c r="C4" s="249"/>
      <c r="D4" s="250">
        <v>45780</v>
      </c>
      <c r="E4" s="251">
        <v>45838</v>
      </c>
      <c r="F4" s="252"/>
    </row>
    <row r="5" spans="1:6" x14ac:dyDescent="0.4">
      <c r="A5" s="242">
        <v>4</v>
      </c>
      <c r="B5" s="243" t="s">
        <v>345</v>
      </c>
      <c r="C5" s="242" t="s">
        <v>423</v>
      </c>
      <c r="D5" s="244">
        <v>45768</v>
      </c>
      <c r="E5" s="244">
        <v>45797</v>
      </c>
      <c r="F5" s="246" t="s">
        <v>7</v>
      </c>
    </row>
    <row r="6" spans="1:6" x14ac:dyDescent="0.4">
      <c r="A6" s="242">
        <v>5</v>
      </c>
      <c r="B6" s="243" t="s">
        <v>346</v>
      </c>
      <c r="C6" s="242" t="s">
        <v>423</v>
      </c>
      <c r="D6" s="244">
        <v>45768</v>
      </c>
      <c r="E6" s="244">
        <v>45797</v>
      </c>
      <c r="F6" s="246" t="s">
        <v>7</v>
      </c>
    </row>
    <row r="7" spans="1:6" x14ac:dyDescent="0.4">
      <c r="A7" s="242">
        <v>6</v>
      </c>
      <c r="B7" s="243" t="s">
        <v>347</v>
      </c>
      <c r="C7" s="253" t="s">
        <v>830</v>
      </c>
      <c r="D7" s="244">
        <v>45784</v>
      </c>
      <c r="E7" s="244">
        <v>45848</v>
      </c>
      <c r="F7" s="246" t="s">
        <v>7</v>
      </c>
    </row>
    <row r="8" spans="1:6" hidden="1" x14ac:dyDescent="0.4">
      <c r="A8" s="247">
        <v>7</v>
      </c>
      <c r="B8" s="254" t="s">
        <v>348</v>
      </c>
      <c r="C8" s="249"/>
      <c r="D8" s="251">
        <v>45784</v>
      </c>
      <c r="E8" s="251">
        <v>45835</v>
      </c>
      <c r="F8" s="252"/>
    </row>
    <row r="9" spans="1:6" s="131" customFormat="1" x14ac:dyDescent="0.35">
      <c r="A9" s="246">
        <v>8</v>
      </c>
      <c r="B9" s="255" t="s">
        <v>349</v>
      </c>
      <c r="C9" s="242" t="s">
        <v>350</v>
      </c>
      <c r="D9" s="245">
        <v>45760</v>
      </c>
      <c r="E9" s="245">
        <v>45747</v>
      </c>
      <c r="F9" s="246" t="s">
        <v>7</v>
      </c>
    </row>
    <row r="10" spans="1:6" x14ac:dyDescent="0.4">
      <c r="A10" s="242">
        <v>9</v>
      </c>
      <c r="B10" s="243" t="s">
        <v>351</v>
      </c>
      <c r="C10" s="242" t="s">
        <v>820</v>
      </c>
      <c r="D10" s="244">
        <v>45757</v>
      </c>
      <c r="E10" s="244">
        <v>45838</v>
      </c>
      <c r="F10" s="246" t="s">
        <v>7</v>
      </c>
    </row>
    <row r="11" spans="1:6" x14ac:dyDescent="0.4">
      <c r="A11" s="242">
        <v>10</v>
      </c>
      <c r="B11" s="243" t="s">
        <v>352</v>
      </c>
      <c r="C11" s="242" t="s">
        <v>857</v>
      </c>
      <c r="D11" s="244">
        <v>45783</v>
      </c>
      <c r="E11" s="244">
        <v>45845</v>
      </c>
      <c r="F11" s="246" t="s">
        <v>7</v>
      </c>
    </row>
    <row r="12" spans="1:6" x14ac:dyDescent="0.4">
      <c r="A12" s="242">
        <v>11</v>
      </c>
      <c r="B12" s="243" t="s">
        <v>353</v>
      </c>
      <c r="C12" s="242" t="s">
        <v>856</v>
      </c>
      <c r="D12" s="244">
        <v>45768</v>
      </c>
      <c r="E12" s="244">
        <v>45845</v>
      </c>
      <c r="F12" s="246" t="s">
        <v>7</v>
      </c>
    </row>
    <row r="13" spans="1:6" x14ac:dyDescent="0.4">
      <c r="A13" s="247">
        <v>12</v>
      </c>
      <c r="B13" s="254" t="s">
        <v>354</v>
      </c>
      <c r="C13" s="256"/>
      <c r="D13" s="251">
        <v>45768</v>
      </c>
      <c r="E13" s="251">
        <v>45845</v>
      </c>
      <c r="F13" s="252"/>
    </row>
    <row r="14" spans="1:6" x14ac:dyDescent="0.4">
      <c r="A14" s="247">
        <v>13</v>
      </c>
      <c r="B14" s="254" t="s">
        <v>355</v>
      </c>
      <c r="C14" s="256"/>
      <c r="D14" s="251">
        <v>45783</v>
      </c>
      <c r="E14" s="251">
        <v>45845</v>
      </c>
      <c r="F14" s="252"/>
    </row>
    <row r="15" spans="1:6" x14ac:dyDescent="0.4">
      <c r="A15" s="247">
        <v>14</v>
      </c>
      <c r="B15" s="254" t="s">
        <v>356</v>
      </c>
      <c r="C15" s="256"/>
      <c r="D15" s="251">
        <v>45783</v>
      </c>
      <c r="E15" s="251">
        <v>45845</v>
      </c>
      <c r="F15" s="252"/>
    </row>
    <row r="16" spans="1:6" x14ac:dyDescent="0.4">
      <c r="A16" s="247">
        <v>15</v>
      </c>
      <c r="B16" s="254" t="s">
        <v>357</v>
      </c>
      <c r="C16" s="256"/>
      <c r="D16" s="251">
        <v>45783</v>
      </c>
      <c r="E16" s="251">
        <v>45845</v>
      </c>
      <c r="F16" s="252"/>
    </row>
    <row r="17" spans="1:6" x14ac:dyDescent="0.4">
      <c r="A17" s="242">
        <v>16</v>
      </c>
      <c r="B17" s="243" t="s">
        <v>358</v>
      </c>
      <c r="C17" s="242" t="s">
        <v>817</v>
      </c>
      <c r="D17" s="244">
        <v>45768</v>
      </c>
      <c r="E17" s="244">
        <v>45815</v>
      </c>
      <c r="F17" s="246" t="s">
        <v>7</v>
      </c>
    </row>
    <row r="18" spans="1:6" x14ac:dyDescent="0.4">
      <c r="A18" s="242">
        <v>17</v>
      </c>
      <c r="B18" s="243" t="s">
        <v>359</v>
      </c>
      <c r="C18" s="242" t="s">
        <v>828</v>
      </c>
      <c r="D18" s="244">
        <v>45783</v>
      </c>
      <c r="E18" s="244">
        <v>45857</v>
      </c>
      <c r="F18" s="246" t="s">
        <v>7</v>
      </c>
    </row>
    <row r="19" spans="1:6" ht="29.5" x14ac:dyDescent="0.4">
      <c r="A19" s="242">
        <v>18</v>
      </c>
      <c r="B19" s="243" t="s">
        <v>360</v>
      </c>
      <c r="C19" s="242" t="s">
        <v>829</v>
      </c>
      <c r="D19" s="244">
        <v>45784</v>
      </c>
      <c r="E19" s="244">
        <v>45849</v>
      </c>
      <c r="F19" s="246" t="s">
        <v>7</v>
      </c>
    </row>
    <row r="20" spans="1:6" s="131" customFormat="1" x14ac:dyDescent="0.35">
      <c r="A20" s="128">
        <v>19</v>
      </c>
      <c r="B20" s="129" t="s">
        <v>361</v>
      </c>
      <c r="C20" s="222"/>
      <c r="D20" s="130">
        <v>45803</v>
      </c>
      <c r="E20" s="130">
        <v>45853</v>
      </c>
      <c r="F20" s="127"/>
    </row>
    <row r="21" spans="1:6" s="131" customFormat="1" ht="32" x14ac:dyDescent="0.35">
      <c r="A21" s="128">
        <v>20</v>
      </c>
      <c r="B21" s="129" t="s">
        <v>362</v>
      </c>
      <c r="C21" s="222"/>
      <c r="D21" s="130">
        <v>45839</v>
      </c>
      <c r="E21" s="130">
        <v>45839</v>
      </c>
      <c r="F21" s="1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topLeftCell="A6" zoomScale="80" zoomScaleNormal="80" workbookViewId="0">
      <selection activeCell="E20" sqref="E20"/>
    </sheetView>
  </sheetViews>
  <sheetFormatPr defaultRowHeight="16" x14ac:dyDescent="0.4"/>
  <cols>
    <col min="1" max="1" width="8.81640625" style="131" bestFit="1" customWidth="1"/>
    <col min="2" max="2" width="41.90625" style="123" customWidth="1"/>
    <col min="3" max="3" width="11.453125" style="190" bestFit="1" customWidth="1"/>
    <col min="4" max="4" width="16.54296875" style="190" bestFit="1" customWidth="1"/>
    <col min="5" max="5" width="33.453125" style="123" customWidth="1"/>
    <col min="6" max="6" width="10.81640625" style="123" bestFit="1" customWidth="1"/>
    <col min="7" max="16384" width="8.7265625" style="123"/>
  </cols>
  <sheetData>
    <row r="1" spans="1:9" s="131" customFormat="1" x14ac:dyDescent="0.4">
      <c r="A1" s="132" t="s">
        <v>316</v>
      </c>
      <c r="B1" s="132" t="s">
        <v>339</v>
      </c>
      <c r="C1" s="132" t="s">
        <v>317</v>
      </c>
      <c r="D1" s="122" t="s">
        <v>318</v>
      </c>
      <c r="E1" s="132" t="s">
        <v>319</v>
      </c>
    </row>
    <row r="2" spans="1:9" x14ac:dyDescent="0.4">
      <c r="A2" s="136">
        <v>1</v>
      </c>
      <c r="B2" s="133" t="s">
        <v>51</v>
      </c>
      <c r="C2" s="134">
        <v>45694</v>
      </c>
      <c r="D2" s="134">
        <v>45694</v>
      </c>
      <c r="E2" s="140"/>
    </row>
    <row r="3" spans="1:9" x14ac:dyDescent="0.4">
      <c r="A3" s="136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4">
      <c r="A4" s="136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4">
      <c r="A5" s="136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4">
      <c r="A6" s="136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4">
      <c r="A7" s="136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2" x14ac:dyDescent="0.4">
      <c r="A8" s="136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4">
      <c r="A9" s="136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2" x14ac:dyDescent="0.4">
      <c r="A10" s="136">
        <v>9</v>
      </c>
      <c r="B10" s="138" t="s">
        <v>327</v>
      </c>
      <c r="C10" s="137">
        <v>45754</v>
      </c>
      <c r="D10" s="134">
        <v>45793</v>
      </c>
      <c r="E10" s="138" t="s">
        <v>7</v>
      </c>
    </row>
    <row r="11" spans="1:9" x14ac:dyDescent="0.4">
      <c r="A11" s="136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4">
      <c r="A12" s="136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4">
      <c r="A13" s="136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4">
      <c r="A14" s="136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4"/>
    </row>
    <row r="15" spans="1:9" x14ac:dyDescent="0.4">
      <c r="A15" s="136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4"/>
    </row>
    <row r="16" spans="1:9" x14ac:dyDescent="0.4">
      <c r="A16" s="136">
        <v>15</v>
      </c>
      <c r="B16" s="133" t="s">
        <v>815</v>
      </c>
      <c r="C16" s="134">
        <f>C15+28</f>
        <v>45801</v>
      </c>
      <c r="D16" s="134">
        <v>45837</v>
      </c>
      <c r="E16" s="133" t="s">
        <v>7</v>
      </c>
    </row>
    <row r="17" spans="1:5" x14ac:dyDescent="0.4">
      <c r="A17" s="132" t="s">
        <v>316</v>
      </c>
      <c r="B17" s="122" t="s">
        <v>340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4">
      <c r="A18" s="136">
        <v>1</v>
      </c>
      <c r="B18" s="138" t="s">
        <v>396</v>
      </c>
      <c r="C18" s="137">
        <v>45760</v>
      </c>
      <c r="D18" s="134">
        <v>45752</v>
      </c>
      <c r="E18" s="221" t="s">
        <v>7</v>
      </c>
    </row>
    <row r="19" spans="1:5" s="131" customFormat="1" x14ac:dyDescent="0.4">
      <c r="A19" s="136">
        <f>+SUM(A18+1)</f>
        <v>2</v>
      </c>
      <c r="B19" s="138" t="s">
        <v>819</v>
      </c>
      <c r="C19" s="137">
        <v>45833</v>
      </c>
      <c r="D19" s="134">
        <v>45837</v>
      </c>
      <c r="E19" s="221" t="s">
        <v>7</v>
      </c>
    </row>
    <row r="20" spans="1:5" s="131" customFormat="1" ht="32" x14ac:dyDescent="0.4">
      <c r="A20" s="136">
        <f t="shared" ref="A20:A25" si="0">+SUM(A19+1)</f>
        <v>3</v>
      </c>
      <c r="B20" s="138" t="s">
        <v>331</v>
      </c>
      <c r="C20" s="137">
        <v>45783</v>
      </c>
      <c r="D20" s="134">
        <v>45838</v>
      </c>
      <c r="E20" s="221" t="s">
        <v>7</v>
      </c>
    </row>
    <row r="21" spans="1:5" s="131" customFormat="1" x14ac:dyDescent="0.4">
      <c r="A21" s="136">
        <f t="shared" si="0"/>
        <v>4</v>
      </c>
      <c r="B21" s="138" t="s">
        <v>332</v>
      </c>
      <c r="C21" s="137">
        <v>45767</v>
      </c>
      <c r="D21" s="134">
        <v>45767</v>
      </c>
      <c r="E21" s="221" t="s">
        <v>7</v>
      </c>
    </row>
    <row r="22" spans="1:5" s="131" customFormat="1" x14ac:dyDescent="0.4">
      <c r="A22" s="136">
        <f t="shared" si="0"/>
        <v>5</v>
      </c>
      <c r="B22" s="138" t="s">
        <v>333</v>
      </c>
      <c r="C22" s="137">
        <v>45767</v>
      </c>
      <c r="D22" s="134">
        <v>45752</v>
      </c>
      <c r="E22" s="221" t="s">
        <v>7</v>
      </c>
    </row>
    <row r="23" spans="1:5" s="131" customFormat="1" x14ac:dyDescent="0.4">
      <c r="A23" s="136">
        <f t="shared" si="0"/>
        <v>6</v>
      </c>
      <c r="B23" s="138" t="s">
        <v>334</v>
      </c>
      <c r="C23" s="137">
        <v>45762</v>
      </c>
      <c r="D23" s="134">
        <v>45740</v>
      </c>
      <c r="E23" s="221" t="s">
        <v>335</v>
      </c>
    </row>
    <row r="24" spans="1:5" s="131" customFormat="1" x14ac:dyDescent="0.4">
      <c r="A24" s="136">
        <f t="shared" si="0"/>
        <v>7</v>
      </c>
      <c r="B24" s="138" t="s">
        <v>336</v>
      </c>
      <c r="C24" s="137">
        <v>45774</v>
      </c>
      <c r="D24" s="134">
        <v>45844</v>
      </c>
      <c r="E24" s="221" t="s">
        <v>7</v>
      </c>
    </row>
    <row r="25" spans="1:5" s="131" customFormat="1" x14ac:dyDescent="0.4">
      <c r="A25" s="136">
        <f t="shared" si="0"/>
        <v>8</v>
      </c>
      <c r="B25" s="138" t="s">
        <v>337</v>
      </c>
      <c r="C25" s="137">
        <v>45774</v>
      </c>
      <c r="D25" s="134">
        <v>45838</v>
      </c>
      <c r="E25" s="221" t="s">
        <v>7</v>
      </c>
    </row>
    <row r="26" spans="1:5" s="131" customFormat="1" x14ac:dyDescent="0.4">
      <c r="A26" s="136">
        <f>+SUM(A25+1)</f>
        <v>9</v>
      </c>
      <c r="B26" s="138" t="s">
        <v>338</v>
      </c>
      <c r="C26" s="137">
        <v>45764</v>
      </c>
      <c r="D26" s="134">
        <v>45838</v>
      </c>
      <c r="E26" s="221" t="s">
        <v>7</v>
      </c>
    </row>
    <row r="27" spans="1:5" x14ac:dyDescent="0.4">
      <c r="A27" s="233" t="s">
        <v>316</v>
      </c>
      <c r="B27" s="234" t="s">
        <v>821</v>
      </c>
      <c r="C27" s="234" t="s">
        <v>317</v>
      </c>
      <c r="D27" s="234" t="s">
        <v>318</v>
      </c>
      <c r="E27" s="234" t="s">
        <v>319</v>
      </c>
    </row>
    <row r="28" spans="1:5" x14ac:dyDescent="0.4">
      <c r="A28" s="235">
        <v>1</v>
      </c>
      <c r="B28" s="236" t="s">
        <v>822</v>
      </c>
      <c r="C28" s="239"/>
      <c r="D28" s="238">
        <v>45836</v>
      </c>
      <c r="E28" s="237" t="s">
        <v>814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796875" defaultRowHeight="16" x14ac:dyDescent="0.4"/>
  <cols>
    <col min="1" max="1" width="13.54296875" style="29" bestFit="1" customWidth="1"/>
    <col min="2" max="2" width="22.81640625" style="29" customWidth="1"/>
    <col min="3" max="3" width="16.81640625" style="29" customWidth="1"/>
    <col min="4" max="4" width="20.7265625" style="29" customWidth="1"/>
    <col min="5" max="5" width="20.7265625" style="48" customWidth="1"/>
    <col min="6" max="6" width="9.81640625" style="47" customWidth="1"/>
    <col min="7" max="13" width="8.453125" style="36" bestFit="1" customWidth="1"/>
    <col min="14" max="14" width="9.54296875" style="36" bestFit="1" customWidth="1"/>
    <col min="15" max="26" width="9.1796875" style="36"/>
    <col min="27" max="44" width="9.54296875" style="36" bestFit="1" customWidth="1"/>
    <col min="45" max="50" width="9.1796875" style="36"/>
    <col min="51" max="53" width="8.453125" style="36" bestFit="1" customWidth="1"/>
    <col min="54" max="67" width="8.81640625" style="36" bestFit="1" customWidth="1"/>
    <col min="6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40" width="8.81640625" style="36" bestFit="1" customWidth="1"/>
    <col min="341" max="351" width="9.54296875" style="36" bestFit="1" customWidth="1"/>
    <col min="352" max="16384" width="9.1796875" style="36"/>
  </cols>
  <sheetData>
    <row r="1" spans="1:351" s="23" customFormat="1" x14ac:dyDescent="0.35">
      <c r="A1" s="50" t="s">
        <v>63</v>
      </c>
      <c r="B1" s="435" t="s">
        <v>94</v>
      </c>
      <c r="C1" s="436"/>
      <c r="D1" s="437"/>
      <c r="E1" s="22"/>
    </row>
    <row r="2" spans="1:351" s="23" customFormat="1" x14ac:dyDescent="0.35">
      <c r="A2" s="24" t="s">
        <v>64</v>
      </c>
      <c r="B2" s="438" t="s">
        <v>95</v>
      </c>
      <c r="C2" s="439"/>
      <c r="D2" s="440"/>
      <c r="E2" s="22"/>
    </row>
    <row r="3" spans="1:351" s="23" customFormat="1" ht="16.5" thickBot="1" x14ac:dyDescent="0.4">
      <c r="A3" s="25" t="s">
        <v>65</v>
      </c>
      <c r="B3" s="441">
        <f>'[1]Project Overview'!P1</f>
        <v>45702</v>
      </c>
      <c r="C3" s="442"/>
      <c r="D3" s="443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5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4">
      <c r="A5" s="444" t="s">
        <v>66</v>
      </c>
      <c r="B5" s="444" t="s">
        <v>67</v>
      </c>
      <c r="C5" s="445" t="s">
        <v>68</v>
      </c>
      <c r="D5" s="444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4">
      <c r="A6" s="444"/>
      <c r="B6" s="444"/>
      <c r="C6" s="446"/>
      <c r="D6" s="444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4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4">
      <c r="A8" s="30">
        <v>2</v>
      </c>
      <c r="B8" s="447"/>
      <c r="C8" s="447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4">
      <c r="A9" s="30">
        <v>3</v>
      </c>
      <c r="B9" s="448"/>
      <c r="C9" s="448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4">
      <c r="A10" s="30">
        <v>4</v>
      </c>
      <c r="B10" s="447"/>
      <c r="C10" s="447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4">
      <c r="A11" s="30">
        <v>5</v>
      </c>
      <c r="B11" s="448"/>
      <c r="C11" s="448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4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4">
      <c r="A13" s="30">
        <v>7</v>
      </c>
      <c r="B13" s="449"/>
      <c r="C13" s="449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4">
      <c r="A14" s="30">
        <v>8</v>
      </c>
      <c r="B14" s="449"/>
      <c r="C14" s="449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4">
      <c r="A15" s="30">
        <v>9</v>
      </c>
      <c r="B15" s="449"/>
      <c r="C15" s="449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4">
      <c r="A16" s="30">
        <v>10</v>
      </c>
      <c r="B16" s="449"/>
      <c r="C16" s="449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4">
      <c r="A17" s="30">
        <v>11</v>
      </c>
      <c r="B17" s="449"/>
      <c r="C17" s="449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4">
      <c r="A18" s="30">
        <v>12</v>
      </c>
      <c r="B18" s="449"/>
      <c r="C18" s="449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4">
      <c r="A19" s="30">
        <v>13</v>
      </c>
      <c r="B19" s="449"/>
      <c r="C19" s="449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4">
      <c r="A20" s="30">
        <v>14</v>
      </c>
      <c r="B20" s="449"/>
      <c r="C20" s="449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4">
      <c r="A21" s="30">
        <v>15</v>
      </c>
      <c r="B21" s="449"/>
      <c r="C21" s="449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4">
      <c r="A22" s="30">
        <v>16</v>
      </c>
      <c r="B22" s="449"/>
      <c r="C22" s="449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4">
      <c r="A23" s="30">
        <v>17</v>
      </c>
      <c r="B23" s="449"/>
      <c r="C23" s="449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4">
      <c r="A24" s="30">
        <v>18</v>
      </c>
      <c r="B24" s="449"/>
      <c r="C24" s="449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4">
      <c r="A25" s="30">
        <v>19</v>
      </c>
      <c r="B25" s="449"/>
      <c r="C25" s="449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4">
      <c r="A26" s="30">
        <v>20</v>
      </c>
      <c r="B26" s="449"/>
      <c r="C26" s="449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4">
      <c r="A27" s="30">
        <v>21</v>
      </c>
      <c r="B27" s="449"/>
      <c r="C27" s="449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4">
      <c r="A28" s="30">
        <v>22</v>
      </c>
      <c r="B28" s="449"/>
      <c r="C28" s="449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4">
      <c r="A29" s="30">
        <v>23</v>
      </c>
      <c r="B29" s="449"/>
      <c r="C29" s="449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4">
      <c r="A30" s="30">
        <v>24</v>
      </c>
      <c r="B30" s="449"/>
      <c r="C30" s="449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4">
      <c r="A31" s="30">
        <v>25</v>
      </c>
      <c r="B31" s="449"/>
      <c r="C31" s="449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4">
      <c r="A32" s="30">
        <v>26</v>
      </c>
      <c r="B32" s="449"/>
      <c r="C32" s="449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4">
      <c r="A33" s="30">
        <v>27</v>
      </c>
      <c r="B33" s="449"/>
      <c r="C33" s="449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4">
      <c r="A34" s="30">
        <v>28</v>
      </c>
      <c r="B34" s="450"/>
      <c r="C34" s="450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4">
      <c r="A35" s="30">
        <v>29</v>
      </c>
      <c r="B35" s="451"/>
      <c r="C35" s="451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4">
      <c r="A36" s="30">
        <v>30</v>
      </c>
      <c r="B36" s="451"/>
      <c r="C36" s="451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4">
      <c r="A37" s="30">
        <v>31</v>
      </c>
      <c r="B37" s="449"/>
      <c r="C37" s="449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4">
      <c r="A38" s="30">
        <v>32</v>
      </c>
      <c r="B38" s="449"/>
      <c r="C38" s="449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4">
      <c r="A39" s="30">
        <v>33</v>
      </c>
      <c r="B39" s="449"/>
      <c r="C39" s="449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4">
      <c r="A40" s="30">
        <v>34</v>
      </c>
      <c r="B40" s="450"/>
      <c r="C40" s="450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4">
      <c r="A41" s="30">
        <v>35</v>
      </c>
      <c r="B41" s="451"/>
      <c r="C41" s="451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4">
      <c r="A42" s="30">
        <v>36</v>
      </c>
      <c r="B42" s="451"/>
      <c r="C42" s="451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4">
      <c r="A43" s="30">
        <v>37</v>
      </c>
      <c r="B43" s="450"/>
      <c r="C43" s="449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4">
      <c r="A44" s="30">
        <v>38</v>
      </c>
      <c r="B44" s="451"/>
      <c r="C44" s="449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4">
      <c r="A45" s="30">
        <v>39</v>
      </c>
      <c r="B45" s="451"/>
      <c r="C45" s="449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4">
      <c r="A46" s="30">
        <v>40</v>
      </c>
      <c r="B46" s="450"/>
      <c r="C46" s="450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4">
      <c r="A47" s="30">
        <v>41</v>
      </c>
      <c r="B47" s="451"/>
      <c r="C47" s="451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4">
      <c r="A48" s="30">
        <v>42</v>
      </c>
      <c r="B48" s="452"/>
      <c r="C48" s="452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ht="26" x14ac:dyDescent="0.4">
      <c r="A49" s="30">
        <v>43</v>
      </c>
      <c r="B49" s="451"/>
      <c r="C49" s="451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4">
      <c r="A50" s="30">
        <v>44</v>
      </c>
      <c r="B50" s="451"/>
      <c r="C50" s="451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4">
      <c r="A51" s="30">
        <v>45</v>
      </c>
      <c r="B51" s="451"/>
      <c r="C51" s="451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4">
      <c r="A52" s="30">
        <v>46</v>
      </c>
      <c r="B52" s="450"/>
      <c r="C52" s="450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4">
      <c r="A53" s="30">
        <v>47</v>
      </c>
      <c r="B53" s="451"/>
      <c r="C53" s="451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4">
      <c r="A54" s="30">
        <v>48</v>
      </c>
      <c r="B54" s="451"/>
      <c r="C54" s="452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4">
      <c r="A55" s="30">
        <v>49</v>
      </c>
      <c r="B55" s="450"/>
      <c r="C55" s="450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4">
      <c r="A56" s="30">
        <v>50</v>
      </c>
      <c r="B56" s="451"/>
      <c r="C56" s="451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4">
      <c r="A57" s="30">
        <v>51</v>
      </c>
      <c r="B57" s="451"/>
      <c r="C57" s="451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4">
      <c r="A58" s="30">
        <v>52</v>
      </c>
      <c r="B58" s="451"/>
      <c r="C58" s="451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4">
      <c r="A59" s="30">
        <v>53</v>
      </c>
      <c r="B59" s="451"/>
      <c r="C59" s="451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4">
      <c r="A60" s="30">
        <v>54</v>
      </c>
      <c r="B60" s="452"/>
      <c r="C60" s="452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4">
      <c r="A61" s="30">
        <v>55</v>
      </c>
      <c r="B61" s="450"/>
      <c r="C61" s="450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4">
      <c r="A62" s="30">
        <v>56</v>
      </c>
      <c r="B62" s="451"/>
      <c r="C62" s="451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4">
      <c r="A63" s="30">
        <v>57</v>
      </c>
      <c r="B63" s="451"/>
      <c r="C63" s="451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4">
      <c r="A64" s="30">
        <v>58</v>
      </c>
      <c r="B64" s="451"/>
      <c r="C64" s="451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4">
      <c r="A65" s="30">
        <v>59</v>
      </c>
      <c r="B65" s="451"/>
      <c r="C65" s="451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4">
      <c r="A66" s="30">
        <v>60</v>
      </c>
      <c r="B66" s="452"/>
      <c r="C66" s="452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4">
      <c r="A67" s="30">
        <v>61</v>
      </c>
      <c r="B67" s="450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4">
      <c r="A68" s="30">
        <v>62</v>
      </c>
      <c r="B68" s="451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4">
      <c r="A69" s="30">
        <v>63</v>
      </c>
      <c r="B69" s="451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4">
      <c r="A70" s="30">
        <v>64</v>
      </c>
      <c r="B70" s="451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4">
      <c r="A71" s="30">
        <v>65</v>
      </c>
      <c r="B71" s="451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4">
      <c r="A72" s="30">
        <v>66</v>
      </c>
      <c r="B72" s="452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4">
      <c r="A73" s="30">
        <v>67</v>
      </c>
      <c r="B73" s="450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4">
      <c r="A74" s="30">
        <v>68</v>
      </c>
      <c r="B74" s="451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4">
      <c r="A75" s="30">
        <v>69</v>
      </c>
      <c r="B75" s="451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4">
      <c r="A76" s="30">
        <v>70</v>
      </c>
      <c r="B76" s="451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4">
      <c r="A77" s="30">
        <v>71</v>
      </c>
      <c r="B77" s="451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4">
      <c r="A78" s="30">
        <v>72</v>
      </c>
      <c r="B78" s="452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4">
      <c r="A79" s="30">
        <v>73</v>
      </c>
      <c r="B79" s="450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4">
      <c r="A80" s="30">
        <v>74</v>
      </c>
      <c r="B80" s="451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4">
      <c r="A81" s="30">
        <v>75</v>
      </c>
      <c r="B81" s="451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4">
      <c r="A82" s="30">
        <v>76</v>
      </c>
      <c r="B82" s="451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4">
      <c r="A83" s="30">
        <v>77</v>
      </c>
      <c r="B83" s="451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4">
      <c r="A84" s="30">
        <v>78</v>
      </c>
      <c r="B84" s="452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4">
      <c r="A85" s="30">
        <v>79</v>
      </c>
      <c r="B85" s="450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4">
      <c r="A86" s="30">
        <v>80</v>
      </c>
      <c r="B86" s="451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4">
      <c r="A87" s="30">
        <v>81</v>
      </c>
      <c r="B87" s="451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4">
      <c r="A88" s="30">
        <v>82</v>
      </c>
      <c r="B88" s="451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4">
      <c r="A89" s="30">
        <v>83</v>
      </c>
      <c r="B89" s="451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4">
      <c r="A90" s="30">
        <v>84</v>
      </c>
      <c r="B90" s="452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4">
      <c r="A91" s="30">
        <v>85</v>
      </c>
      <c r="B91" s="450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4">
      <c r="A92" s="30">
        <v>86</v>
      </c>
      <c r="B92" s="451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4">
      <c r="A93" s="30">
        <v>87</v>
      </c>
      <c r="B93" s="451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4">
      <c r="A94" s="30">
        <v>88</v>
      </c>
      <c r="B94" s="451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4">
      <c r="A95" s="30">
        <v>89</v>
      </c>
      <c r="B95" s="451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4">
      <c r="A96" s="30">
        <v>90</v>
      </c>
      <c r="B96" s="452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4">
      <c r="A97" s="30">
        <v>91</v>
      </c>
      <c r="B97" s="450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4">
      <c r="A98" s="30">
        <v>92</v>
      </c>
      <c r="B98" s="451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4">
      <c r="A99" s="30">
        <v>93</v>
      </c>
      <c r="B99" s="451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4">
      <c r="A100" s="30">
        <v>94</v>
      </c>
      <c r="B100" s="451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4">
      <c r="A101" s="30">
        <v>95</v>
      </c>
      <c r="B101" s="451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4">
      <c r="A102" s="30">
        <v>96</v>
      </c>
      <c r="B102" s="452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4">
      <c r="A103" s="30">
        <v>97</v>
      </c>
      <c r="B103" s="450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4">
      <c r="A104" s="30">
        <v>98</v>
      </c>
      <c r="B104" s="451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4">
      <c r="A105" s="30">
        <v>99</v>
      </c>
      <c r="B105" s="451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4">
      <c r="A106" s="30">
        <v>100</v>
      </c>
      <c r="B106" s="451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4">
      <c r="A107" s="30">
        <v>101</v>
      </c>
      <c r="B107" s="451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4">
      <c r="A108" s="30">
        <v>102</v>
      </c>
      <c r="B108" s="452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4">
      <c r="A109" s="30">
        <v>103</v>
      </c>
      <c r="B109" s="450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4">
      <c r="A110" s="30">
        <v>104</v>
      </c>
      <c r="B110" s="451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4">
      <c r="A111" s="30">
        <v>105</v>
      </c>
      <c r="B111" s="451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4">
      <c r="A112" s="30">
        <v>106</v>
      </c>
      <c r="B112" s="451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4">
      <c r="A113" s="30">
        <v>107</v>
      </c>
      <c r="B113" s="451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4">
      <c r="A114" s="30">
        <v>108</v>
      </c>
      <c r="B114" s="452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4">
      <c r="A115" s="30">
        <v>109</v>
      </c>
      <c r="B115" s="450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4">
      <c r="A116" s="30">
        <v>110</v>
      </c>
      <c r="B116" s="451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4">
      <c r="A117" s="30">
        <v>111</v>
      </c>
      <c r="B117" s="451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4">
      <c r="A118" s="30">
        <v>112</v>
      </c>
      <c r="B118" s="451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4">
      <c r="A119" s="30">
        <v>113</v>
      </c>
      <c r="B119" s="451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4">
      <c r="A120" s="30">
        <v>114</v>
      </c>
      <c r="B120" s="452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4">
      <c r="A121" s="30">
        <v>115</v>
      </c>
      <c r="B121" s="450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4">
      <c r="A122" s="30">
        <v>116</v>
      </c>
      <c r="B122" s="451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4">
      <c r="A123" s="30">
        <v>117</v>
      </c>
      <c r="B123" s="451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4">
      <c r="A124" s="30">
        <v>118</v>
      </c>
      <c r="B124" s="451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4">
      <c r="A125" s="30">
        <v>119</v>
      </c>
      <c r="B125" s="451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4">
      <c r="A126" s="30">
        <v>120</v>
      </c>
      <c r="B126" s="452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4">
      <c r="A127" s="30">
        <v>121</v>
      </c>
      <c r="B127" s="450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4">
      <c r="A128" s="30">
        <v>122</v>
      </c>
      <c r="B128" s="451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4">
      <c r="A129" s="30">
        <v>123</v>
      </c>
      <c r="B129" s="451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4">
      <c r="A130" s="30">
        <v>124</v>
      </c>
      <c r="B130" s="452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4">
      <c r="A131" s="30">
        <v>125</v>
      </c>
      <c r="B131" s="449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4">
      <c r="A132" s="30">
        <v>126</v>
      </c>
      <c r="B132" s="449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4">
      <c r="A133" s="30">
        <v>127</v>
      </c>
      <c r="B133" s="449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4">
      <c r="A134" s="30">
        <v>128</v>
      </c>
      <c r="B134" s="449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4">
      <c r="A135" s="30">
        <v>129</v>
      </c>
      <c r="B135" s="449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4">
      <c r="A136" s="30">
        <v>130</v>
      </c>
      <c r="B136" s="449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4">
      <c r="A137" s="30">
        <v>131</v>
      </c>
      <c r="B137" s="449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4">
      <c r="A138" s="30">
        <v>132</v>
      </c>
      <c r="B138" s="449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4">
      <c r="A139" s="30">
        <v>133</v>
      </c>
      <c r="B139" s="449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34:B136"/>
    <mergeCell ref="B137:B139"/>
    <mergeCell ref="B103:B108"/>
    <mergeCell ref="B109:B114"/>
    <mergeCell ref="B115:B120"/>
    <mergeCell ref="B121:B126"/>
    <mergeCell ref="B127:B130"/>
    <mergeCell ref="B131:B133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43:B45"/>
    <mergeCell ref="C43:C45"/>
    <mergeCell ref="B46:B48"/>
    <mergeCell ref="C46:C48"/>
    <mergeCell ref="B49:B51"/>
    <mergeCell ref="C49:C51"/>
    <mergeCell ref="B34:B36"/>
    <mergeCell ref="C34:C36"/>
    <mergeCell ref="B37:B39"/>
    <mergeCell ref="C37:C39"/>
    <mergeCell ref="B40:B42"/>
    <mergeCell ref="C40:C42"/>
    <mergeCell ref="B25:B27"/>
    <mergeCell ref="C25:C27"/>
    <mergeCell ref="B28:B30"/>
    <mergeCell ref="C28:C30"/>
    <mergeCell ref="B31:B33"/>
    <mergeCell ref="C31:C33"/>
    <mergeCell ref="B16:B18"/>
    <mergeCell ref="C16:C18"/>
    <mergeCell ref="B19:B21"/>
    <mergeCell ref="C19:C21"/>
    <mergeCell ref="B22:B24"/>
    <mergeCell ref="C22:C24"/>
    <mergeCell ref="B8:B9"/>
    <mergeCell ref="C8:C9"/>
    <mergeCell ref="B10:B11"/>
    <mergeCell ref="C10:C11"/>
    <mergeCell ref="B13:B15"/>
    <mergeCell ref="C13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796875" defaultRowHeight="16" x14ac:dyDescent="0.4"/>
  <cols>
    <col min="1" max="1" width="11.1796875" style="29" customWidth="1"/>
    <col min="2" max="2" width="20.453125" style="29" bestFit="1" customWidth="1"/>
    <col min="3" max="3" width="25.26953125" style="29" hidden="1" customWidth="1"/>
    <col min="4" max="4" width="22" style="29" bestFit="1" customWidth="1"/>
    <col min="5" max="5" width="10.453125" style="48" hidden="1" customWidth="1"/>
    <col min="6" max="6" width="9.81640625" style="47" customWidth="1"/>
    <col min="7" max="13" width="8.453125" style="36" hidden="1" customWidth="1"/>
    <col min="14" max="14" width="9.54296875" style="36" hidden="1" customWidth="1"/>
    <col min="15" max="26" width="9.1796875" style="36" hidden="1" customWidth="1"/>
    <col min="27" max="44" width="9.54296875" style="36" hidden="1" customWidth="1"/>
    <col min="45" max="50" width="9.1796875" style="36" hidden="1" customWidth="1"/>
    <col min="51" max="53" width="8.453125" style="36" hidden="1" customWidth="1"/>
    <col min="54" max="57" width="8.81640625" style="36" hidden="1" customWidth="1"/>
    <col min="58" max="77" width="3.90625" style="36" bestFit="1" customWidth="1"/>
    <col min="7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26" width="8.81640625" style="36" bestFit="1" customWidth="1"/>
    <col min="327" max="16384" width="9.1796875" style="36"/>
  </cols>
  <sheetData>
    <row r="1" spans="1:326" s="23" customFormat="1" x14ac:dyDescent="0.35">
      <c r="A1" s="72" t="s">
        <v>63</v>
      </c>
      <c r="B1" s="453" t="s">
        <v>94</v>
      </c>
      <c r="C1" s="454"/>
      <c r="D1" s="455"/>
      <c r="E1" s="22"/>
    </row>
    <row r="2" spans="1:326" s="23" customFormat="1" x14ac:dyDescent="0.35">
      <c r="A2" s="71" t="s">
        <v>64</v>
      </c>
      <c r="B2" s="456" t="s">
        <v>95</v>
      </c>
      <c r="C2" s="457"/>
      <c r="D2" s="458"/>
      <c r="E2" s="22"/>
    </row>
    <row r="3" spans="1:326" s="23" customFormat="1" ht="20.149999999999999" customHeight="1" thickBot="1" x14ac:dyDescent="0.4">
      <c r="A3" s="73" t="s">
        <v>65</v>
      </c>
      <c r="B3" s="459">
        <v>45703</v>
      </c>
      <c r="C3" s="460"/>
      <c r="D3" s="461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5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4">
      <c r="A5" s="462" t="s">
        <v>66</v>
      </c>
      <c r="B5" s="462" t="s">
        <v>67</v>
      </c>
      <c r="C5" s="462" t="s">
        <v>68</v>
      </c>
      <c r="D5" s="462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0">
        <f t="shared" si="1"/>
        <v>45754</v>
      </c>
      <c r="BG5" s="160">
        <f t="shared" si="1"/>
        <v>45755</v>
      </c>
      <c r="BH5" s="160">
        <f t="shared" si="1"/>
        <v>45756</v>
      </c>
      <c r="BI5" s="160">
        <f t="shared" si="1"/>
        <v>45757</v>
      </c>
      <c r="BJ5" s="160">
        <f t="shared" si="1"/>
        <v>45758</v>
      </c>
      <c r="BK5" s="160">
        <f t="shared" si="1"/>
        <v>45759</v>
      </c>
      <c r="BL5" s="160">
        <f t="shared" si="1"/>
        <v>45760</v>
      </c>
      <c r="BM5" s="160">
        <f t="shared" si="1"/>
        <v>45761</v>
      </c>
      <c r="BN5" s="160">
        <f t="shared" si="1"/>
        <v>45762</v>
      </c>
      <c r="BO5" s="160">
        <f t="shared" si="1"/>
        <v>45763</v>
      </c>
      <c r="BP5" s="160">
        <f t="shared" si="1"/>
        <v>45764</v>
      </c>
      <c r="BQ5" s="160">
        <f t="shared" si="1"/>
        <v>45765</v>
      </c>
      <c r="BR5" s="160">
        <f t="shared" si="1"/>
        <v>45766</v>
      </c>
      <c r="BS5" s="160">
        <f t="shared" si="1"/>
        <v>45767</v>
      </c>
      <c r="BT5" s="160">
        <f t="shared" si="1"/>
        <v>45768</v>
      </c>
      <c r="BU5" s="160">
        <f t="shared" si="1"/>
        <v>45769</v>
      </c>
      <c r="BV5" s="160">
        <f t="shared" si="1"/>
        <v>45770</v>
      </c>
      <c r="BW5" s="160">
        <f t="shared" si="1"/>
        <v>45771</v>
      </c>
      <c r="BX5" s="160">
        <f t="shared" si="1"/>
        <v>45772</v>
      </c>
      <c r="BY5" s="160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4">
      <c r="A6" s="462"/>
      <c r="B6" s="462"/>
      <c r="C6" s="462"/>
      <c r="D6" s="462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4">
      <c r="A7" s="74">
        <v>1</v>
      </c>
      <c r="B7" s="465" t="s">
        <v>400</v>
      </c>
      <c r="C7" s="465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4">
      <c r="A8" s="74">
        <f>A7+1</f>
        <v>2</v>
      </c>
      <c r="B8" s="465"/>
      <c r="C8" s="465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4">
      <c r="A9" s="74">
        <f>A8+1</f>
        <v>3</v>
      </c>
      <c r="B9" s="465"/>
      <c r="C9" s="465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4">
      <c r="A10" s="79">
        <f>ROW()-8</f>
        <v>2</v>
      </c>
      <c r="B10" s="465"/>
      <c r="C10" s="465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4">
      <c r="A11" s="82">
        <f>A10+1</f>
        <v>3</v>
      </c>
      <c r="B11" s="463" t="s">
        <v>274</v>
      </c>
      <c r="C11" s="466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4">
      <c r="A12" s="82">
        <f t="shared" ref="A12:A15" si="18">A11+1</f>
        <v>4</v>
      </c>
      <c r="B12" s="463"/>
      <c r="C12" s="466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4">
      <c r="A13" s="82">
        <f t="shared" si="18"/>
        <v>5</v>
      </c>
      <c r="B13" s="463"/>
      <c r="C13" s="466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4">
      <c r="A14" s="82">
        <f t="shared" si="18"/>
        <v>6</v>
      </c>
      <c r="B14" s="463"/>
      <c r="C14" s="466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4">
      <c r="A15" s="82">
        <f t="shared" si="18"/>
        <v>7</v>
      </c>
      <c r="B15" s="463"/>
      <c r="C15" s="466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4">
      <c r="A16" s="82">
        <v>13</v>
      </c>
      <c r="B16" s="463" t="s">
        <v>280</v>
      </c>
      <c r="C16" s="464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4">
      <c r="A17" s="82">
        <v>14</v>
      </c>
      <c r="B17" s="463"/>
      <c r="C17" s="464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4">
      <c r="A18" s="82">
        <v>18</v>
      </c>
      <c r="B18" s="463" t="s">
        <v>282</v>
      </c>
      <c r="C18" s="466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4">
      <c r="A19" s="82">
        <v>19</v>
      </c>
      <c r="B19" s="463"/>
      <c r="C19" s="466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4">
      <c r="A20" s="82">
        <v>20</v>
      </c>
      <c r="B20" s="463"/>
      <c r="C20" s="466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4">
      <c r="A21" s="82">
        <v>21</v>
      </c>
      <c r="B21" s="463"/>
      <c r="C21" s="466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4">
      <c r="A22" s="82">
        <v>22</v>
      </c>
      <c r="B22" s="463"/>
      <c r="C22" s="466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4">
      <c r="A23" s="82">
        <v>23</v>
      </c>
      <c r="B23" s="463" t="s">
        <v>286</v>
      </c>
      <c r="C23" s="466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4">
      <c r="A24" s="82">
        <v>24</v>
      </c>
      <c r="B24" s="463"/>
      <c r="C24" s="466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4">
      <c r="A25" s="82">
        <v>25</v>
      </c>
      <c r="B25" s="463"/>
      <c r="C25" s="466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4">
      <c r="A26" s="82">
        <v>26</v>
      </c>
      <c r="B26" s="463"/>
      <c r="C26" s="466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4">
      <c r="A27" s="82">
        <v>27</v>
      </c>
      <c r="B27" s="463"/>
      <c r="C27" s="466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4">
      <c r="A28" s="82">
        <v>33</v>
      </c>
      <c r="B28" s="467" t="s">
        <v>288</v>
      </c>
      <c r="C28" s="468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4">
      <c r="A29" s="82">
        <v>34</v>
      </c>
      <c r="B29" s="467"/>
      <c r="C29" s="468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4">
      <c r="A30" s="82">
        <v>35</v>
      </c>
      <c r="B30" s="467"/>
      <c r="C30" s="468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4">
      <c r="A31" s="82">
        <v>36</v>
      </c>
      <c r="B31" s="467"/>
      <c r="C31" s="468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4">
      <c r="A32" s="82">
        <v>37</v>
      </c>
      <c r="B32" s="467"/>
      <c r="C32" s="468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4">
      <c r="A33" s="82">
        <v>38</v>
      </c>
      <c r="B33" s="467"/>
      <c r="C33" s="468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4">
      <c r="A34" s="82">
        <v>77</v>
      </c>
      <c r="B34" s="467" t="s">
        <v>292</v>
      </c>
      <c r="C34" s="468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4">
      <c r="A35" s="82">
        <v>78</v>
      </c>
      <c r="B35" s="467"/>
      <c r="C35" s="468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4">
      <c r="A36" s="82">
        <v>79</v>
      </c>
      <c r="B36" s="467"/>
      <c r="C36" s="468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4">
      <c r="A37" s="82">
        <v>80</v>
      </c>
      <c r="B37" s="467"/>
      <c r="C37" s="468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4">
      <c r="A38" s="82">
        <v>68</v>
      </c>
      <c r="B38" s="467" t="s">
        <v>294</v>
      </c>
      <c r="C38" s="468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4">
      <c r="A39" s="82">
        <v>69</v>
      </c>
      <c r="B39" s="467"/>
      <c r="C39" s="468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4">
      <c r="A40" s="82">
        <v>70</v>
      </c>
      <c r="B40" s="467"/>
      <c r="C40" s="468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4">
      <c r="A41" s="82">
        <v>71</v>
      </c>
      <c r="B41" s="467"/>
      <c r="C41" s="468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4">
      <c r="A42" s="82">
        <v>72</v>
      </c>
      <c r="B42" s="467"/>
      <c r="C42" s="468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4">
      <c r="A43" s="82">
        <v>102</v>
      </c>
      <c r="B43" s="467" t="s">
        <v>86</v>
      </c>
      <c r="C43" s="468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4">
      <c r="A44" s="82">
        <v>103</v>
      </c>
      <c r="B44" s="467"/>
      <c r="C44" s="468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4">
      <c r="A45" s="82">
        <v>104</v>
      </c>
      <c r="B45" s="467"/>
      <c r="C45" s="468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4">
      <c r="A46" s="82">
        <v>105</v>
      </c>
      <c r="B46" s="467"/>
      <c r="C46" s="468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4">
      <c r="A47" s="82">
        <v>106</v>
      </c>
      <c r="B47" s="467"/>
      <c r="C47" s="468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43:B47"/>
    <mergeCell ref="C43:C47"/>
    <mergeCell ref="B34:B37"/>
    <mergeCell ref="C34:C37"/>
    <mergeCell ref="B38:B42"/>
    <mergeCell ref="C38:C42"/>
    <mergeCell ref="B23:B27"/>
    <mergeCell ref="C23:C27"/>
    <mergeCell ref="B28:B33"/>
    <mergeCell ref="C28:C33"/>
    <mergeCell ref="B18:B22"/>
    <mergeCell ref="C18:C22"/>
    <mergeCell ref="B16:B17"/>
    <mergeCell ref="C16:C17"/>
    <mergeCell ref="B7:B10"/>
    <mergeCell ref="C7:C10"/>
    <mergeCell ref="B11:B15"/>
    <mergeCell ref="C11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FP129"/>
  <sheetViews>
    <sheetView topLeftCell="B1" zoomScale="80" zoomScaleNormal="130" workbookViewId="0">
      <pane xSplit="16" ySplit="3" topLeftCell="FF4" activePane="bottomRight" state="frozen"/>
      <selection activeCell="B1" sqref="B1"/>
      <selection pane="topRight" activeCell="Q1" sqref="Q1"/>
      <selection pane="bottomLeft" activeCell="B4" sqref="B4"/>
      <selection pane="bottomRight" activeCell="FP37" sqref="FP37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35.81640625" style="227" bestFit="1" customWidth="1"/>
    <col min="5" max="6" width="10.81640625" style="57" bestFit="1" customWidth="1"/>
    <col min="7" max="7" width="6.36328125" style="57" bestFit="1" customWidth="1"/>
    <col min="8" max="9" width="10.81640625" style="57" bestFit="1" customWidth="1"/>
    <col min="10" max="10" width="6.08984375" style="22" customWidth="1"/>
    <col min="11" max="11" width="9.453125" style="54" bestFit="1" customWidth="1"/>
    <col min="12" max="12" width="13.81640625" style="55" hidden="1" customWidth="1"/>
    <col min="13" max="13" width="13.7265625" style="55" hidden="1" customWidth="1"/>
    <col min="14" max="14" width="9" style="22" hidden="1" customWidth="1"/>
    <col min="15" max="15" width="8.54296875" style="22" bestFit="1" customWidth="1"/>
    <col min="16" max="16" width="12.453125" style="22" customWidth="1"/>
    <col min="17" max="17" width="8.26953125" style="54" bestFit="1" customWidth="1"/>
    <col min="18" max="18" width="9.453125" style="54" bestFit="1" customWidth="1"/>
    <col min="19" max="19" width="10.453125" style="54" bestFit="1" customWidth="1"/>
    <col min="20" max="20" width="6.7265625" style="54" customWidth="1"/>
    <col min="21" max="27" width="4.90625" style="56" hidden="1" customWidth="1"/>
    <col min="28" max="28" width="5.36328125" style="56" hidden="1" customWidth="1"/>
    <col min="29" max="34" width="4.90625" style="56" hidden="1" customWidth="1"/>
    <col min="35" max="35" width="5.36328125" style="56" hidden="1" customWidth="1"/>
    <col min="36" max="41" width="4.90625" style="56" hidden="1" customWidth="1"/>
    <col min="42" max="42" width="5.36328125" style="56" hidden="1" customWidth="1"/>
    <col min="43" max="44" width="4.90625" style="56" hidden="1" customWidth="1"/>
    <col min="45" max="45" width="5.6328125" style="56" hidden="1" customWidth="1"/>
    <col min="46" max="46" width="6.6328125" style="56" hidden="1" customWidth="1"/>
    <col min="47" max="48" width="4.90625" style="56" hidden="1" customWidth="1"/>
    <col min="49" max="49" width="5.36328125" style="56" hidden="1" customWidth="1"/>
    <col min="50" max="55" width="4.90625" style="56" hidden="1" customWidth="1"/>
    <col min="56" max="56" width="5.36328125" style="56" hidden="1" customWidth="1"/>
    <col min="57" max="62" width="4.90625" style="56" hidden="1" customWidth="1"/>
    <col min="63" max="63" width="5.36328125" style="56" hidden="1" customWidth="1"/>
    <col min="64" max="69" width="4.90625" style="56" hidden="1" customWidth="1"/>
    <col min="70" max="70" width="5.36328125" style="56" hidden="1" customWidth="1"/>
    <col min="71" max="76" width="4.90625" style="56" hidden="1" customWidth="1"/>
    <col min="77" max="77" width="5.36328125" style="56" hidden="1" customWidth="1"/>
    <col min="78" max="109" width="4.90625" style="56" hidden="1" customWidth="1"/>
    <col min="110" max="110" width="4.90625" style="56" bestFit="1" customWidth="1"/>
    <col min="111" max="130" width="4.54296875" style="56" bestFit="1" customWidth="1"/>
    <col min="131" max="131" width="4.90625" style="56" bestFit="1" customWidth="1"/>
    <col min="132" max="132" width="5.54296875" style="56" bestFit="1" customWidth="1"/>
    <col min="133" max="151" width="4.54296875" style="56" bestFit="1" customWidth="1"/>
    <col min="152" max="152" width="4.90625" style="56" bestFit="1" customWidth="1"/>
    <col min="153" max="153" width="4.54296875" style="56" bestFit="1" customWidth="1"/>
    <col min="154" max="154" width="5.08984375" style="56" bestFit="1" customWidth="1"/>
    <col min="155" max="158" width="4.54296875" style="56" bestFit="1" customWidth="1"/>
    <col min="159" max="159" width="4.90625" style="56" bestFit="1" customWidth="1"/>
    <col min="160" max="160" width="4.54296875" style="56" bestFit="1" customWidth="1"/>
    <col min="161" max="161" width="5.08984375" style="56" bestFit="1" customWidth="1"/>
    <col min="162" max="163" width="4.54296875" style="56" bestFit="1" customWidth="1"/>
    <col min="164" max="164" width="5.54296875" style="56" bestFit="1" customWidth="1"/>
    <col min="165" max="165" width="4.54296875" style="56" bestFit="1" customWidth="1"/>
    <col min="166" max="169" width="5.54296875" style="56" bestFit="1" customWidth="1"/>
    <col min="170" max="172" width="4.54296875" style="56" bestFit="1" customWidth="1"/>
    <col min="173" max="16384" width="12.1796875" style="56"/>
  </cols>
  <sheetData>
    <row r="1" spans="2:172" x14ac:dyDescent="0.4">
      <c r="C1" s="52" t="s">
        <v>10</v>
      </c>
      <c r="D1" s="223">
        <f>'Construction DASHBOARD'!B6</f>
        <v>45898</v>
      </c>
      <c r="E1" s="121"/>
      <c r="F1" s="121"/>
      <c r="G1" s="121"/>
      <c r="H1" s="121"/>
      <c r="I1" s="121"/>
      <c r="U1" s="169"/>
    </row>
    <row r="2" spans="2:172" s="22" customFormat="1" ht="72" customHeight="1" x14ac:dyDescent="0.35">
      <c r="B2" s="474" t="s">
        <v>96</v>
      </c>
      <c r="C2" s="475" t="s">
        <v>97</v>
      </c>
      <c r="D2" s="476" t="s">
        <v>98</v>
      </c>
      <c r="E2" s="471" t="s">
        <v>306</v>
      </c>
      <c r="F2" s="471" t="s">
        <v>307</v>
      </c>
      <c r="G2" s="481" t="s">
        <v>431</v>
      </c>
      <c r="H2" s="471" t="s">
        <v>426</v>
      </c>
      <c r="I2" s="471" t="s">
        <v>427</v>
      </c>
      <c r="J2" s="475" t="s">
        <v>3</v>
      </c>
      <c r="K2" s="469" t="s">
        <v>1</v>
      </c>
      <c r="L2" s="473" t="s">
        <v>100</v>
      </c>
      <c r="M2" s="479" t="s">
        <v>403</v>
      </c>
      <c r="N2" s="471" t="s">
        <v>102</v>
      </c>
      <c r="O2" s="471" t="s">
        <v>103</v>
      </c>
      <c r="P2" s="471" t="s">
        <v>255</v>
      </c>
      <c r="Q2" s="469" t="s">
        <v>104</v>
      </c>
      <c r="R2" s="469" t="s">
        <v>105</v>
      </c>
      <c r="S2" s="470" t="s">
        <v>254</v>
      </c>
      <c r="T2" s="485" t="s">
        <v>408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  <c r="ER2" s="59">
        <v>45876</v>
      </c>
      <c r="ES2" s="59">
        <v>45877</v>
      </c>
      <c r="ET2" s="59">
        <v>45878</v>
      </c>
      <c r="EU2" s="59">
        <v>45879</v>
      </c>
      <c r="EV2" s="59">
        <v>45880</v>
      </c>
      <c r="EW2" s="59">
        <v>45881</v>
      </c>
      <c r="EX2" s="59">
        <v>45882</v>
      </c>
      <c r="EY2" s="59">
        <v>45883</v>
      </c>
      <c r="EZ2" s="59">
        <v>45884</v>
      </c>
      <c r="FA2" s="59">
        <v>45885</v>
      </c>
      <c r="FB2" s="59">
        <v>45886</v>
      </c>
      <c r="FC2" s="59">
        <v>45887</v>
      </c>
      <c r="FD2" s="59">
        <v>45888</v>
      </c>
      <c r="FE2" s="59">
        <v>45889</v>
      </c>
      <c r="FF2" s="59">
        <v>45890</v>
      </c>
      <c r="FG2" s="59">
        <v>45891</v>
      </c>
      <c r="FH2" s="59">
        <v>45892</v>
      </c>
      <c r="FI2" s="59">
        <v>45893</v>
      </c>
      <c r="FJ2" s="59">
        <v>45894</v>
      </c>
      <c r="FK2" s="59">
        <v>45895</v>
      </c>
      <c r="FL2" s="59">
        <v>45896</v>
      </c>
      <c r="FM2" s="59">
        <v>45897</v>
      </c>
      <c r="FN2" s="59">
        <v>45898</v>
      </c>
      <c r="FO2" s="59">
        <v>45899</v>
      </c>
      <c r="FP2" s="59">
        <v>45900</v>
      </c>
    </row>
    <row r="3" spans="2:172" s="22" customFormat="1" ht="24" customHeight="1" x14ac:dyDescent="0.35">
      <c r="B3" s="474"/>
      <c r="C3" s="475"/>
      <c r="D3" s="476"/>
      <c r="E3" s="471"/>
      <c r="F3" s="471"/>
      <c r="G3" s="482"/>
      <c r="H3" s="471"/>
      <c r="I3" s="471"/>
      <c r="J3" s="475"/>
      <c r="K3" s="469"/>
      <c r="L3" s="473"/>
      <c r="M3" s="480"/>
      <c r="N3" s="471"/>
      <c r="O3" s="471"/>
      <c r="P3" s="471"/>
      <c r="Q3" s="469"/>
      <c r="R3" s="469"/>
      <c r="S3" s="470"/>
      <c r="T3" s="485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R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  <c r="EL3" s="58" t="str">
        <f t="shared" si="2"/>
        <v>Fri</v>
      </c>
      <c r="EM3" s="58" t="str">
        <f t="shared" si="2"/>
        <v>Sat</v>
      </c>
      <c r="EN3" s="58" t="str">
        <f t="shared" si="2"/>
        <v>Sun</v>
      </c>
      <c r="EO3" s="58" t="str">
        <f t="shared" si="2"/>
        <v>Mon</v>
      </c>
      <c r="EP3" s="58" t="str">
        <f t="shared" si="2"/>
        <v>Tue</v>
      </c>
      <c r="EQ3" s="58" t="str">
        <f t="shared" si="2"/>
        <v>Wed</v>
      </c>
      <c r="ER3" s="58" t="str">
        <f t="shared" si="2"/>
        <v>Thu</v>
      </c>
      <c r="ES3" s="58" t="str">
        <f t="shared" ref="ES3:FP3" si="3">TEXT(ES2,"ddd")</f>
        <v>Fri</v>
      </c>
      <c r="ET3" s="58" t="str">
        <f t="shared" si="3"/>
        <v>Sat</v>
      </c>
      <c r="EU3" s="58" t="str">
        <f t="shared" si="3"/>
        <v>Sun</v>
      </c>
      <c r="EV3" s="58" t="str">
        <f t="shared" si="3"/>
        <v>Mon</v>
      </c>
      <c r="EW3" s="58" t="str">
        <f t="shared" si="3"/>
        <v>Tue</v>
      </c>
      <c r="EX3" s="58" t="str">
        <f t="shared" si="3"/>
        <v>Wed</v>
      </c>
      <c r="EY3" s="58" t="str">
        <f t="shared" si="3"/>
        <v>Thu</v>
      </c>
      <c r="EZ3" s="58" t="str">
        <f t="shared" si="3"/>
        <v>Fri</v>
      </c>
      <c r="FA3" s="58" t="str">
        <f t="shared" si="3"/>
        <v>Sat</v>
      </c>
      <c r="FB3" s="58" t="str">
        <f t="shared" si="3"/>
        <v>Sun</v>
      </c>
      <c r="FC3" s="58" t="str">
        <f t="shared" si="3"/>
        <v>Mon</v>
      </c>
      <c r="FD3" s="58" t="str">
        <f t="shared" si="3"/>
        <v>Tue</v>
      </c>
      <c r="FE3" s="58" t="str">
        <f t="shared" si="3"/>
        <v>Wed</v>
      </c>
      <c r="FF3" s="58" t="str">
        <f t="shared" si="3"/>
        <v>Thu</v>
      </c>
      <c r="FG3" s="58" t="str">
        <f t="shared" si="3"/>
        <v>Fri</v>
      </c>
      <c r="FH3" s="58" t="str">
        <f t="shared" si="3"/>
        <v>Sat</v>
      </c>
      <c r="FI3" s="58" t="str">
        <f t="shared" si="3"/>
        <v>Sun</v>
      </c>
      <c r="FJ3" s="58" t="str">
        <f t="shared" si="3"/>
        <v>Mon</v>
      </c>
      <c r="FK3" s="58" t="str">
        <f t="shared" si="3"/>
        <v>Tue</v>
      </c>
      <c r="FL3" s="58" t="str">
        <f t="shared" si="3"/>
        <v>Wed</v>
      </c>
      <c r="FM3" s="58" t="str">
        <f t="shared" si="3"/>
        <v>Thu</v>
      </c>
      <c r="FN3" s="58" t="str">
        <f t="shared" si="3"/>
        <v>Fri</v>
      </c>
      <c r="FO3" s="58" t="str">
        <f t="shared" si="3"/>
        <v>Sat</v>
      </c>
      <c r="FP3" s="58" t="str">
        <f t="shared" si="3"/>
        <v>Sun</v>
      </c>
    </row>
    <row r="4" spans="2:172" s="23" customFormat="1" x14ac:dyDescent="0.35">
      <c r="B4" s="472" t="s">
        <v>106</v>
      </c>
      <c r="C4" s="60">
        <v>1</v>
      </c>
      <c r="D4" s="224" t="s">
        <v>404</v>
      </c>
      <c r="E4" s="197">
        <v>45750</v>
      </c>
      <c r="F4" s="197">
        <v>45870</v>
      </c>
      <c r="G4" s="198">
        <f>F4-E4</f>
        <v>120</v>
      </c>
      <c r="H4" s="197">
        <v>45754</v>
      </c>
      <c r="I4" s="197">
        <v>45870</v>
      </c>
      <c r="J4" s="199" t="s">
        <v>5</v>
      </c>
      <c r="K4" s="200">
        <v>1033</v>
      </c>
      <c r="L4" s="201">
        <v>45754</v>
      </c>
      <c r="M4" s="201">
        <v>45796</v>
      </c>
      <c r="N4" s="198">
        <f t="shared" ref="N4:N27" si="4">IF(OR(M4="",L4=""),"",INT(M4-L4+1))</f>
        <v>43</v>
      </c>
      <c r="O4" s="202">
        <f t="shared" ref="O4:O27" si="5">IFERROR(K4/N4,"-")</f>
        <v>24.023255813953487</v>
      </c>
      <c r="P4" s="203">
        <f>Q4/K4</f>
        <v>0.91503388189738633</v>
      </c>
      <c r="Q4" s="204">
        <f>S4</f>
        <v>945.23</v>
      </c>
      <c r="R4" s="204">
        <f t="shared" ref="R4:R27" si="6">K4-Q4</f>
        <v>87.769999999999982</v>
      </c>
      <c r="S4" s="157">
        <f t="shared" ref="S4:S35" si="7">SUM(U4:XFD4)</f>
        <v>945.23</v>
      </c>
      <c r="T4" s="157">
        <f t="shared" ref="T4:T9" si="8">SUM(U4:CB4)</f>
        <v>486</v>
      </c>
      <c r="U4" s="148">
        <v>0</v>
      </c>
      <c r="V4" s="148">
        <v>0</v>
      </c>
      <c r="W4" s="148"/>
      <c r="X4" s="148"/>
      <c r="Y4" s="148"/>
      <c r="Z4" s="152">
        <v>1.5</v>
      </c>
      <c r="AA4" s="152">
        <v>3.5</v>
      </c>
      <c r="AB4" s="152">
        <v>4</v>
      </c>
      <c r="AC4" s="152">
        <v>4</v>
      </c>
      <c r="AD4" s="152">
        <v>4</v>
      </c>
      <c r="AE4" s="152">
        <v>4</v>
      </c>
      <c r="AF4" s="152">
        <v>3</v>
      </c>
      <c r="AG4" s="152">
        <v>2</v>
      </c>
      <c r="AH4" s="152"/>
      <c r="AI4" s="152">
        <v>10</v>
      </c>
      <c r="AJ4" s="152">
        <v>20</v>
      </c>
      <c r="AK4" s="152">
        <v>20</v>
      </c>
      <c r="AL4" s="152">
        <v>20</v>
      </c>
      <c r="AM4" s="152">
        <v>21</v>
      </c>
      <c r="AN4" s="152">
        <v>40</v>
      </c>
      <c r="AO4" s="152">
        <v>40</v>
      </c>
      <c r="AP4" s="152">
        <v>40</v>
      </c>
      <c r="AQ4" s="152">
        <v>38</v>
      </c>
      <c r="AR4" s="152"/>
      <c r="AS4" s="152"/>
      <c r="AT4" s="152"/>
      <c r="AU4" s="149"/>
      <c r="AV4" s="149"/>
      <c r="AW4" s="149"/>
      <c r="AX4" s="149"/>
      <c r="AY4" s="149"/>
      <c r="AZ4" s="149"/>
      <c r="BA4" s="149"/>
      <c r="BB4" s="149"/>
      <c r="BC4" s="149">
        <v>5</v>
      </c>
      <c r="BD4" s="149">
        <v>10</v>
      </c>
      <c r="BE4" s="149">
        <v>10</v>
      </c>
      <c r="BF4" s="149">
        <v>10</v>
      </c>
      <c r="BG4" s="149">
        <v>5</v>
      </c>
      <c r="BH4" s="149">
        <v>7</v>
      </c>
      <c r="BI4" s="149">
        <v>5</v>
      </c>
      <c r="BJ4" s="149">
        <v>0</v>
      </c>
      <c r="BK4" s="149">
        <v>0</v>
      </c>
      <c r="BL4" s="149">
        <v>7</v>
      </c>
      <c r="BM4" s="149">
        <v>0</v>
      </c>
      <c r="BN4" s="149">
        <v>17</v>
      </c>
      <c r="BO4" s="167">
        <v>19</v>
      </c>
      <c r="BP4" s="167">
        <v>24</v>
      </c>
      <c r="BQ4" s="167">
        <v>9</v>
      </c>
      <c r="BR4" s="167">
        <v>12</v>
      </c>
      <c r="BS4" s="167">
        <v>0</v>
      </c>
      <c r="BT4" s="167">
        <v>16</v>
      </c>
      <c r="BU4" s="167">
        <v>0</v>
      </c>
      <c r="BV4" s="167">
        <v>0</v>
      </c>
      <c r="BW4" s="167">
        <v>0</v>
      </c>
      <c r="BX4" s="167">
        <v>0</v>
      </c>
      <c r="BY4" s="167">
        <v>6</v>
      </c>
      <c r="BZ4" s="167">
        <v>16</v>
      </c>
      <c r="CA4" s="167">
        <v>15</v>
      </c>
      <c r="CB4" s="167">
        <v>18</v>
      </c>
      <c r="CC4" s="167">
        <v>14</v>
      </c>
      <c r="CD4" s="167">
        <v>16</v>
      </c>
      <c r="CE4" s="167">
        <v>15</v>
      </c>
      <c r="CF4" s="167">
        <v>14</v>
      </c>
      <c r="CG4" s="167">
        <v>18</v>
      </c>
      <c r="CH4" s="167">
        <v>14</v>
      </c>
      <c r="CI4" s="167">
        <v>15</v>
      </c>
      <c r="CJ4" s="167">
        <v>10</v>
      </c>
      <c r="CK4" s="167">
        <v>11</v>
      </c>
      <c r="CL4" s="167">
        <v>16</v>
      </c>
      <c r="CM4" s="167">
        <v>13</v>
      </c>
      <c r="CN4" s="167">
        <v>15</v>
      </c>
      <c r="CO4" s="167">
        <v>17</v>
      </c>
      <c r="CP4" s="167">
        <v>5</v>
      </c>
      <c r="CQ4" s="167">
        <v>14</v>
      </c>
      <c r="CR4" s="167">
        <v>16</v>
      </c>
      <c r="CS4" s="167">
        <v>13</v>
      </c>
      <c r="CT4" s="167">
        <v>13</v>
      </c>
      <c r="CU4" s="167">
        <v>11</v>
      </c>
      <c r="CV4" s="167">
        <v>7</v>
      </c>
      <c r="CW4" s="167">
        <v>5</v>
      </c>
      <c r="CX4" s="167">
        <v>5</v>
      </c>
      <c r="CY4" s="167">
        <v>5</v>
      </c>
      <c r="CZ4" s="167">
        <v>5</v>
      </c>
      <c r="DA4" s="167">
        <v>5</v>
      </c>
      <c r="DB4" s="167">
        <v>7</v>
      </c>
      <c r="DC4" s="167">
        <v>10</v>
      </c>
      <c r="DD4" s="167">
        <v>7</v>
      </c>
      <c r="DE4" s="167">
        <v>6</v>
      </c>
      <c r="DF4" s="167">
        <v>5</v>
      </c>
      <c r="DG4" s="23">
        <v>7</v>
      </c>
      <c r="DH4" s="23">
        <v>12</v>
      </c>
      <c r="DI4" s="23">
        <v>9</v>
      </c>
      <c r="DJ4" s="23">
        <v>8</v>
      </c>
      <c r="DK4" s="23">
        <v>7</v>
      </c>
      <c r="DL4" s="23">
        <v>7</v>
      </c>
      <c r="DM4" s="23">
        <v>9</v>
      </c>
      <c r="DN4" s="23">
        <v>0</v>
      </c>
      <c r="DO4" s="23">
        <v>0</v>
      </c>
      <c r="DP4" s="23">
        <v>0</v>
      </c>
      <c r="DQ4" s="23">
        <v>0</v>
      </c>
      <c r="DR4" s="23">
        <v>0</v>
      </c>
      <c r="DS4" s="23">
        <v>0</v>
      </c>
      <c r="DT4" s="23">
        <v>0</v>
      </c>
      <c r="DU4" s="23">
        <v>0</v>
      </c>
      <c r="DV4" s="23">
        <v>0</v>
      </c>
      <c r="DW4" s="23">
        <v>0</v>
      </c>
      <c r="DX4" s="23">
        <v>0</v>
      </c>
      <c r="DY4" s="23">
        <v>0</v>
      </c>
      <c r="DZ4" s="23">
        <v>0</v>
      </c>
      <c r="EA4" s="23">
        <v>0</v>
      </c>
      <c r="EB4" s="23">
        <v>0</v>
      </c>
      <c r="EC4" s="23">
        <v>0</v>
      </c>
      <c r="ED4" s="23">
        <v>0</v>
      </c>
      <c r="EE4" s="23">
        <v>0</v>
      </c>
      <c r="EF4" s="23">
        <v>0</v>
      </c>
      <c r="EG4" s="23">
        <v>0</v>
      </c>
      <c r="EH4" s="23">
        <v>3</v>
      </c>
      <c r="EI4" s="23">
        <v>0.6</v>
      </c>
      <c r="EJ4" s="23">
        <v>1.6</v>
      </c>
      <c r="EK4" s="23">
        <v>0</v>
      </c>
      <c r="EL4" s="23">
        <v>0</v>
      </c>
      <c r="EM4" s="23">
        <v>0</v>
      </c>
      <c r="EN4" s="23">
        <v>0</v>
      </c>
      <c r="EO4" s="23">
        <v>0</v>
      </c>
      <c r="EP4" s="23">
        <v>0</v>
      </c>
      <c r="EQ4" s="23">
        <v>0</v>
      </c>
      <c r="ER4" s="23">
        <v>0</v>
      </c>
      <c r="ES4" s="23">
        <v>0</v>
      </c>
      <c r="ET4" s="23">
        <v>0</v>
      </c>
      <c r="EU4" s="23">
        <v>0</v>
      </c>
      <c r="EV4" s="23">
        <v>0</v>
      </c>
      <c r="EW4" s="23">
        <v>0</v>
      </c>
      <c r="EX4" s="23">
        <v>0</v>
      </c>
      <c r="EY4" s="23">
        <v>3</v>
      </c>
      <c r="EZ4" s="23">
        <v>1</v>
      </c>
      <c r="FA4" s="23">
        <v>3</v>
      </c>
      <c r="FB4" s="23">
        <v>1</v>
      </c>
      <c r="FC4" s="23">
        <v>0</v>
      </c>
      <c r="FD4" s="23">
        <v>30</v>
      </c>
      <c r="FE4" s="23">
        <v>20</v>
      </c>
      <c r="FF4" s="23">
        <v>3</v>
      </c>
      <c r="FG4" s="23">
        <v>1.03</v>
      </c>
      <c r="FH4" s="23">
        <v>1</v>
      </c>
      <c r="FI4" s="23">
        <v>1</v>
      </c>
      <c r="FJ4" s="23">
        <v>1</v>
      </c>
      <c r="FK4" s="23">
        <v>1</v>
      </c>
      <c r="FL4" s="23">
        <v>1</v>
      </c>
      <c r="FM4" s="23">
        <v>1</v>
      </c>
    </row>
    <row r="5" spans="2:172" s="23" customFormat="1" x14ac:dyDescent="0.35">
      <c r="B5" s="472"/>
      <c r="C5" s="60">
        <v>2</v>
      </c>
      <c r="D5" s="224" t="s">
        <v>405</v>
      </c>
      <c r="E5" s="197">
        <v>45750</v>
      </c>
      <c r="F5" s="197">
        <v>45870</v>
      </c>
      <c r="G5" s="198">
        <f>F5-E5</f>
        <v>120</v>
      </c>
      <c r="H5" s="197">
        <v>45754</v>
      </c>
      <c r="I5" s="197">
        <v>45870</v>
      </c>
      <c r="J5" s="199" t="s">
        <v>5</v>
      </c>
      <c r="K5" s="200">
        <v>1033</v>
      </c>
      <c r="L5" s="201">
        <v>45754</v>
      </c>
      <c r="M5" s="201">
        <v>45796</v>
      </c>
      <c r="N5" s="198">
        <f t="shared" si="4"/>
        <v>43</v>
      </c>
      <c r="O5" s="202">
        <f t="shared" si="5"/>
        <v>24.023255813953487</v>
      </c>
      <c r="P5" s="203">
        <f>Q5/K5</f>
        <v>0.90883833494675692</v>
      </c>
      <c r="Q5" s="204">
        <f>S5</f>
        <v>938.82999999999993</v>
      </c>
      <c r="R5" s="204">
        <f t="shared" si="6"/>
        <v>94.170000000000073</v>
      </c>
      <c r="S5" s="157">
        <f t="shared" si="7"/>
        <v>938.82999999999993</v>
      </c>
      <c r="T5" s="157">
        <f t="shared" si="8"/>
        <v>486</v>
      </c>
      <c r="U5" s="148"/>
      <c r="V5" s="148"/>
      <c r="W5" s="148"/>
      <c r="X5" s="148"/>
      <c r="Y5" s="148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>
        <v>10</v>
      </c>
      <c r="AS5" s="152">
        <v>10</v>
      </c>
      <c r="AT5" s="152">
        <v>10</v>
      </c>
      <c r="AU5" s="149">
        <v>10</v>
      </c>
      <c r="AV5" s="149">
        <v>12</v>
      </c>
      <c r="AW5" s="149">
        <v>13</v>
      </c>
      <c r="AX5" s="149">
        <v>10</v>
      </c>
      <c r="AY5" s="149">
        <v>12</v>
      </c>
      <c r="AZ5" s="149">
        <v>11</v>
      </c>
      <c r="BA5" s="149">
        <v>20</v>
      </c>
      <c r="BB5" s="149">
        <v>14</v>
      </c>
      <c r="BC5" s="149">
        <v>16</v>
      </c>
      <c r="BD5" s="149">
        <v>10</v>
      </c>
      <c r="BE5" s="149">
        <v>6</v>
      </c>
      <c r="BF5" s="149">
        <v>10</v>
      </c>
      <c r="BG5" s="149">
        <v>5</v>
      </c>
      <c r="BH5" s="149">
        <v>7</v>
      </c>
      <c r="BI5" s="149">
        <v>5</v>
      </c>
      <c r="BJ5" s="149">
        <v>7</v>
      </c>
      <c r="BK5" s="149">
        <v>7</v>
      </c>
      <c r="BL5" s="149">
        <v>7</v>
      </c>
      <c r="BM5" s="149">
        <v>12</v>
      </c>
      <c r="BN5" s="149">
        <v>17</v>
      </c>
      <c r="BO5" s="167">
        <v>19</v>
      </c>
      <c r="BP5" s="167">
        <v>24</v>
      </c>
      <c r="BQ5" s="167">
        <v>9</v>
      </c>
      <c r="BR5" s="167">
        <v>12</v>
      </c>
      <c r="BS5" s="167">
        <v>18</v>
      </c>
      <c r="BT5" s="167">
        <v>16</v>
      </c>
      <c r="BU5" s="167">
        <v>15</v>
      </c>
      <c r="BV5" s="167">
        <v>23</v>
      </c>
      <c r="BW5" s="167">
        <v>22</v>
      </c>
      <c r="BX5" s="167">
        <v>20</v>
      </c>
      <c r="BY5" s="167">
        <v>18</v>
      </c>
      <c r="BZ5" s="167">
        <v>16</v>
      </c>
      <c r="CA5" s="167">
        <v>15</v>
      </c>
      <c r="CB5" s="167">
        <v>18</v>
      </c>
      <c r="CC5" s="167">
        <v>14</v>
      </c>
      <c r="CD5" s="167">
        <v>16</v>
      </c>
      <c r="CE5" s="167">
        <v>15</v>
      </c>
      <c r="CF5" s="167">
        <v>14</v>
      </c>
      <c r="CG5" s="167">
        <v>18</v>
      </c>
      <c r="CH5" s="167">
        <v>14</v>
      </c>
      <c r="CI5" s="167">
        <v>15</v>
      </c>
      <c r="CJ5" s="167">
        <v>10</v>
      </c>
      <c r="CK5" s="167">
        <v>11</v>
      </c>
      <c r="CL5" s="167">
        <v>16</v>
      </c>
      <c r="CM5" s="167">
        <v>13</v>
      </c>
      <c r="CN5" s="167">
        <v>15</v>
      </c>
      <c r="CO5" s="167">
        <v>17</v>
      </c>
      <c r="CP5" s="167">
        <v>5</v>
      </c>
      <c r="CQ5" s="167">
        <v>14</v>
      </c>
      <c r="CR5" s="167">
        <v>16</v>
      </c>
      <c r="CS5" s="167">
        <v>13</v>
      </c>
      <c r="CT5" s="167">
        <v>13</v>
      </c>
      <c r="CU5" s="167">
        <v>11</v>
      </c>
      <c r="CV5" s="167">
        <v>7</v>
      </c>
      <c r="CW5" s="167">
        <v>5</v>
      </c>
      <c r="CX5" s="167">
        <v>5</v>
      </c>
      <c r="CY5" s="167">
        <v>5</v>
      </c>
      <c r="CZ5" s="167">
        <v>5</v>
      </c>
      <c r="DA5" s="167">
        <v>5</v>
      </c>
      <c r="DB5" s="167">
        <v>7</v>
      </c>
      <c r="DC5" s="167">
        <v>10</v>
      </c>
      <c r="DD5" s="167">
        <v>7</v>
      </c>
      <c r="DE5" s="167">
        <v>6</v>
      </c>
      <c r="DF5" s="167">
        <v>5</v>
      </c>
      <c r="DG5" s="23">
        <v>7</v>
      </c>
      <c r="DH5" s="23">
        <v>12</v>
      </c>
      <c r="DI5" s="23">
        <v>9</v>
      </c>
      <c r="DJ5" s="23">
        <v>8</v>
      </c>
      <c r="DK5" s="23">
        <v>7</v>
      </c>
      <c r="DL5" s="23">
        <v>7</v>
      </c>
      <c r="DM5" s="23">
        <v>9</v>
      </c>
      <c r="DN5" s="23">
        <v>0</v>
      </c>
      <c r="DO5" s="23">
        <v>0</v>
      </c>
      <c r="DP5" s="23">
        <v>0</v>
      </c>
      <c r="DQ5" s="23">
        <v>0</v>
      </c>
      <c r="DR5" s="23">
        <v>0</v>
      </c>
      <c r="DS5" s="23">
        <v>0</v>
      </c>
      <c r="DT5" s="23">
        <v>0</v>
      </c>
      <c r="DU5" s="23">
        <v>0</v>
      </c>
      <c r="DV5" s="23">
        <v>0</v>
      </c>
      <c r="DW5" s="23">
        <v>0</v>
      </c>
      <c r="DX5" s="23">
        <v>0</v>
      </c>
      <c r="DY5" s="23">
        <v>0</v>
      </c>
      <c r="DZ5" s="23">
        <v>0</v>
      </c>
      <c r="EA5" s="23">
        <v>0</v>
      </c>
      <c r="EB5" s="23">
        <v>0</v>
      </c>
      <c r="EC5" s="23">
        <v>0</v>
      </c>
      <c r="ED5" s="23">
        <v>0</v>
      </c>
      <c r="EE5" s="23">
        <v>0</v>
      </c>
      <c r="EF5" s="23">
        <v>0</v>
      </c>
      <c r="EG5" s="23">
        <v>0</v>
      </c>
      <c r="EH5" s="23">
        <v>0</v>
      </c>
      <c r="EI5" s="23">
        <v>0</v>
      </c>
      <c r="EJ5" s="23">
        <v>0</v>
      </c>
      <c r="EK5" s="23">
        <v>0</v>
      </c>
      <c r="EL5" s="23">
        <v>0</v>
      </c>
      <c r="EM5" s="23">
        <v>0</v>
      </c>
      <c r="EN5" s="23">
        <v>0</v>
      </c>
      <c r="EO5" s="23">
        <v>1.8</v>
      </c>
      <c r="EP5" s="23">
        <v>0</v>
      </c>
      <c r="EQ5" s="23">
        <v>0</v>
      </c>
      <c r="ER5" s="23">
        <v>0</v>
      </c>
      <c r="ES5" s="23">
        <v>0</v>
      </c>
      <c r="ET5" s="23">
        <v>0</v>
      </c>
      <c r="EU5" s="23">
        <v>0</v>
      </c>
      <c r="EV5" s="23">
        <v>0</v>
      </c>
      <c r="EW5" s="23">
        <v>0</v>
      </c>
      <c r="EX5" s="23">
        <v>0</v>
      </c>
      <c r="EY5" s="23">
        <v>3</v>
      </c>
      <c r="EZ5" s="23">
        <v>1</v>
      </c>
      <c r="FA5" s="23">
        <v>3</v>
      </c>
      <c r="FB5" s="23">
        <v>1</v>
      </c>
      <c r="FC5" s="23">
        <v>0</v>
      </c>
      <c r="FD5" s="23">
        <v>30</v>
      </c>
      <c r="FE5" s="23">
        <v>20</v>
      </c>
      <c r="FF5" s="23">
        <v>3</v>
      </c>
      <c r="FG5" s="23">
        <v>1.03</v>
      </c>
      <c r="FH5" s="23">
        <v>1</v>
      </c>
      <c r="FI5" s="23">
        <v>1</v>
      </c>
      <c r="FJ5" s="23">
        <v>1</v>
      </c>
      <c r="FK5" s="23">
        <v>0</v>
      </c>
      <c r="FL5" s="23">
        <v>0</v>
      </c>
      <c r="FM5" s="23">
        <v>0</v>
      </c>
    </row>
    <row r="6" spans="2:172" x14ac:dyDescent="0.4">
      <c r="B6" s="472" t="s">
        <v>19</v>
      </c>
      <c r="C6" s="60">
        <v>3</v>
      </c>
      <c r="D6" s="225" t="s">
        <v>310</v>
      </c>
      <c r="E6" s="197">
        <v>45700</v>
      </c>
      <c r="F6" s="197">
        <v>45709</v>
      </c>
      <c r="G6" s="198">
        <f t="shared" ref="G6:G27" si="9">F6-E6</f>
        <v>9</v>
      </c>
      <c r="H6" s="197">
        <v>45700</v>
      </c>
      <c r="I6" s="197">
        <v>45709</v>
      </c>
      <c r="J6" s="199" t="s">
        <v>256</v>
      </c>
      <c r="K6" s="200">
        <v>1</v>
      </c>
      <c r="L6" s="201">
        <v>45700</v>
      </c>
      <c r="M6" s="201">
        <v>45710</v>
      </c>
      <c r="N6" s="198">
        <f t="shared" si="4"/>
        <v>11</v>
      </c>
      <c r="O6" s="202">
        <f t="shared" si="5"/>
        <v>9.0909090909090912E-2</v>
      </c>
      <c r="P6" s="205">
        <f>IFERROR(SUMIF($U$2:$AT$2,"&lt;="&amp;$D$1,U6:BN6)/K6,"-")</f>
        <v>1</v>
      </c>
      <c r="Q6" s="204">
        <f>SUMIF($U$2:$CC$2,"&lt;="&amp;$D$1,U6:CC6)</f>
        <v>1</v>
      </c>
      <c r="R6" s="204">
        <f t="shared" si="6"/>
        <v>0</v>
      </c>
      <c r="S6" s="157">
        <f t="shared" si="7"/>
        <v>1</v>
      </c>
      <c r="T6" s="157">
        <f t="shared" si="8"/>
        <v>1</v>
      </c>
      <c r="U6" s="156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8"/>
      <c r="BP6" s="168"/>
      <c r="BQ6" s="168"/>
      <c r="BR6" s="168"/>
      <c r="BS6" s="168"/>
      <c r="BT6" s="168"/>
      <c r="BU6" s="168"/>
      <c r="BV6" s="168"/>
      <c r="BW6" s="168"/>
      <c r="BX6" s="168"/>
      <c r="BY6" s="168"/>
      <c r="BZ6" s="168"/>
      <c r="CA6" s="168"/>
      <c r="CB6" s="168"/>
      <c r="CC6" s="168"/>
      <c r="CD6" s="168"/>
      <c r="CE6" s="168"/>
      <c r="CF6" s="168"/>
      <c r="CG6" s="168"/>
      <c r="CH6" s="168"/>
      <c r="CI6" s="168"/>
      <c r="CJ6" s="168"/>
      <c r="CK6" s="168"/>
      <c r="CL6" s="168"/>
      <c r="CM6" s="168"/>
      <c r="CN6" s="168"/>
      <c r="CO6" s="168"/>
      <c r="CP6" s="168"/>
      <c r="CQ6" s="168"/>
      <c r="CR6" s="168"/>
      <c r="CS6" s="168"/>
      <c r="CT6" s="168"/>
      <c r="CU6" s="168"/>
      <c r="CV6" s="168"/>
      <c r="CW6" s="168"/>
      <c r="CX6" s="168"/>
      <c r="CY6" s="168"/>
      <c r="CZ6" s="168"/>
      <c r="DA6" s="168"/>
      <c r="DB6" s="168"/>
      <c r="DC6" s="168"/>
      <c r="DD6" s="168"/>
      <c r="DE6" s="168"/>
      <c r="DF6" s="168"/>
      <c r="DG6" s="56">
        <v>0</v>
      </c>
      <c r="DH6" s="56">
        <v>0</v>
      </c>
      <c r="DI6" s="56">
        <v>0</v>
      </c>
      <c r="DJ6" s="56">
        <v>0</v>
      </c>
      <c r="DK6" s="56">
        <v>0</v>
      </c>
      <c r="DL6" s="56">
        <v>0</v>
      </c>
      <c r="DM6" s="56">
        <v>0</v>
      </c>
      <c r="DN6" s="56">
        <v>0</v>
      </c>
      <c r="DO6" s="56">
        <v>0</v>
      </c>
      <c r="DP6" s="56">
        <v>0</v>
      </c>
      <c r="DQ6" s="56">
        <v>0</v>
      </c>
      <c r="DR6" s="56">
        <v>0</v>
      </c>
      <c r="DS6" s="56">
        <v>0</v>
      </c>
      <c r="DT6" s="56">
        <v>0</v>
      </c>
      <c r="DU6" s="56">
        <v>0</v>
      </c>
      <c r="DV6" s="56">
        <v>0</v>
      </c>
      <c r="DW6" s="56">
        <v>0</v>
      </c>
      <c r="DX6" s="23">
        <v>0</v>
      </c>
      <c r="DY6" s="56">
        <v>0</v>
      </c>
      <c r="DZ6" s="56">
        <v>0</v>
      </c>
      <c r="EA6" s="56">
        <v>0</v>
      </c>
      <c r="EB6" s="23">
        <v>0</v>
      </c>
      <c r="EC6" s="23">
        <v>0</v>
      </c>
      <c r="ED6" s="56">
        <v>0</v>
      </c>
      <c r="EE6" s="23">
        <v>0</v>
      </c>
      <c r="EF6" s="23">
        <v>0</v>
      </c>
      <c r="EG6" s="23">
        <v>0</v>
      </c>
      <c r="EH6" s="23">
        <v>0</v>
      </c>
      <c r="EI6" s="23">
        <v>0</v>
      </c>
      <c r="EJ6" s="56">
        <v>0</v>
      </c>
      <c r="EK6" s="23">
        <v>0</v>
      </c>
      <c r="EL6" s="23">
        <v>0</v>
      </c>
      <c r="EM6" s="23">
        <v>0</v>
      </c>
      <c r="EN6" s="56">
        <v>0</v>
      </c>
      <c r="EO6" s="56">
        <v>0</v>
      </c>
      <c r="EP6" s="56">
        <v>0</v>
      </c>
      <c r="EQ6" s="56">
        <v>0</v>
      </c>
      <c r="ER6" s="56">
        <v>0</v>
      </c>
      <c r="ES6" s="56">
        <v>0</v>
      </c>
      <c r="ET6" s="56">
        <v>0</v>
      </c>
      <c r="EU6" s="56">
        <v>0</v>
      </c>
      <c r="EV6" s="56">
        <v>0</v>
      </c>
      <c r="EW6" s="56">
        <v>0</v>
      </c>
      <c r="EX6" s="56">
        <v>0</v>
      </c>
      <c r="EY6" s="56">
        <v>0</v>
      </c>
      <c r="EZ6" s="56">
        <v>0</v>
      </c>
      <c r="FA6" s="56">
        <v>0</v>
      </c>
      <c r="FB6" s="56">
        <v>0</v>
      </c>
      <c r="FC6" s="56">
        <v>0</v>
      </c>
      <c r="FD6" s="56">
        <v>0</v>
      </c>
      <c r="FE6" s="56">
        <v>0</v>
      </c>
      <c r="FF6" s="56">
        <v>0</v>
      </c>
      <c r="FG6" s="56">
        <v>0</v>
      </c>
      <c r="FH6" s="56">
        <v>0</v>
      </c>
      <c r="FI6" s="56">
        <v>0</v>
      </c>
      <c r="FJ6" s="56">
        <v>0</v>
      </c>
      <c r="FK6" s="56">
        <v>0</v>
      </c>
      <c r="FL6" s="56">
        <v>0</v>
      </c>
      <c r="FM6" s="56">
        <v>0</v>
      </c>
    </row>
    <row r="7" spans="2:172" x14ac:dyDescent="0.4">
      <c r="B7" s="472"/>
      <c r="C7" s="60">
        <v>4</v>
      </c>
      <c r="D7" s="225" t="s">
        <v>108</v>
      </c>
      <c r="E7" s="197">
        <v>45711</v>
      </c>
      <c r="F7" s="197">
        <v>45730</v>
      </c>
      <c r="G7" s="198">
        <f t="shared" si="9"/>
        <v>19</v>
      </c>
      <c r="H7" s="197">
        <v>45711</v>
      </c>
      <c r="I7" s="197">
        <v>45730</v>
      </c>
      <c r="J7" s="199" t="s">
        <v>256</v>
      </c>
      <c r="K7" s="200">
        <v>1</v>
      </c>
      <c r="L7" s="201">
        <v>45703</v>
      </c>
      <c r="M7" s="201">
        <v>45730</v>
      </c>
      <c r="N7" s="198">
        <f t="shared" si="4"/>
        <v>28</v>
      </c>
      <c r="O7" s="202">
        <f t="shared" si="5"/>
        <v>3.5714285714285712E-2</v>
      </c>
      <c r="P7" s="205">
        <f>IFERROR(SUMIF($U$2:$AT$2,"&lt;="&amp;$D$1,U7:BN7)/K7,"-")</f>
        <v>1</v>
      </c>
      <c r="Q7" s="204">
        <f>SUMIF($U$2:$CC$2,"&lt;="&amp;$D$1,U7:CC7)</f>
        <v>1</v>
      </c>
      <c r="R7" s="204">
        <f t="shared" si="6"/>
        <v>0</v>
      </c>
      <c r="S7" s="157">
        <f t="shared" si="7"/>
        <v>1</v>
      </c>
      <c r="T7" s="157">
        <f t="shared" si="8"/>
        <v>1</v>
      </c>
      <c r="U7" s="156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8"/>
      <c r="BP7" s="168"/>
      <c r="BQ7" s="168"/>
      <c r="BR7" s="168"/>
      <c r="BS7" s="168"/>
      <c r="BT7" s="168"/>
      <c r="BU7" s="168"/>
      <c r="BV7" s="168"/>
      <c r="BW7" s="168"/>
      <c r="BX7" s="168"/>
      <c r="BY7" s="168"/>
      <c r="BZ7" s="168"/>
      <c r="CA7" s="168"/>
      <c r="CB7" s="168"/>
      <c r="CC7" s="168"/>
      <c r="CD7" s="168"/>
      <c r="CE7" s="168"/>
      <c r="CF7" s="168"/>
      <c r="CG7" s="168"/>
      <c r="CH7" s="168"/>
      <c r="CI7" s="168"/>
      <c r="CJ7" s="168"/>
      <c r="CK7" s="168"/>
      <c r="CL7" s="168"/>
      <c r="CM7" s="168"/>
      <c r="CN7" s="168"/>
      <c r="CO7" s="168"/>
      <c r="CP7" s="168"/>
      <c r="CQ7" s="168"/>
      <c r="CR7" s="168"/>
      <c r="CS7" s="168"/>
      <c r="CT7" s="168"/>
      <c r="CU7" s="168"/>
      <c r="CV7" s="168"/>
      <c r="CW7" s="168"/>
      <c r="CX7" s="168"/>
      <c r="CY7" s="168"/>
      <c r="CZ7" s="168"/>
      <c r="DA7" s="168"/>
      <c r="DB7" s="168"/>
      <c r="DC7" s="168"/>
      <c r="DD7" s="168"/>
      <c r="DE7" s="168"/>
      <c r="DF7" s="168"/>
      <c r="DG7" s="56">
        <v>0</v>
      </c>
      <c r="DH7" s="56">
        <v>0</v>
      </c>
      <c r="DI7" s="56">
        <v>0</v>
      </c>
      <c r="DJ7" s="56">
        <v>0</v>
      </c>
      <c r="DK7" s="56">
        <v>0</v>
      </c>
      <c r="DL7" s="56">
        <v>0</v>
      </c>
      <c r="DM7" s="56">
        <v>0</v>
      </c>
      <c r="DN7" s="56">
        <v>0</v>
      </c>
      <c r="DO7" s="56">
        <v>0</v>
      </c>
      <c r="DP7" s="56">
        <v>0</v>
      </c>
      <c r="DQ7" s="56">
        <v>0</v>
      </c>
      <c r="DR7" s="56">
        <v>0</v>
      </c>
      <c r="DS7" s="56">
        <v>0</v>
      </c>
      <c r="DT7" s="56">
        <v>0</v>
      </c>
      <c r="DU7" s="56">
        <v>0</v>
      </c>
      <c r="DV7" s="56">
        <v>0</v>
      </c>
      <c r="DW7" s="56">
        <v>0</v>
      </c>
      <c r="DX7" s="23">
        <v>0</v>
      </c>
      <c r="DY7" s="56">
        <v>0</v>
      </c>
      <c r="DZ7" s="56">
        <v>0</v>
      </c>
      <c r="EA7" s="56">
        <v>0</v>
      </c>
      <c r="EB7" s="23">
        <v>0</v>
      </c>
      <c r="EC7" s="23">
        <v>0</v>
      </c>
      <c r="ED7" s="56">
        <v>0</v>
      </c>
      <c r="EE7" s="23">
        <v>0</v>
      </c>
      <c r="EF7" s="23">
        <v>0</v>
      </c>
      <c r="EG7" s="23">
        <v>0</v>
      </c>
      <c r="EH7" s="23">
        <v>0</v>
      </c>
      <c r="EI7" s="23">
        <v>0</v>
      </c>
      <c r="EJ7" s="56">
        <v>0</v>
      </c>
      <c r="EK7" s="23">
        <v>0</v>
      </c>
      <c r="EL7" s="23">
        <v>0</v>
      </c>
      <c r="EM7" s="23">
        <v>0</v>
      </c>
      <c r="EN7" s="56">
        <v>0</v>
      </c>
      <c r="EO7" s="56">
        <v>0</v>
      </c>
      <c r="EP7" s="56">
        <v>0</v>
      </c>
      <c r="EQ7" s="56">
        <v>0</v>
      </c>
      <c r="ER7" s="56">
        <v>0</v>
      </c>
      <c r="ES7" s="56">
        <v>0</v>
      </c>
      <c r="ET7" s="56">
        <v>0</v>
      </c>
      <c r="EU7" s="56">
        <v>0</v>
      </c>
      <c r="EV7" s="56">
        <v>0</v>
      </c>
      <c r="EW7" s="56">
        <v>0</v>
      </c>
      <c r="EX7" s="56">
        <v>0</v>
      </c>
      <c r="EY7" s="56">
        <v>0</v>
      </c>
      <c r="EZ7" s="56">
        <v>0</v>
      </c>
      <c r="FA7" s="56">
        <v>0</v>
      </c>
      <c r="FB7" s="56">
        <v>0</v>
      </c>
      <c r="FC7" s="56">
        <v>0</v>
      </c>
      <c r="FD7" s="56">
        <v>0</v>
      </c>
      <c r="FE7" s="56">
        <v>0</v>
      </c>
      <c r="FF7" s="56">
        <v>0</v>
      </c>
      <c r="FG7" s="56">
        <v>0</v>
      </c>
      <c r="FH7" s="56">
        <v>0</v>
      </c>
      <c r="FI7" s="56">
        <v>0</v>
      </c>
      <c r="FJ7" s="56">
        <v>0</v>
      </c>
      <c r="FK7" s="56">
        <v>0</v>
      </c>
      <c r="FL7" s="56">
        <v>0</v>
      </c>
      <c r="FM7" s="56">
        <v>0</v>
      </c>
    </row>
    <row r="8" spans="2:172" x14ac:dyDescent="0.4">
      <c r="B8" s="472"/>
      <c r="C8" s="60">
        <v>5</v>
      </c>
      <c r="D8" s="225" t="s">
        <v>311</v>
      </c>
      <c r="E8" s="197">
        <v>45703</v>
      </c>
      <c r="F8" s="197">
        <v>45762</v>
      </c>
      <c r="G8" s="198">
        <f t="shared" si="9"/>
        <v>59</v>
      </c>
      <c r="H8" s="197">
        <v>45703</v>
      </c>
      <c r="I8" s="197">
        <v>45776</v>
      </c>
      <c r="J8" s="199" t="s">
        <v>315</v>
      </c>
      <c r="K8" s="200">
        <v>79</v>
      </c>
      <c r="L8" s="201">
        <v>45711</v>
      </c>
      <c r="M8" s="201">
        <v>45778</v>
      </c>
      <c r="N8" s="198">
        <f t="shared" si="4"/>
        <v>68</v>
      </c>
      <c r="O8" s="202">
        <f t="shared" si="5"/>
        <v>1.161764705882353</v>
      </c>
      <c r="P8" s="205">
        <f>Q8/K8</f>
        <v>1</v>
      </c>
      <c r="Q8" s="204">
        <f>SUMIF($U$2:$CC$2,"&lt;="&amp;$D$1,U8:CC8)</f>
        <v>79</v>
      </c>
      <c r="R8" s="204">
        <f t="shared" si="6"/>
        <v>0</v>
      </c>
      <c r="S8" s="157">
        <f t="shared" si="7"/>
        <v>79</v>
      </c>
      <c r="T8" s="157">
        <f t="shared" si="8"/>
        <v>79</v>
      </c>
      <c r="U8" s="156">
        <v>52</v>
      </c>
      <c r="V8" s="156">
        <v>2</v>
      </c>
      <c r="W8" s="156">
        <v>2</v>
      </c>
      <c r="X8" s="156">
        <v>2</v>
      </c>
      <c r="Y8" s="156">
        <v>2</v>
      </c>
      <c r="Z8" s="156">
        <v>2</v>
      </c>
      <c r="AA8" s="156">
        <v>1</v>
      </c>
      <c r="AB8" s="156">
        <v>1</v>
      </c>
      <c r="AC8" s="156">
        <v>1</v>
      </c>
      <c r="AD8" s="156">
        <v>1</v>
      </c>
      <c r="AE8" s="156">
        <v>1</v>
      </c>
      <c r="AF8" s="156">
        <v>1</v>
      </c>
      <c r="AG8" s="156"/>
      <c r="AH8" s="156">
        <v>1</v>
      </c>
      <c r="AI8" s="156">
        <v>1</v>
      </c>
      <c r="AJ8" s="156"/>
      <c r="AK8" s="156"/>
      <c r="AL8" s="156">
        <v>1</v>
      </c>
      <c r="AM8" s="156">
        <v>1</v>
      </c>
      <c r="AN8" s="156">
        <v>1</v>
      </c>
      <c r="AO8" s="156">
        <v>1</v>
      </c>
      <c r="AP8" s="156">
        <v>1</v>
      </c>
      <c r="AQ8" s="156"/>
      <c r="AR8" s="154"/>
      <c r="AS8" s="156">
        <v>1</v>
      </c>
      <c r="AT8" s="156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  <c r="CZ8" s="168"/>
      <c r="DA8" s="168"/>
      <c r="DB8" s="168"/>
      <c r="DC8" s="168"/>
      <c r="DD8" s="168"/>
      <c r="DE8" s="168"/>
      <c r="DF8" s="168"/>
      <c r="DG8" s="56">
        <v>0</v>
      </c>
      <c r="DH8" s="56">
        <v>0</v>
      </c>
      <c r="DI8" s="56">
        <v>0</v>
      </c>
      <c r="DJ8" s="56">
        <v>0</v>
      </c>
      <c r="DK8" s="56">
        <v>0</v>
      </c>
      <c r="DL8" s="56">
        <v>0</v>
      </c>
      <c r="DM8" s="56">
        <v>0</v>
      </c>
      <c r="DN8" s="56">
        <v>0</v>
      </c>
      <c r="DO8" s="56">
        <v>0</v>
      </c>
      <c r="DP8" s="56">
        <v>0</v>
      </c>
      <c r="DQ8" s="56">
        <v>0</v>
      </c>
      <c r="DR8" s="56">
        <v>0</v>
      </c>
      <c r="DS8" s="56">
        <v>0</v>
      </c>
      <c r="DT8" s="56">
        <v>0</v>
      </c>
      <c r="DU8" s="56">
        <v>0</v>
      </c>
      <c r="DV8" s="56">
        <v>0</v>
      </c>
      <c r="DW8" s="56">
        <v>0</v>
      </c>
      <c r="DX8" s="23">
        <v>0</v>
      </c>
      <c r="DY8" s="56">
        <v>0</v>
      </c>
      <c r="DZ8" s="56">
        <v>0</v>
      </c>
      <c r="EA8" s="56">
        <v>0</v>
      </c>
      <c r="EB8" s="23">
        <v>0</v>
      </c>
      <c r="EC8" s="23">
        <v>0</v>
      </c>
      <c r="ED8" s="56">
        <v>0</v>
      </c>
      <c r="EE8" s="23">
        <v>0</v>
      </c>
      <c r="EF8" s="23">
        <v>0</v>
      </c>
      <c r="EG8" s="23">
        <v>0</v>
      </c>
      <c r="EH8" s="23">
        <v>0</v>
      </c>
      <c r="EI8" s="23">
        <v>0</v>
      </c>
      <c r="EJ8" s="56">
        <v>0</v>
      </c>
      <c r="EK8" s="23">
        <v>0</v>
      </c>
      <c r="EL8" s="23">
        <v>0</v>
      </c>
      <c r="EM8" s="23">
        <v>0</v>
      </c>
      <c r="EN8" s="56">
        <v>0</v>
      </c>
      <c r="EO8" s="56">
        <v>0</v>
      </c>
      <c r="EP8" s="56">
        <v>0</v>
      </c>
      <c r="EQ8" s="56">
        <v>0</v>
      </c>
      <c r="ER8" s="56">
        <v>0</v>
      </c>
      <c r="ES8" s="56">
        <v>0</v>
      </c>
      <c r="ET8" s="56">
        <v>0</v>
      </c>
      <c r="EU8" s="56">
        <v>0</v>
      </c>
      <c r="EV8" s="56">
        <v>0</v>
      </c>
      <c r="EW8" s="56">
        <v>0</v>
      </c>
      <c r="EX8" s="56">
        <v>0</v>
      </c>
      <c r="EY8" s="56">
        <v>0</v>
      </c>
      <c r="EZ8" s="56">
        <v>0</v>
      </c>
      <c r="FA8" s="56">
        <v>0</v>
      </c>
      <c r="FB8" s="56">
        <v>0</v>
      </c>
      <c r="FC8" s="56">
        <v>0</v>
      </c>
      <c r="FD8" s="56">
        <v>0</v>
      </c>
      <c r="FE8" s="56">
        <v>0</v>
      </c>
      <c r="FF8" s="56">
        <v>0</v>
      </c>
      <c r="FG8" s="56">
        <v>0</v>
      </c>
      <c r="FH8" s="56">
        <v>0</v>
      </c>
      <c r="FI8" s="56">
        <v>0</v>
      </c>
      <c r="FJ8" s="56">
        <v>0</v>
      </c>
      <c r="FK8" s="56">
        <v>0</v>
      </c>
      <c r="FL8" s="56">
        <v>0</v>
      </c>
      <c r="FM8" s="56">
        <v>0</v>
      </c>
    </row>
    <row r="9" spans="2:172" x14ac:dyDescent="0.4">
      <c r="B9" s="472"/>
      <c r="C9" s="60">
        <v>6</v>
      </c>
      <c r="D9" s="225" t="s">
        <v>312</v>
      </c>
      <c r="E9" s="197">
        <v>45749</v>
      </c>
      <c r="F9" s="197">
        <v>45760</v>
      </c>
      <c r="G9" s="198">
        <f t="shared" si="9"/>
        <v>11</v>
      </c>
      <c r="H9" s="197">
        <v>45753</v>
      </c>
      <c r="I9" s="197">
        <v>45757</v>
      </c>
      <c r="J9" s="199" t="s">
        <v>256</v>
      </c>
      <c r="K9" s="200">
        <v>36</v>
      </c>
      <c r="L9" s="201">
        <v>45753</v>
      </c>
      <c r="M9" s="201">
        <v>45757</v>
      </c>
      <c r="N9" s="198">
        <f t="shared" si="4"/>
        <v>5</v>
      </c>
      <c r="O9" s="202">
        <f t="shared" si="5"/>
        <v>7.2</v>
      </c>
      <c r="P9" s="205">
        <f>IFERROR(SUMIF($U$2:$AT$2,"&lt;="&amp;$D$1,U9:BN9)/K9,"-")</f>
        <v>1</v>
      </c>
      <c r="Q9" s="204">
        <f>SUMIF($U$2:$CC$2,"&lt;="&amp;$D$1,U9:CC9)</f>
        <v>36</v>
      </c>
      <c r="R9" s="204">
        <f t="shared" si="6"/>
        <v>0</v>
      </c>
      <c r="S9" s="157">
        <f t="shared" si="7"/>
        <v>36</v>
      </c>
      <c r="T9" s="157">
        <f t="shared" si="8"/>
        <v>36</v>
      </c>
      <c r="U9" s="66">
        <v>0</v>
      </c>
      <c r="V9" s="66">
        <v>0</v>
      </c>
      <c r="W9" s="66"/>
      <c r="X9" s="66"/>
      <c r="Y9" s="155">
        <v>4</v>
      </c>
      <c r="Z9" s="155">
        <v>8</v>
      </c>
      <c r="AA9" s="155">
        <v>8</v>
      </c>
      <c r="AB9" s="155">
        <v>10</v>
      </c>
      <c r="AC9" s="155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8"/>
      <c r="BP9" s="168"/>
      <c r="BQ9" s="168"/>
      <c r="BR9" s="168"/>
      <c r="BS9" s="168"/>
      <c r="BT9" s="168"/>
      <c r="BU9" s="168"/>
      <c r="BV9" s="168"/>
      <c r="BW9" s="168"/>
      <c r="BX9" s="168"/>
      <c r="BY9" s="168"/>
      <c r="BZ9" s="168"/>
      <c r="CA9" s="168"/>
      <c r="CB9" s="168"/>
      <c r="CC9" s="168"/>
      <c r="CD9" s="168"/>
      <c r="CE9" s="168"/>
      <c r="CF9" s="168"/>
      <c r="CG9" s="168"/>
      <c r="CH9" s="168"/>
      <c r="CI9" s="168"/>
      <c r="CJ9" s="168"/>
      <c r="CK9" s="168"/>
      <c r="CL9" s="168"/>
      <c r="CM9" s="168"/>
      <c r="CN9" s="168"/>
      <c r="CO9" s="168"/>
      <c r="CP9" s="168"/>
      <c r="CQ9" s="168"/>
      <c r="CR9" s="168"/>
      <c r="CS9" s="168"/>
      <c r="CT9" s="168"/>
      <c r="CU9" s="168"/>
      <c r="CV9" s="168"/>
      <c r="CW9" s="168"/>
      <c r="CX9" s="168"/>
      <c r="CY9" s="168"/>
      <c r="CZ9" s="168"/>
      <c r="DA9" s="168"/>
      <c r="DB9" s="168"/>
      <c r="DC9" s="168"/>
      <c r="DD9" s="168"/>
      <c r="DE9" s="168"/>
      <c r="DF9" s="168"/>
      <c r="DG9" s="56">
        <v>0</v>
      </c>
      <c r="DH9" s="56">
        <v>0</v>
      </c>
      <c r="DI9" s="56">
        <v>0</v>
      </c>
      <c r="DJ9" s="56">
        <v>0</v>
      </c>
      <c r="DK9" s="56">
        <v>0</v>
      </c>
      <c r="DL9" s="56">
        <v>0</v>
      </c>
      <c r="DM9" s="56">
        <v>0</v>
      </c>
      <c r="DN9" s="56">
        <v>0</v>
      </c>
      <c r="DO9" s="56">
        <v>0</v>
      </c>
      <c r="DP9" s="56">
        <v>0</v>
      </c>
      <c r="DQ9" s="56">
        <v>0</v>
      </c>
      <c r="DR9" s="56">
        <v>0</v>
      </c>
      <c r="DS9" s="56">
        <v>0</v>
      </c>
      <c r="DT9" s="56">
        <v>0</v>
      </c>
      <c r="DU9" s="56">
        <v>0</v>
      </c>
      <c r="DV9" s="56">
        <v>0</v>
      </c>
      <c r="DW9" s="56">
        <v>0</v>
      </c>
      <c r="DX9" s="23">
        <v>0</v>
      </c>
      <c r="DY9" s="56">
        <v>0</v>
      </c>
      <c r="DZ9" s="56">
        <v>0</v>
      </c>
      <c r="EA9" s="56">
        <v>0</v>
      </c>
      <c r="EB9" s="23">
        <v>0</v>
      </c>
      <c r="EC9" s="23">
        <v>0</v>
      </c>
      <c r="ED9" s="56">
        <v>0</v>
      </c>
      <c r="EE9" s="23">
        <v>0</v>
      </c>
      <c r="EF9" s="23">
        <v>0</v>
      </c>
      <c r="EG9" s="23">
        <v>0</v>
      </c>
      <c r="EH9" s="23">
        <v>0</v>
      </c>
      <c r="EI9" s="23">
        <v>0</v>
      </c>
      <c r="EJ9" s="56">
        <v>0</v>
      </c>
      <c r="EK9" s="23">
        <v>0</v>
      </c>
      <c r="EL9" s="23">
        <v>0</v>
      </c>
      <c r="EM9" s="23">
        <v>0</v>
      </c>
      <c r="EN9" s="56">
        <v>0</v>
      </c>
      <c r="EO9" s="56">
        <v>0</v>
      </c>
      <c r="EP9" s="56">
        <v>0</v>
      </c>
      <c r="EQ9" s="56">
        <v>0</v>
      </c>
      <c r="ER9" s="56">
        <v>0</v>
      </c>
      <c r="ES9" s="56">
        <v>0</v>
      </c>
      <c r="ET9" s="56">
        <v>0</v>
      </c>
      <c r="EU9" s="56">
        <v>0</v>
      </c>
      <c r="EV9" s="56">
        <v>0</v>
      </c>
      <c r="EW9" s="56">
        <v>0</v>
      </c>
      <c r="EX9" s="56">
        <v>0</v>
      </c>
      <c r="EY9" s="56">
        <v>0</v>
      </c>
      <c r="EZ9" s="56">
        <v>0</v>
      </c>
      <c r="FA9" s="56">
        <v>0</v>
      </c>
      <c r="FB9" s="56">
        <v>0</v>
      </c>
      <c r="FC9" s="56">
        <v>0</v>
      </c>
      <c r="FD9" s="56">
        <v>0</v>
      </c>
      <c r="FE9" s="56">
        <v>0</v>
      </c>
      <c r="FF9" s="56">
        <v>0</v>
      </c>
      <c r="FG9" s="56">
        <v>0</v>
      </c>
      <c r="FH9" s="56">
        <v>0</v>
      </c>
      <c r="FI9" s="56">
        <v>0</v>
      </c>
      <c r="FJ9" s="56">
        <v>0</v>
      </c>
      <c r="FK9" s="56">
        <v>0</v>
      </c>
      <c r="FL9" s="56">
        <v>0</v>
      </c>
      <c r="FM9" s="56">
        <v>0</v>
      </c>
    </row>
    <row r="10" spans="2:172" x14ac:dyDescent="0.4">
      <c r="B10" s="472"/>
      <c r="C10" s="60">
        <v>7</v>
      </c>
      <c r="D10" s="225" t="s">
        <v>313</v>
      </c>
      <c r="E10" s="197">
        <v>45759</v>
      </c>
      <c r="F10" s="197">
        <v>45773</v>
      </c>
      <c r="G10" s="198">
        <f t="shared" si="9"/>
        <v>14</v>
      </c>
      <c r="H10" s="197">
        <v>45806</v>
      </c>
      <c r="I10" s="197">
        <v>45811</v>
      </c>
      <c r="J10" s="199" t="s">
        <v>256</v>
      </c>
      <c r="K10" s="200">
        <v>240</v>
      </c>
      <c r="L10" s="201"/>
      <c r="M10" s="201"/>
      <c r="N10" s="198" t="str">
        <f t="shared" si="4"/>
        <v/>
      </c>
      <c r="O10" s="202" t="str">
        <f t="shared" si="5"/>
        <v>-</v>
      </c>
      <c r="P10" s="205">
        <f>Q10/K10</f>
        <v>1</v>
      </c>
      <c r="Q10" s="204">
        <f>S10</f>
        <v>240</v>
      </c>
      <c r="R10" s="204">
        <f t="shared" si="6"/>
        <v>0</v>
      </c>
      <c r="S10" s="157">
        <f t="shared" si="7"/>
        <v>240</v>
      </c>
      <c r="T10" s="157">
        <f t="shared" ref="T10:T54" si="10">SUM(U10:CB10)</f>
        <v>108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8"/>
      <c r="BP10" s="168"/>
      <c r="BQ10" s="168"/>
      <c r="BR10" s="168"/>
      <c r="BS10" s="168"/>
      <c r="BT10" s="168"/>
      <c r="BU10" s="168"/>
      <c r="BV10" s="168"/>
      <c r="BW10" s="168"/>
      <c r="BX10" s="168"/>
      <c r="BY10" s="168"/>
      <c r="BZ10" s="168">
        <v>34</v>
      </c>
      <c r="CA10" s="168">
        <v>38</v>
      </c>
      <c r="CB10" s="168">
        <v>36</v>
      </c>
      <c r="CC10" s="168">
        <v>40</v>
      </c>
      <c r="CD10" s="168"/>
      <c r="CE10" s="168"/>
      <c r="CF10" s="168"/>
      <c r="CG10" s="168">
        <v>40</v>
      </c>
      <c r="CH10" s="168">
        <v>32</v>
      </c>
      <c r="CI10" s="168">
        <v>20</v>
      </c>
      <c r="CJ10" s="168"/>
      <c r="CK10" s="168"/>
      <c r="CL10" s="168"/>
      <c r="CM10" s="168"/>
      <c r="CN10" s="168"/>
      <c r="CO10" s="168"/>
      <c r="CP10" s="168"/>
      <c r="CQ10" s="168"/>
      <c r="CR10" s="168"/>
      <c r="CS10" s="168"/>
      <c r="CT10" s="168"/>
      <c r="CU10" s="168"/>
      <c r="CV10" s="168"/>
      <c r="CW10" s="168"/>
      <c r="CX10" s="168"/>
      <c r="CY10" s="168"/>
      <c r="CZ10" s="168"/>
      <c r="DA10" s="168"/>
      <c r="DB10" s="168"/>
      <c r="DC10" s="168"/>
      <c r="DD10" s="168"/>
      <c r="DE10" s="168"/>
      <c r="DF10" s="168"/>
      <c r="DG10" s="56">
        <v>0</v>
      </c>
      <c r="DH10" s="56">
        <v>0</v>
      </c>
      <c r="DI10" s="56">
        <v>0</v>
      </c>
      <c r="DJ10" s="56">
        <v>0</v>
      </c>
      <c r="DK10" s="56">
        <v>0</v>
      </c>
      <c r="DL10" s="56">
        <v>0</v>
      </c>
      <c r="DM10" s="56">
        <v>0</v>
      </c>
      <c r="DN10" s="56">
        <v>0</v>
      </c>
      <c r="DO10" s="56">
        <v>0</v>
      </c>
      <c r="DP10" s="56">
        <v>0</v>
      </c>
      <c r="DQ10" s="56">
        <v>0</v>
      </c>
      <c r="DR10" s="56">
        <v>0</v>
      </c>
      <c r="DS10" s="56">
        <v>0</v>
      </c>
      <c r="DT10" s="56">
        <v>0</v>
      </c>
      <c r="DU10" s="56">
        <v>0</v>
      </c>
      <c r="DV10" s="56">
        <v>0</v>
      </c>
      <c r="DW10" s="56">
        <v>0</v>
      </c>
      <c r="DX10" s="23">
        <v>0</v>
      </c>
      <c r="DY10" s="56">
        <v>0</v>
      </c>
      <c r="DZ10" s="56">
        <v>0</v>
      </c>
      <c r="EA10" s="56">
        <v>0</v>
      </c>
      <c r="EB10" s="23">
        <v>0</v>
      </c>
      <c r="EC10" s="23">
        <v>0</v>
      </c>
      <c r="ED10" s="56">
        <v>0</v>
      </c>
      <c r="EE10" s="23">
        <v>0</v>
      </c>
      <c r="EF10" s="23">
        <v>0</v>
      </c>
      <c r="EG10" s="23">
        <v>0</v>
      </c>
      <c r="EH10" s="23">
        <v>0</v>
      </c>
      <c r="EI10" s="23">
        <v>0</v>
      </c>
      <c r="EJ10" s="56">
        <v>0</v>
      </c>
      <c r="EK10" s="23">
        <v>0</v>
      </c>
      <c r="EL10" s="23">
        <v>0</v>
      </c>
      <c r="EM10" s="23">
        <v>0</v>
      </c>
      <c r="EN10" s="56">
        <v>0</v>
      </c>
      <c r="EO10" s="56">
        <v>0</v>
      </c>
      <c r="EP10" s="56">
        <v>0</v>
      </c>
      <c r="EQ10" s="56">
        <v>0</v>
      </c>
      <c r="ER10" s="56">
        <v>0</v>
      </c>
      <c r="ES10" s="56">
        <v>0</v>
      </c>
      <c r="ET10" s="56">
        <v>0</v>
      </c>
      <c r="EU10" s="56">
        <v>0</v>
      </c>
      <c r="EV10" s="56">
        <v>0</v>
      </c>
      <c r="EW10" s="56">
        <v>0</v>
      </c>
      <c r="EX10" s="56">
        <v>0</v>
      </c>
      <c r="EY10" s="56">
        <v>0</v>
      </c>
      <c r="EZ10" s="56">
        <v>0</v>
      </c>
      <c r="FA10" s="56">
        <v>0</v>
      </c>
      <c r="FB10" s="56">
        <v>0</v>
      </c>
      <c r="FC10" s="56">
        <v>0</v>
      </c>
      <c r="FD10" s="56">
        <v>0</v>
      </c>
      <c r="FE10" s="56">
        <v>0</v>
      </c>
      <c r="FF10" s="56">
        <v>0</v>
      </c>
      <c r="FG10" s="56">
        <v>0</v>
      </c>
      <c r="FH10" s="56">
        <v>0</v>
      </c>
      <c r="FI10" s="56">
        <v>0</v>
      </c>
      <c r="FJ10" s="56">
        <v>0</v>
      </c>
      <c r="FK10" s="56">
        <v>0</v>
      </c>
      <c r="FL10" s="56">
        <v>0</v>
      </c>
      <c r="FM10" s="56">
        <v>0</v>
      </c>
    </row>
    <row r="11" spans="2:172" x14ac:dyDescent="0.4">
      <c r="B11" s="472"/>
      <c r="C11" s="60">
        <v>8</v>
      </c>
      <c r="D11" s="225" t="s">
        <v>815</v>
      </c>
      <c r="E11" s="197">
        <f>F10+28</f>
        <v>45801</v>
      </c>
      <c r="F11" s="197">
        <f>E11+G11-1</f>
        <v>45807</v>
      </c>
      <c r="G11" s="198">
        <v>7</v>
      </c>
      <c r="H11" s="197">
        <v>45824</v>
      </c>
      <c r="I11" s="197">
        <f>H11+60</f>
        <v>45884</v>
      </c>
      <c r="J11" s="199" t="s">
        <v>256</v>
      </c>
      <c r="K11" s="200">
        <v>180</v>
      </c>
      <c r="L11" s="201"/>
      <c r="M11" s="201"/>
      <c r="N11" s="198" t="str">
        <f t="shared" si="4"/>
        <v/>
      </c>
      <c r="O11" s="202" t="str">
        <f t="shared" si="5"/>
        <v>-</v>
      </c>
      <c r="P11" s="205">
        <f>Q11/K11</f>
        <v>1</v>
      </c>
      <c r="Q11" s="204">
        <f>S11</f>
        <v>180</v>
      </c>
      <c r="R11" s="204">
        <f t="shared" si="6"/>
        <v>0</v>
      </c>
      <c r="S11" s="157">
        <f t="shared" si="7"/>
        <v>180</v>
      </c>
      <c r="T11" s="157">
        <f t="shared" si="10"/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8"/>
      <c r="BP11" s="168"/>
      <c r="BQ11" s="168"/>
      <c r="BR11" s="168"/>
      <c r="BS11" s="168"/>
      <c r="BT11" s="168"/>
      <c r="BU11" s="168"/>
      <c r="BV11" s="168"/>
      <c r="BW11" s="168"/>
      <c r="BX11" s="168"/>
      <c r="BY11" s="168"/>
      <c r="BZ11" s="168"/>
      <c r="CA11" s="168"/>
      <c r="CB11" s="168"/>
      <c r="CC11" s="168"/>
      <c r="CD11" s="168"/>
      <c r="CE11" s="168"/>
      <c r="CF11" s="168"/>
      <c r="CG11" s="168"/>
      <c r="CH11" s="168"/>
      <c r="CI11" s="168"/>
      <c r="CJ11" s="168"/>
      <c r="CK11" s="168"/>
      <c r="CL11" s="168"/>
      <c r="CM11" s="168"/>
      <c r="CN11" s="168"/>
      <c r="CO11" s="168"/>
      <c r="CP11" s="168"/>
      <c r="CQ11" s="168"/>
      <c r="CR11" s="168"/>
      <c r="CS11" s="168"/>
      <c r="CT11" s="168"/>
      <c r="CU11" s="168"/>
      <c r="CV11" s="168">
        <v>3</v>
      </c>
      <c r="CW11" s="168">
        <v>4</v>
      </c>
      <c r="CX11" s="168">
        <v>4</v>
      </c>
      <c r="CY11" s="168">
        <v>4</v>
      </c>
      <c r="CZ11" s="168">
        <v>0</v>
      </c>
      <c r="DA11" s="168">
        <v>6</v>
      </c>
      <c r="DB11" s="168">
        <v>2</v>
      </c>
      <c r="DC11" s="168">
        <v>2</v>
      </c>
      <c r="DD11" s="168">
        <v>0</v>
      </c>
      <c r="DE11" s="168">
        <v>7</v>
      </c>
      <c r="DF11" s="168">
        <v>4</v>
      </c>
      <c r="DG11" s="56">
        <v>4</v>
      </c>
      <c r="DH11" s="56">
        <v>3</v>
      </c>
      <c r="DI11" s="56">
        <v>6</v>
      </c>
      <c r="DJ11" s="56">
        <v>0</v>
      </c>
      <c r="DK11" s="56">
        <v>3</v>
      </c>
      <c r="DL11" s="56">
        <v>0</v>
      </c>
      <c r="DM11" s="56">
        <v>1</v>
      </c>
      <c r="DN11" s="56">
        <v>1</v>
      </c>
      <c r="DO11" s="56">
        <v>0</v>
      </c>
      <c r="DP11" s="56">
        <v>0</v>
      </c>
      <c r="DQ11" s="56">
        <v>0</v>
      </c>
      <c r="DR11" s="56">
        <v>0</v>
      </c>
      <c r="DS11" s="56">
        <v>2</v>
      </c>
      <c r="DT11" s="56">
        <v>7</v>
      </c>
      <c r="DU11" s="56">
        <v>4</v>
      </c>
      <c r="DV11" s="56">
        <v>13</v>
      </c>
      <c r="DW11" s="56">
        <v>3</v>
      </c>
      <c r="DX11" s="56">
        <v>3</v>
      </c>
      <c r="DY11" s="56">
        <v>10</v>
      </c>
      <c r="DZ11" s="56">
        <v>14</v>
      </c>
      <c r="EA11" s="56">
        <v>8</v>
      </c>
      <c r="EB11" s="56">
        <v>5</v>
      </c>
      <c r="EC11" s="23">
        <v>9</v>
      </c>
      <c r="ED11" s="56">
        <v>2</v>
      </c>
      <c r="EE11" s="56">
        <v>8</v>
      </c>
      <c r="EF11" s="23">
        <v>9</v>
      </c>
      <c r="EG11" s="23">
        <v>0</v>
      </c>
      <c r="EH11" s="23">
        <v>9</v>
      </c>
      <c r="EI11" s="56">
        <v>10</v>
      </c>
      <c r="EJ11" s="56">
        <v>10</v>
      </c>
      <c r="EK11" s="23">
        <v>0</v>
      </c>
      <c r="EL11" s="23">
        <v>0</v>
      </c>
      <c r="EM11" s="23">
        <v>0</v>
      </c>
      <c r="EN11" s="56">
        <v>0</v>
      </c>
      <c r="EO11" s="56">
        <v>0</v>
      </c>
      <c r="EP11" s="56">
        <v>0</v>
      </c>
      <c r="EQ11" s="56">
        <v>0</v>
      </c>
      <c r="ER11" s="56">
        <v>0</v>
      </c>
      <c r="ES11" s="56">
        <v>0</v>
      </c>
      <c r="ET11" s="56">
        <v>0</v>
      </c>
      <c r="EU11" s="56">
        <v>0</v>
      </c>
      <c r="EV11" s="56">
        <v>0</v>
      </c>
      <c r="EW11" s="56">
        <v>0</v>
      </c>
      <c r="EX11" s="56">
        <v>0</v>
      </c>
      <c r="EY11" s="56">
        <v>0</v>
      </c>
      <c r="EZ11" s="56">
        <v>0</v>
      </c>
      <c r="FA11" s="56">
        <v>0</v>
      </c>
      <c r="FB11" s="56">
        <v>0</v>
      </c>
      <c r="FC11" s="56">
        <v>0</v>
      </c>
      <c r="FD11" s="56">
        <v>0</v>
      </c>
      <c r="FE11" s="56">
        <v>0</v>
      </c>
      <c r="FF11" s="56">
        <v>0</v>
      </c>
      <c r="FG11" s="56">
        <v>0</v>
      </c>
      <c r="FH11" s="56">
        <v>0</v>
      </c>
      <c r="FI11" s="56">
        <v>0</v>
      </c>
      <c r="FJ11" s="56">
        <v>0</v>
      </c>
      <c r="FK11" s="56">
        <v>0</v>
      </c>
      <c r="FL11" s="56">
        <v>0</v>
      </c>
      <c r="FM11" s="56">
        <v>0</v>
      </c>
    </row>
    <row r="12" spans="2:172" x14ac:dyDescent="0.4">
      <c r="B12" s="472" t="s">
        <v>109</v>
      </c>
      <c r="C12" s="60">
        <v>9</v>
      </c>
      <c r="D12" s="225" t="s">
        <v>110</v>
      </c>
      <c r="E12" s="206">
        <v>45824</v>
      </c>
      <c r="F12" s="206">
        <v>45971</v>
      </c>
      <c r="G12" s="198">
        <f t="shared" si="9"/>
        <v>147</v>
      </c>
      <c r="H12" s="206">
        <v>45838</v>
      </c>
      <c r="I12" s="206">
        <v>45971</v>
      </c>
      <c r="J12" s="199" t="s">
        <v>13</v>
      </c>
      <c r="K12" s="200">
        <v>116500</v>
      </c>
      <c r="L12" s="201"/>
      <c r="M12" s="201"/>
      <c r="N12" s="198" t="str">
        <f t="shared" si="4"/>
        <v/>
      </c>
      <c r="O12" s="202" t="str">
        <f t="shared" si="5"/>
        <v>-</v>
      </c>
      <c r="P12" s="205">
        <f>Q12/K12</f>
        <v>0.19486695278969957</v>
      </c>
      <c r="Q12" s="204">
        <f>S12</f>
        <v>22702</v>
      </c>
      <c r="R12" s="204">
        <f t="shared" si="6"/>
        <v>93798</v>
      </c>
      <c r="S12" s="65">
        <f t="shared" si="7"/>
        <v>22702</v>
      </c>
      <c r="T12" s="157">
        <f t="shared" si="10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8"/>
      <c r="BP12" s="168"/>
      <c r="BQ12" s="168"/>
      <c r="BR12" s="168"/>
      <c r="BS12" s="168"/>
      <c r="BT12" s="168"/>
      <c r="BU12" s="168"/>
      <c r="BV12" s="168"/>
      <c r="BW12" s="168"/>
      <c r="BX12" s="168"/>
      <c r="BY12" s="168"/>
      <c r="BZ12" s="168"/>
      <c r="CA12" s="168"/>
      <c r="CB12" s="168"/>
      <c r="CC12" s="168"/>
      <c r="CD12" s="168"/>
      <c r="CE12" s="168"/>
      <c r="CF12" s="168"/>
      <c r="CG12" s="168"/>
      <c r="CH12" s="168"/>
      <c r="CI12" s="168"/>
      <c r="CJ12" s="168"/>
      <c r="CK12" s="168"/>
      <c r="CL12" s="168"/>
      <c r="CM12" s="168"/>
      <c r="CN12" s="168"/>
      <c r="CO12" s="168"/>
      <c r="CP12" s="168"/>
      <c r="CQ12" s="168"/>
      <c r="CR12" s="168"/>
      <c r="CS12" s="168"/>
      <c r="CT12" s="168"/>
      <c r="CU12" s="168"/>
      <c r="CV12" s="168"/>
      <c r="CW12" s="168"/>
      <c r="CX12" s="168"/>
      <c r="CY12" s="168"/>
      <c r="CZ12" s="168"/>
      <c r="DA12" s="168"/>
      <c r="DB12" s="168"/>
      <c r="DC12" s="168"/>
      <c r="DD12" s="168"/>
      <c r="DE12" s="168"/>
      <c r="DF12" s="168"/>
      <c r="DG12" s="56">
        <v>0</v>
      </c>
      <c r="DH12" s="56">
        <v>0</v>
      </c>
      <c r="DI12" s="56">
        <v>0</v>
      </c>
      <c r="DJ12" s="56">
        <v>0</v>
      </c>
      <c r="DK12" s="56">
        <v>0</v>
      </c>
      <c r="DL12" s="56">
        <v>0</v>
      </c>
      <c r="DM12" s="56">
        <v>0</v>
      </c>
      <c r="DN12" s="56">
        <v>0</v>
      </c>
      <c r="DO12" s="56">
        <v>0</v>
      </c>
      <c r="DP12" s="56">
        <v>0</v>
      </c>
      <c r="DQ12" s="56">
        <v>0</v>
      </c>
      <c r="DR12" s="56">
        <v>0</v>
      </c>
      <c r="DS12" s="56">
        <v>300</v>
      </c>
      <c r="DT12" s="56">
        <v>430</v>
      </c>
      <c r="DU12" s="56">
        <v>350</v>
      </c>
      <c r="DV12" s="56">
        <v>280</v>
      </c>
      <c r="DW12" s="56">
        <v>293</v>
      </c>
      <c r="DX12" s="56">
        <v>527</v>
      </c>
      <c r="DY12" s="56">
        <v>622</v>
      </c>
      <c r="DZ12" s="56">
        <v>288</v>
      </c>
      <c r="EA12" s="56">
        <v>141</v>
      </c>
      <c r="EB12" s="56">
        <v>484</v>
      </c>
      <c r="EC12" s="23">
        <v>660</v>
      </c>
      <c r="ED12" s="56">
        <v>898</v>
      </c>
      <c r="EE12" s="56">
        <v>943</v>
      </c>
      <c r="EF12" s="23">
        <v>846</v>
      </c>
      <c r="EG12" s="23">
        <v>167</v>
      </c>
      <c r="EH12" s="23">
        <v>929</v>
      </c>
      <c r="EI12" s="56">
        <v>763</v>
      </c>
      <c r="EJ12" s="56">
        <v>596</v>
      </c>
      <c r="EK12" s="56">
        <v>976</v>
      </c>
      <c r="EL12" s="23">
        <v>953</v>
      </c>
      <c r="EM12" s="23">
        <v>405</v>
      </c>
      <c r="EN12" s="56">
        <v>335</v>
      </c>
      <c r="EO12" s="56">
        <v>536</v>
      </c>
      <c r="EP12" s="56">
        <v>162</v>
      </c>
      <c r="EQ12" s="56">
        <v>225</v>
      </c>
      <c r="ER12" s="56">
        <v>108</v>
      </c>
      <c r="ES12" s="56">
        <v>216</v>
      </c>
      <c r="ET12" s="56">
        <v>108</v>
      </c>
      <c r="EU12" s="56">
        <v>18</v>
      </c>
      <c r="EV12" s="56">
        <v>108</v>
      </c>
      <c r="EW12" s="56">
        <v>403</v>
      </c>
      <c r="EX12" s="56">
        <v>0</v>
      </c>
      <c r="EY12" s="56">
        <v>0</v>
      </c>
      <c r="EZ12" s="56">
        <v>0</v>
      </c>
      <c r="FA12" s="56">
        <v>495</v>
      </c>
      <c r="FB12" s="56">
        <v>463</v>
      </c>
      <c r="FC12" s="56">
        <v>665</v>
      </c>
      <c r="FD12" s="56">
        <v>389</v>
      </c>
      <c r="FE12" s="56">
        <v>593</v>
      </c>
      <c r="FF12" s="56">
        <v>889</v>
      </c>
      <c r="FG12" s="56">
        <v>602</v>
      </c>
      <c r="FH12" s="56">
        <v>952</v>
      </c>
      <c r="FI12" s="56">
        <v>564</v>
      </c>
      <c r="FJ12" s="56">
        <v>1095</v>
      </c>
      <c r="FK12" s="56">
        <v>1034</v>
      </c>
      <c r="FL12" s="56">
        <v>252</v>
      </c>
      <c r="FM12" s="56">
        <v>639</v>
      </c>
    </row>
    <row r="13" spans="2:172" x14ac:dyDescent="0.4">
      <c r="B13" s="472"/>
      <c r="C13" s="60">
        <v>10</v>
      </c>
      <c r="D13" s="225" t="s">
        <v>111</v>
      </c>
      <c r="E13" s="206">
        <v>45848</v>
      </c>
      <c r="F13" s="206">
        <v>45976</v>
      </c>
      <c r="G13" s="198">
        <f t="shared" si="9"/>
        <v>128</v>
      </c>
      <c r="H13" s="206">
        <f>E13</f>
        <v>45848</v>
      </c>
      <c r="I13" s="206">
        <f>F13</f>
        <v>45976</v>
      </c>
      <c r="J13" s="199" t="s">
        <v>13</v>
      </c>
      <c r="K13" s="200">
        <v>116500</v>
      </c>
      <c r="L13" s="201"/>
      <c r="M13" s="201"/>
      <c r="N13" s="198" t="str">
        <f t="shared" si="4"/>
        <v/>
      </c>
      <c r="O13" s="202" t="str">
        <f t="shared" si="5"/>
        <v>-</v>
      </c>
      <c r="P13" s="205">
        <f>Q13/K13</f>
        <v>0.14246351931330473</v>
      </c>
      <c r="Q13" s="204">
        <f t="shared" ref="Q13:Q14" si="11">S13</f>
        <v>16597</v>
      </c>
      <c r="R13" s="204">
        <f t="shared" si="6"/>
        <v>99903</v>
      </c>
      <c r="S13" s="65">
        <f t="shared" si="7"/>
        <v>16597</v>
      </c>
      <c r="T13" s="157">
        <f t="shared" si="10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8"/>
      <c r="BP13" s="168"/>
      <c r="BQ13" s="168"/>
      <c r="BR13" s="168"/>
      <c r="BS13" s="168"/>
      <c r="BT13" s="168"/>
      <c r="BU13" s="168"/>
      <c r="BV13" s="168"/>
      <c r="BW13" s="168"/>
      <c r="BX13" s="168"/>
      <c r="BY13" s="168"/>
      <c r="BZ13" s="168"/>
      <c r="CA13" s="168"/>
      <c r="CB13" s="168"/>
      <c r="CC13" s="168"/>
      <c r="CD13" s="168"/>
      <c r="CE13" s="168"/>
      <c r="CF13" s="168"/>
      <c r="CG13" s="168"/>
      <c r="CH13" s="168"/>
      <c r="CI13" s="168"/>
      <c r="CJ13" s="168"/>
      <c r="CK13" s="168"/>
      <c r="CL13" s="168"/>
      <c r="CM13" s="168"/>
      <c r="CN13" s="168"/>
      <c r="CO13" s="168"/>
      <c r="CP13" s="168"/>
      <c r="CQ13" s="168"/>
      <c r="CR13" s="168"/>
      <c r="CS13" s="168"/>
      <c r="CT13" s="168"/>
      <c r="CU13" s="168"/>
      <c r="CV13" s="168"/>
      <c r="CW13" s="168"/>
      <c r="CX13" s="168"/>
      <c r="CY13" s="168"/>
      <c r="CZ13" s="168"/>
      <c r="DA13" s="168"/>
      <c r="DB13" s="168"/>
      <c r="DC13" s="168"/>
      <c r="DD13" s="168"/>
      <c r="DE13" s="168"/>
      <c r="DF13" s="168"/>
      <c r="DG13" s="56">
        <v>0</v>
      </c>
      <c r="DH13" s="56">
        <v>0</v>
      </c>
      <c r="DI13" s="56">
        <v>0</v>
      </c>
      <c r="DJ13" s="56">
        <v>0</v>
      </c>
      <c r="DK13" s="56">
        <v>0</v>
      </c>
      <c r="DL13" s="56">
        <v>0</v>
      </c>
      <c r="DM13" s="56">
        <v>0</v>
      </c>
      <c r="DN13" s="56">
        <v>0</v>
      </c>
      <c r="DO13" s="56">
        <v>0</v>
      </c>
      <c r="DP13" s="56">
        <v>0</v>
      </c>
      <c r="DQ13" s="56">
        <v>0</v>
      </c>
      <c r="DR13" s="56">
        <v>0</v>
      </c>
      <c r="DS13" s="56">
        <v>0</v>
      </c>
      <c r="DT13" s="56">
        <v>0</v>
      </c>
      <c r="DU13" s="56">
        <v>0</v>
      </c>
      <c r="DV13" s="56">
        <v>0</v>
      </c>
      <c r="DW13" s="56">
        <v>263</v>
      </c>
      <c r="DX13" s="56">
        <v>640</v>
      </c>
      <c r="DY13" s="56">
        <v>580</v>
      </c>
      <c r="DZ13" s="56">
        <v>583</v>
      </c>
      <c r="EA13" s="56">
        <v>301</v>
      </c>
      <c r="EB13" s="56">
        <v>670</v>
      </c>
      <c r="EC13" s="23">
        <v>105</v>
      </c>
      <c r="ED13" s="56">
        <v>245</v>
      </c>
      <c r="EE13" s="56">
        <v>574</v>
      </c>
      <c r="EF13" s="23">
        <v>15</v>
      </c>
      <c r="EG13" s="23">
        <v>0</v>
      </c>
      <c r="EH13" s="23">
        <v>0</v>
      </c>
      <c r="EI13" s="56">
        <v>0</v>
      </c>
      <c r="EJ13" s="56">
        <v>37</v>
      </c>
      <c r="EK13" s="56">
        <v>356</v>
      </c>
      <c r="EL13" s="23">
        <v>325</v>
      </c>
      <c r="EM13" s="23">
        <v>0</v>
      </c>
      <c r="EN13" s="56">
        <v>0</v>
      </c>
      <c r="EO13" s="56">
        <v>110</v>
      </c>
      <c r="EP13" s="56">
        <v>0</v>
      </c>
      <c r="EQ13" s="56">
        <v>0</v>
      </c>
      <c r="ER13" s="56">
        <v>0</v>
      </c>
      <c r="ES13" s="56">
        <v>0</v>
      </c>
      <c r="ET13" s="56">
        <v>44</v>
      </c>
      <c r="EU13" s="56">
        <v>0</v>
      </c>
      <c r="EV13" s="56">
        <v>401</v>
      </c>
      <c r="EW13" s="56">
        <v>267</v>
      </c>
      <c r="EX13" s="56">
        <v>876</v>
      </c>
      <c r="EY13" s="56">
        <v>260</v>
      </c>
      <c r="EZ13" s="56">
        <v>0</v>
      </c>
      <c r="FA13" s="56">
        <v>467</v>
      </c>
      <c r="FB13" s="56">
        <v>238</v>
      </c>
      <c r="FC13" s="56">
        <v>825</v>
      </c>
      <c r="FD13" s="56">
        <v>402</v>
      </c>
      <c r="FE13" s="56">
        <v>570</v>
      </c>
      <c r="FF13" s="56">
        <v>704</v>
      </c>
      <c r="FG13" s="56">
        <v>854</v>
      </c>
      <c r="FH13" s="56">
        <v>1065</v>
      </c>
      <c r="FI13" s="56">
        <v>896</v>
      </c>
      <c r="FJ13" s="56">
        <v>1008</v>
      </c>
      <c r="FK13" s="56">
        <v>1144</v>
      </c>
      <c r="FL13" s="56">
        <v>458</v>
      </c>
      <c r="FM13" s="56">
        <v>1314</v>
      </c>
    </row>
    <row r="14" spans="2:172" x14ac:dyDescent="0.4">
      <c r="B14" s="472"/>
      <c r="C14" s="60">
        <v>11</v>
      </c>
      <c r="D14" s="225" t="s">
        <v>112</v>
      </c>
      <c r="E14" s="206">
        <v>45858</v>
      </c>
      <c r="F14" s="206">
        <v>45986</v>
      </c>
      <c r="G14" s="198">
        <f t="shared" si="9"/>
        <v>128</v>
      </c>
      <c r="H14" s="206">
        <f t="shared" ref="H14:I20" si="12">E14</f>
        <v>45858</v>
      </c>
      <c r="I14" s="206">
        <f t="shared" ref="I14:I15" si="13">F14</f>
        <v>45986</v>
      </c>
      <c r="J14" s="199" t="s">
        <v>13</v>
      </c>
      <c r="K14" s="200">
        <v>116500</v>
      </c>
      <c r="L14" s="201"/>
      <c r="M14" s="201"/>
      <c r="N14" s="198" t="str">
        <f t="shared" si="4"/>
        <v/>
      </c>
      <c r="O14" s="202" t="str">
        <f t="shared" si="5"/>
        <v>-</v>
      </c>
      <c r="P14" s="205">
        <f t="shared" ref="P14:P33" si="14">IFERROR(SUMIF($U$2:$AT$2,"&lt;="&amp;$D$1,U14:BN14)/K14,"-")</f>
        <v>0</v>
      </c>
      <c r="Q14" s="204">
        <f t="shared" si="11"/>
        <v>11985</v>
      </c>
      <c r="R14" s="204">
        <f t="shared" si="6"/>
        <v>104515</v>
      </c>
      <c r="S14" s="65">
        <f t="shared" si="7"/>
        <v>11985</v>
      </c>
      <c r="T14" s="157">
        <f t="shared" si="10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8"/>
      <c r="BP14" s="168"/>
      <c r="BQ14" s="168"/>
      <c r="BR14" s="168"/>
      <c r="BS14" s="168"/>
      <c r="BT14" s="168"/>
      <c r="BU14" s="168"/>
      <c r="BV14" s="168"/>
      <c r="BW14" s="168"/>
      <c r="BX14" s="168"/>
      <c r="BY14" s="168"/>
      <c r="BZ14" s="168"/>
      <c r="CA14" s="168"/>
      <c r="CB14" s="168"/>
      <c r="CC14" s="168"/>
      <c r="CD14" s="168"/>
      <c r="CE14" s="168"/>
      <c r="CF14" s="168"/>
      <c r="CG14" s="168"/>
      <c r="CH14" s="168"/>
      <c r="CI14" s="168"/>
      <c r="CJ14" s="168"/>
      <c r="CK14" s="168"/>
      <c r="CL14" s="168"/>
      <c r="CM14" s="168"/>
      <c r="CN14" s="168"/>
      <c r="CO14" s="168"/>
      <c r="CP14" s="168"/>
      <c r="CQ14" s="168"/>
      <c r="CR14" s="168"/>
      <c r="CS14" s="168"/>
      <c r="CT14" s="168"/>
      <c r="CU14" s="168"/>
      <c r="CV14" s="168"/>
      <c r="CW14" s="168"/>
      <c r="CX14" s="168"/>
      <c r="CY14" s="168"/>
      <c r="CZ14" s="168"/>
      <c r="DA14" s="168"/>
      <c r="DB14" s="168"/>
      <c r="DC14" s="168"/>
      <c r="DD14" s="168"/>
      <c r="DE14" s="168"/>
      <c r="DF14" s="168"/>
      <c r="DG14" s="56">
        <v>0</v>
      </c>
      <c r="DH14" s="56">
        <v>0</v>
      </c>
      <c r="DI14" s="56">
        <v>0</v>
      </c>
      <c r="DJ14" s="56">
        <v>0</v>
      </c>
      <c r="DK14" s="56">
        <v>0</v>
      </c>
      <c r="DL14" s="56">
        <v>0</v>
      </c>
      <c r="DM14" s="56">
        <v>0</v>
      </c>
      <c r="DN14" s="56">
        <v>0</v>
      </c>
      <c r="DO14" s="56">
        <v>0</v>
      </c>
      <c r="DP14" s="56">
        <v>0</v>
      </c>
      <c r="DQ14" s="56">
        <v>0</v>
      </c>
      <c r="DR14" s="56">
        <v>0</v>
      </c>
      <c r="DS14" s="56">
        <v>0</v>
      </c>
      <c r="DT14" s="56">
        <v>0</v>
      </c>
      <c r="DU14" s="56">
        <v>0</v>
      </c>
      <c r="DV14" s="56">
        <v>0</v>
      </c>
      <c r="DW14" s="56">
        <v>0</v>
      </c>
      <c r="DX14" s="56">
        <v>0</v>
      </c>
      <c r="DY14" s="56">
        <v>0</v>
      </c>
      <c r="DZ14" s="56">
        <v>35</v>
      </c>
      <c r="EA14" s="56">
        <v>0</v>
      </c>
      <c r="EB14" s="56">
        <v>0</v>
      </c>
      <c r="EC14" s="23">
        <v>0</v>
      </c>
      <c r="ED14" s="56">
        <v>27</v>
      </c>
      <c r="EE14" s="56">
        <v>31</v>
      </c>
      <c r="EF14" s="23">
        <v>86</v>
      </c>
      <c r="EG14" s="23">
        <v>29</v>
      </c>
      <c r="EH14" s="23">
        <v>103</v>
      </c>
      <c r="EI14" s="56">
        <v>106</v>
      </c>
      <c r="EJ14" s="56">
        <v>92</v>
      </c>
      <c r="EK14" s="56">
        <v>56</v>
      </c>
      <c r="EL14" s="23">
        <v>61</v>
      </c>
      <c r="EM14" s="23">
        <v>109</v>
      </c>
      <c r="EN14" s="56">
        <v>143</v>
      </c>
      <c r="EO14" s="56">
        <v>0</v>
      </c>
      <c r="EP14" s="56">
        <v>151</v>
      </c>
      <c r="EQ14" s="56">
        <v>156</v>
      </c>
      <c r="ER14" s="56">
        <v>188</v>
      </c>
      <c r="ES14" s="56">
        <v>250</v>
      </c>
      <c r="ET14" s="56">
        <v>249</v>
      </c>
      <c r="EU14" s="56">
        <v>379</v>
      </c>
      <c r="EV14" s="56">
        <v>359</v>
      </c>
      <c r="EW14" s="56">
        <v>347</v>
      </c>
      <c r="EX14" s="56">
        <v>451</v>
      </c>
      <c r="EY14" s="56">
        <v>282</v>
      </c>
      <c r="EZ14" s="56">
        <v>0</v>
      </c>
      <c r="FA14" s="56">
        <v>509</v>
      </c>
      <c r="FB14" s="56">
        <v>268</v>
      </c>
      <c r="FC14" s="56">
        <v>166</v>
      </c>
      <c r="FD14" s="56">
        <v>510</v>
      </c>
      <c r="FE14" s="56">
        <v>749</v>
      </c>
      <c r="FF14" s="56">
        <v>750</v>
      </c>
      <c r="FG14" s="56">
        <v>862</v>
      </c>
      <c r="FH14" s="56">
        <v>790</v>
      </c>
      <c r="FI14" s="56">
        <v>924</v>
      </c>
      <c r="FJ14" s="56">
        <v>664</v>
      </c>
      <c r="FK14" s="56">
        <v>579</v>
      </c>
      <c r="FL14" s="56">
        <v>397</v>
      </c>
      <c r="FM14" s="56">
        <v>1127</v>
      </c>
    </row>
    <row r="15" spans="2:172" x14ac:dyDescent="0.4">
      <c r="B15" s="472"/>
      <c r="C15" s="60">
        <v>12</v>
      </c>
      <c r="D15" s="225" t="s">
        <v>113</v>
      </c>
      <c r="E15" s="206">
        <v>45863</v>
      </c>
      <c r="F15" s="206">
        <v>45995</v>
      </c>
      <c r="G15" s="198">
        <f t="shared" si="9"/>
        <v>132</v>
      </c>
      <c r="H15" s="206">
        <f t="shared" si="12"/>
        <v>45863</v>
      </c>
      <c r="I15" s="206">
        <f t="shared" si="13"/>
        <v>45995</v>
      </c>
      <c r="J15" s="199" t="s">
        <v>13</v>
      </c>
      <c r="K15" s="200">
        <v>116500</v>
      </c>
      <c r="L15" s="201"/>
      <c r="M15" s="201"/>
      <c r="N15" s="198" t="str">
        <f t="shared" si="4"/>
        <v/>
      </c>
      <c r="O15" s="202" t="str">
        <f t="shared" si="5"/>
        <v>-</v>
      </c>
      <c r="P15" s="205">
        <f t="shared" si="14"/>
        <v>0</v>
      </c>
      <c r="Q15" s="204">
        <f t="shared" ref="Q15:Q40" si="15">S15</f>
        <v>283</v>
      </c>
      <c r="R15" s="204">
        <f t="shared" si="6"/>
        <v>116217</v>
      </c>
      <c r="S15" s="65">
        <f t="shared" si="7"/>
        <v>283</v>
      </c>
      <c r="T15" s="157">
        <f t="shared" si="10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68"/>
      <c r="CF15" s="168"/>
      <c r="CG15" s="168"/>
      <c r="CH15" s="168"/>
      <c r="CI15" s="168"/>
      <c r="CJ15" s="168"/>
      <c r="CK15" s="168"/>
      <c r="CL15" s="168"/>
      <c r="CM15" s="168"/>
      <c r="CN15" s="168"/>
      <c r="CO15" s="168"/>
      <c r="CP15" s="168"/>
      <c r="CQ15" s="168"/>
      <c r="CR15" s="168"/>
      <c r="CS15" s="168"/>
      <c r="CT15" s="168"/>
      <c r="CU15" s="168"/>
      <c r="CV15" s="168"/>
      <c r="CW15" s="168"/>
      <c r="CX15" s="168"/>
      <c r="CY15" s="168"/>
      <c r="CZ15" s="168"/>
      <c r="DA15" s="168"/>
      <c r="DB15" s="168"/>
      <c r="DC15" s="168"/>
      <c r="DD15" s="168"/>
      <c r="DE15" s="168"/>
      <c r="DF15" s="168"/>
      <c r="DG15" s="56">
        <v>0</v>
      </c>
      <c r="DH15" s="56">
        <v>0</v>
      </c>
      <c r="DI15" s="56">
        <v>0</v>
      </c>
      <c r="DJ15" s="56">
        <v>0</v>
      </c>
      <c r="DK15" s="56">
        <v>0</v>
      </c>
      <c r="DL15" s="56">
        <v>0</v>
      </c>
      <c r="DM15" s="56">
        <v>0</v>
      </c>
      <c r="DN15" s="56">
        <v>0</v>
      </c>
      <c r="DO15" s="56">
        <v>0</v>
      </c>
      <c r="DP15" s="56">
        <v>0</v>
      </c>
      <c r="DQ15" s="56">
        <v>0</v>
      </c>
      <c r="DR15" s="56">
        <v>0</v>
      </c>
      <c r="DS15" s="56">
        <v>0</v>
      </c>
      <c r="DT15" s="56">
        <v>0</v>
      </c>
      <c r="DU15" s="56">
        <v>0</v>
      </c>
      <c r="DV15" s="56">
        <v>0</v>
      </c>
      <c r="DW15" s="56">
        <v>0</v>
      </c>
      <c r="DX15" s="56">
        <v>0</v>
      </c>
      <c r="DY15" s="56">
        <v>0</v>
      </c>
      <c r="DZ15" s="56">
        <v>0</v>
      </c>
      <c r="EA15" s="56">
        <v>0</v>
      </c>
      <c r="EB15" s="56">
        <v>0</v>
      </c>
      <c r="EC15" s="23">
        <v>0</v>
      </c>
      <c r="ED15" s="56">
        <v>0</v>
      </c>
      <c r="EE15" s="56">
        <v>0</v>
      </c>
      <c r="EF15" s="23">
        <v>0</v>
      </c>
      <c r="EG15" s="23">
        <v>0</v>
      </c>
      <c r="EH15" s="23">
        <v>0</v>
      </c>
      <c r="EI15" s="56">
        <v>0</v>
      </c>
      <c r="EJ15" s="56">
        <v>0</v>
      </c>
      <c r="EK15" s="56">
        <v>0</v>
      </c>
      <c r="EL15" s="23">
        <v>0</v>
      </c>
      <c r="EM15" s="23">
        <v>0</v>
      </c>
      <c r="EN15" s="56">
        <v>0</v>
      </c>
      <c r="EO15" s="56">
        <v>0</v>
      </c>
      <c r="EP15" s="56">
        <v>0</v>
      </c>
      <c r="EQ15" s="56">
        <v>0</v>
      </c>
      <c r="ER15" s="56">
        <v>0</v>
      </c>
      <c r="ES15" s="56">
        <v>0</v>
      </c>
      <c r="ET15" s="56">
        <v>0</v>
      </c>
      <c r="EU15" s="56">
        <v>0</v>
      </c>
      <c r="EV15" s="56">
        <v>0</v>
      </c>
      <c r="EW15" s="56">
        <v>0</v>
      </c>
      <c r="EX15" s="56">
        <v>0</v>
      </c>
      <c r="EY15" s="56">
        <v>0</v>
      </c>
      <c r="EZ15" s="56">
        <v>0</v>
      </c>
      <c r="FA15" s="56">
        <v>0</v>
      </c>
      <c r="FB15" s="56">
        <v>0</v>
      </c>
      <c r="FC15" s="56">
        <v>0</v>
      </c>
      <c r="FD15" s="56">
        <v>22</v>
      </c>
      <c r="FE15" s="56">
        <v>0</v>
      </c>
      <c r="FF15" s="56">
        <v>0</v>
      </c>
      <c r="FG15" s="56">
        <v>0</v>
      </c>
      <c r="FH15" s="56">
        <v>0</v>
      </c>
      <c r="FI15" s="56">
        <v>0</v>
      </c>
      <c r="FJ15" s="56">
        <v>132</v>
      </c>
      <c r="FK15" s="56">
        <v>129</v>
      </c>
      <c r="FL15" s="56">
        <v>0</v>
      </c>
      <c r="FM15" s="56">
        <v>0</v>
      </c>
    </row>
    <row r="16" spans="2:172" x14ac:dyDescent="0.4">
      <c r="B16" s="472" t="s">
        <v>114</v>
      </c>
      <c r="C16" s="60">
        <v>13</v>
      </c>
      <c r="D16" s="225" t="s">
        <v>120</v>
      </c>
      <c r="E16" s="206">
        <v>45821</v>
      </c>
      <c r="F16" s="206">
        <v>45923</v>
      </c>
      <c r="G16" s="198">
        <f t="shared" si="9"/>
        <v>102</v>
      </c>
      <c r="H16" s="206">
        <f t="shared" si="12"/>
        <v>45821</v>
      </c>
      <c r="I16" s="206">
        <f t="shared" si="12"/>
        <v>45923</v>
      </c>
      <c r="J16" s="199" t="s">
        <v>2</v>
      </c>
      <c r="K16" s="200">
        <v>26</v>
      </c>
      <c r="L16" s="201"/>
      <c r="M16" s="201"/>
      <c r="N16" s="198" t="str">
        <f t="shared" si="4"/>
        <v/>
      </c>
      <c r="O16" s="202" t="str">
        <f t="shared" si="5"/>
        <v>-</v>
      </c>
      <c r="P16" s="205">
        <f t="shared" si="14"/>
        <v>0</v>
      </c>
      <c r="Q16" s="204">
        <f t="shared" si="15"/>
        <v>3</v>
      </c>
      <c r="R16" s="204">
        <f t="shared" si="6"/>
        <v>23</v>
      </c>
      <c r="S16" s="65">
        <f t="shared" si="7"/>
        <v>3</v>
      </c>
      <c r="T16" s="157">
        <f t="shared" si="10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  <c r="CB16" s="168"/>
      <c r="CC16" s="168"/>
      <c r="CD16" s="168"/>
      <c r="CE16" s="168"/>
      <c r="CF16" s="168"/>
      <c r="CG16" s="168"/>
      <c r="CH16" s="168"/>
      <c r="CI16" s="168"/>
      <c r="CJ16" s="168"/>
      <c r="CK16" s="168"/>
      <c r="CL16" s="168"/>
      <c r="CM16" s="168"/>
      <c r="CN16" s="168"/>
      <c r="CO16" s="168"/>
      <c r="CP16" s="168"/>
      <c r="CQ16" s="168"/>
      <c r="CR16" s="168"/>
      <c r="CS16" s="168"/>
      <c r="CT16" s="168"/>
      <c r="CU16" s="168"/>
      <c r="CV16" s="168"/>
      <c r="CW16" s="168"/>
      <c r="CX16" s="168"/>
      <c r="CY16" s="168"/>
      <c r="CZ16" s="168"/>
      <c r="DA16" s="168"/>
      <c r="DB16" s="168"/>
      <c r="DC16" s="168"/>
      <c r="DD16" s="168"/>
      <c r="DE16" s="168"/>
      <c r="DF16" s="168"/>
      <c r="DG16" s="56">
        <v>0</v>
      </c>
      <c r="DH16" s="56">
        <v>0</v>
      </c>
      <c r="DI16" s="56">
        <v>0</v>
      </c>
      <c r="DJ16" s="56">
        <v>0</v>
      </c>
      <c r="DK16" s="56">
        <v>0</v>
      </c>
      <c r="DL16" s="56">
        <v>0</v>
      </c>
      <c r="DM16" s="56">
        <v>0</v>
      </c>
      <c r="DN16" s="56">
        <v>0</v>
      </c>
      <c r="DO16" s="56">
        <v>0</v>
      </c>
      <c r="DP16" s="56">
        <v>0</v>
      </c>
      <c r="DQ16" s="56">
        <v>0</v>
      </c>
      <c r="DR16" s="56">
        <v>0</v>
      </c>
      <c r="DS16" s="56">
        <v>0</v>
      </c>
      <c r="DT16" s="56">
        <v>0</v>
      </c>
      <c r="DU16" s="56">
        <v>0</v>
      </c>
      <c r="DV16" s="56">
        <v>0</v>
      </c>
      <c r="DW16" s="56">
        <v>0</v>
      </c>
      <c r="DX16" s="56">
        <v>0</v>
      </c>
      <c r="DY16" s="56">
        <v>0</v>
      </c>
      <c r="DZ16" s="56">
        <v>0</v>
      </c>
      <c r="EA16" s="56">
        <v>0</v>
      </c>
      <c r="EB16" s="56">
        <v>0</v>
      </c>
      <c r="EC16" s="23">
        <v>0</v>
      </c>
      <c r="ED16" s="56">
        <v>0</v>
      </c>
      <c r="EE16" s="56">
        <v>0</v>
      </c>
      <c r="EF16" s="23">
        <v>0</v>
      </c>
      <c r="EG16" s="23">
        <v>0</v>
      </c>
      <c r="EH16" s="23">
        <v>0</v>
      </c>
      <c r="EI16" s="56">
        <v>0</v>
      </c>
      <c r="EJ16" s="56">
        <v>0</v>
      </c>
      <c r="EK16" s="56">
        <v>0</v>
      </c>
      <c r="EL16" s="23">
        <v>0</v>
      </c>
      <c r="EM16" s="23">
        <v>0</v>
      </c>
      <c r="EN16" s="56">
        <v>0</v>
      </c>
      <c r="EO16" s="56">
        <v>0</v>
      </c>
      <c r="EP16" s="56">
        <v>0</v>
      </c>
      <c r="EQ16" s="56">
        <v>0</v>
      </c>
      <c r="ER16" s="56">
        <v>0</v>
      </c>
      <c r="ES16" s="56">
        <v>0</v>
      </c>
      <c r="ET16" s="56">
        <v>0</v>
      </c>
      <c r="EU16" s="56">
        <v>0</v>
      </c>
      <c r="EV16" s="56">
        <v>0</v>
      </c>
      <c r="EW16" s="56">
        <v>0</v>
      </c>
      <c r="EX16" s="56">
        <v>0</v>
      </c>
      <c r="EY16" s="56">
        <v>0</v>
      </c>
      <c r="EZ16" s="56">
        <v>0</v>
      </c>
      <c r="FA16" s="56">
        <v>0</v>
      </c>
      <c r="FB16" s="56">
        <v>0</v>
      </c>
      <c r="FC16" s="56">
        <v>0</v>
      </c>
      <c r="FD16" s="56">
        <v>3</v>
      </c>
      <c r="FE16" s="56">
        <v>0</v>
      </c>
      <c r="FF16" s="56">
        <v>0</v>
      </c>
      <c r="FG16" s="56">
        <v>0</v>
      </c>
      <c r="FH16" s="56">
        <v>0</v>
      </c>
      <c r="FI16" s="56">
        <v>0</v>
      </c>
      <c r="FJ16" s="56">
        <v>0</v>
      </c>
      <c r="FK16" s="56">
        <v>0</v>
      </c>
      <c r="FL16" s="56">
        <v>0</v>
      </c>
      <c r="FM16" s="56">
        <v>0</v>
      </c>
    </row>
    <row r="17" spans="2:169" x14ac:dyDescent="0.4">
      <c r="B17" s="472"/>
      <c r="C17" s="60">
        <v>14</v>
      </c>
      <c r="D17" s="225" t="s">
        <v>121</v>
      </c>
      <c r="E17" s="206">
        <v>45840</v>
      </c>
      <c r="F17" s="206">
        <f>F16+6</f>
        <v>45929</v>
      </c>
      <c r="G17" s="198">
        <f t="shared" si="9"/>
        <v>89</v>
      </c>
      <c r="H17" s="206">
        <f t="shared" si="12"/>
        <v>45840</v>
      </c>
      <c r="I17" s="206">
        <f t="shared" si="12"/>
        <v>45929</v>
      </c>
      <c r="J17" s="199" t="s">
        <v>2</v>
      </c>
      <c r="K17" s="200">
        <v>26</v>
      </c>
      <c r="L17" s="201"/>
      <c r="M17" s="201"/>
      <c r="N17" s="198" t="str">
        <f t="shared" si="4"/>
        <v/>
      </c>
      <c r="O17" s="202" t="str">
        <f t="shared" si="5"/>
        <v>-</v>
      </c>
      <c r="P17" s="205">
        <f t="shared" si="14"/>
        <v>0</v>
      </c>
      <c r="Q17" s="204">
        <f t="shared" si="15"/>
        <v>0</v>
      </c>
      <c r="R17" s="204">
        <f t="shared" si="6"/>
        <v>26</v>
      </c>
      <c r="S17" s="65">
        <f t="shared" si="7"/>
        <v>0</v>
      </c>
      <c r="T17" s="157">
        <f t="shared" si="10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8"/>
      <c r="BP17" s="168"/>
      <c r="BQ17" s="168"/>
      <c r="BR17" s="168"/>
      <c r="BS17" s="168"/>
      <c r="BT17" s="168"/>
      <c r="BU17" s="168"/>
      <c r="BV17" s="168"/>
      <c r="BW17" s="168"/>
      <c r="BX17" s="168"/>
      <c r="BY17" s="168"/>
      <c r="BZ17" s="168"/>
      <c r="CA17" s="168"/>
      <c r="CB17" s="168"/>
      <c r="CC17" s="168"/>
      <c r="CD17" s="168"/>
      <c r="CE17" s="168"/>
      <c r="CF17" s="168"/>
      <c r="CG17" s="168"/>
      <c r="CH17" s="168"/>
      <c r="CI17" s="168"/>
      <c r="CJ17" s="168"/>
      <c r="CK17" s="168"/>
      <c r="CL17" s="168"/>
      <c r="CM17" s="168"/>
      <c r="CN17" s="168"/>
      <c r="CO17" s="168"/>
      <c r="CP17" s="168"/>
      <c r="CQ17" s="168"/>
      <c r="CR17" s="168"/>
      <c r="CS17" s="168"/>
      <c r="CT17" s="168"/>
      <c r="CU17" s="168"/>
      <c r="CV17" s="168"/>
      <c r="CW17" s="168"/>
      <c r="CX17" s="168"/>
      <c r="CY17" s="168"/>
      <c r="CZ17" s="168"/>
      <c r="DA17" s="168"/>
      <c r="DB17" s="168"/>
      <c r="DC17" s="168"/>
      <c r="DD17" s="168"/>
      <c r="DE17" s="168"/>
      <c r="DF17" s="168"/>
      <c r="DG17" s="56">
        <v>0</v>
      </c>
      <c r="DH17" s="56">
        <v>0</v>
      </c>
      <c r="DI17" s="56">
        <v>0</v>
      </c>
      <c r="DJ17" s="56">
        <v>0</v>
      </c>
      <c r="DK17" s="56">
        <v>0</v>
      </c>
      <c r="DL17" s="56">
        <v>0</v>
      </c>
      <c r="DM17" s="56">
        <v>0</v>
      </c>
      <c r="DN17" s="56">
        <v>0</v>
      </c>
      <c r="DO17" s="56">
        <v>0</v>
      </c>
      <c r="DP17" s="56">
        <v>0</v>
      </c>
      <c r="DQ17" s="56">
        <v>0</v>
      </c>
      <c r="DR17" s="56">
        <v>0</v>
      </c>
      <c r="DS17" s="56">
        <v>0</v>
      </c>
      <c r="DT17" s="56">
        <v>0</v>
      </c>
      <c r="DU17" s="56">
        <v>0</v>
      </c>
      <c r="DV17" s="56">
        <v>0</v>
      </c>
      <c r="DW17" s="56">
        <v>0</v>
      </c>
      <c r="DX17" s="56">
        <v>0</v>
      </c>
      <c r="DY17" s="56">
        <v>0</v>
      </c>
      <c r="DZ17" s="56">
        <v>0</v>
      </c>
      <c r="EA17" s="56">
        <v>0</v>
      </c>
      <c r="EB17" s="56">
        <v>0</v>
      </c>
      <c r="EC17" s="23">
        <v>0</v>
      </c>
      <c r="ED17" s="56">
        <v>0</v>
      </c>
      <c r="EE17" s="56">
        <v>0</v>
      </c>
      <c r="EF17" s="23">
        <v>0</v>
      </c>
      <c r="EG17" s="23">
        <v>0</v>
      </c>
      <c r="EH17" s="23">
        <v>0</v>
      </c>
      <c r="EI17" s="56">
        <v>0</v>
      </c>
      <c r="EJ17" s="56">
        <v>0</v>
      </c>
      <c r="EK17" s="56">
        <v>0</v>
      </c>
      <c r="EL17" s="23">
        <v>0</v>
      </c>
      <c r="EM17" s="23">
        <v>0</v>
      </c>
      <c r="EN17" s="56">
        <v>0</v>
      </c>
      <c r="EO17" s="56">
        <v>0</v>
      </c>
      <c r="EP17" s="56">
        <v>0</v>
      </c>
      <c r="EQ17" s="56">
        <v>0</v>
      </c>
      <c r="ER17" s="56">
        <v>0</v>
      </c>
      <c r="ES17" s="56">
        <v>0</v>
      </c>
      <c r="ET17" s="56">
        <v>0</v>
      </c>
      <c r="EU17" s="56">
        <v>0</v>
      </c>
      <c r="EV17" s="56">
        <v>0</v>
      </c>
      <c r="EW17" s="56">
        <v>0</v>
      </c>
      <c r="EX17" s="56">
        <v>0</v>
      </c>
      <c r="EY17" s="56">
        <v>0</v>
      </c>
      <c r="EZ17" s="56">
        <v>0</v>
      </c>
      <c r="FA17" s="56">
        <v>0</v>
      </c>
      <c r="FB17" s="56">
        <v>0</v>
      </c>
      <c r="FC17" s="56">
        <v>0</v>
      </c>
      <c r="FD17" s="56">
        <v>0</v>
      </c>
      <c r="FE17" s="56">
        <v>0</v>
      </c>
      <c r="FF17" s="56">
        <v>0</v>
      </c>
      <c r="FG17" s="56">
        <v>0</v>
      </c>
      <c r="FH17" s="56">
        <v>0</v>
      </c>
      <c r="FI17" s="56">
        <v>0</v>
      </c>
      <c r="FJ17" s="56">
        <v>0</v>
      </c>
      <c r="FK17" s="56">
        <v>0</v>
      </c>
      <c r="FL17" s="56">
        <v>0</v>
      </c>
      <c r="FM17" s="56">
        <v>0</v>
      </c>
    </row>
    <row r="18" spans="2:169" x14ac:dyDescent="0.4">
      <c r="B18" s="472"/>
      <c r="C18" s="60">
        <v>15</v>
      </c>
      <c r="D18" s="225" t="s">
        <v>122</v>
      </c>
      <c r="E18" s="206">
        <f>E17+7</f>
        <v>45847</v>
      </c>
      <c r="F18" s="206">
        <f>F17+7</f>
        <v>45936</v>
      </c>
      <c r="G18" s="198">
        <f t="shared" si="9"/>
        <v>89</v>
      </c>
      <c r="H18" s="206">
        <f t="shared" si="12"/>
        <v>45847</v>
      </c>
      <c r="I18" s="206">
        <f t="shared" si="12"/>
        <v>45936</v>
      </c>
      <c r="J18" s="199" t="s">
        <v>2</v>
      </c>
      <c r="K18" s="200">
        <v>26</v>
      </c>
      <c r="L18" s="201"/>
      <c r="M18" s="201"/>
      <c r="N18" s="198" t="str">
        <f t="shared" si="4"/>
        <v/>
      </c>
      <c r="O18" s="202" t="str">
        <f t="shared" si="5"/>
        <v>-</v>
      </c>
      <c r="P18" s="205">
        <f t="shared" si="14"/>
        <v>0</v>
      </c>
      <c r="Q18" s="204">
        <f t="shared" si="15"/>
        <v>0</v>
      </c>
      <c r="R18" s="204">
        <f t="shared" si="6"/>
        <v>26</v>
      </c>
      <c r="S18" s="65">
        <f t="shared" si="7"/>
        <v>0</v>
      </c>
      <c r="T18" s="157">
        <f t="shared" si="10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8"/>
      <c r="BP18" s="168"/>
      <c r="BQ18" s="168"/>
      <c r="BR18" s="168"/>
      <c r="BS18" s="168"/>
      <c r="BT18" s="168"/>
      <c r="BU18" s="168"/>
      <c r="BV18" s="168"/>
      <c r="BW18" s="168"/>
      <c r="BX18" s="168"/>
      <c r="BY18" s="168"/>
      <c r="BZ18" s="168"/>
      <c r="CA18" s="168"/>
      <c r="CB18" s="168"/>
      <c r="CC18" s="168"/>
      <c r="CD18" s="168"/>
      <c r="CE18" s="168"/>
      <c r="CF18" s="168"/>
      <c r="CG18" s="168"/>
      <c r="CH18" s="168"/>
      <c r="CI18" s="168"/>
      <c r="CJ18" s="168"/>
      <c r="CK18" s="168"/>
      <c r="CL18" s="168"/>
      <c r="CM18" s="168"/>
      <c r="CN18" s="168"/>
      <c r="CO18" s="168"/>
      <c r="CP18" s="168"/>
      <c r="CQ18" s="168"/>
      <c r="CR18" s="168"/>
      <c r="CS18" s="168"/>
      <c r="CT18" s="168"/>
      <c r="CU18" s="168"/>
      <c r="CV18" s="168"/>
      <c r="CW18" s="168"/>
      <c r="CX18" s="168"/>
      <c r="CY18" s="168"/>
      <c r="CZ18" s="168"/>
      <c r="DA18" s="168"/>
      <c r="DB18" s="168"/>
      <c r="DC18" s="168"/>
      <c r="DD18" s="168"/>
      <c r="DE18" s="168"/>
      <c r="DF18" s="168"/>
      <c r="DG18" s="56">
        <v>0</v>
      </c>
      <c r="DH18" s="56">
        <v>0</v>
      </c>
      <c r="DI18" s="56">
        <v>0</v>
      </c>
      <c r="DJ18" s="56">
        <v>0</v>
      </c>
      <c r="DK18" s="56">
        <v>0</v>
      </c>
      <c r="DL18" s="56">
        <v>0</v>
      </c>
      <c r="DM18" s="56">
        <v>0</v>
      </c>
      <c r="DN18" s="56">
        <v>0</v>
      </c>
      <c r="DO18" s="56">
        <v>0</v>
      </c>
      <c r="DP18" s="56">
        <v>0</v>
      </c>
      <c r="DQ18" s="56">
        <v>0</v>
      </c>
      <c r="DR18" s="56">
        <v>0</v>
      </c>
      <c r="DS18" s="56">
        <v>0</v>
      </c>
      <c r="DT18" s="56">
        <v>0</v>
      </c>
      <c r="DU18" s="56">
        <v>0</v>
      </c>
      <c r="DV18" s="56">
        <v>0</v>
      </c>
      <c r="DW18" s="56">
        <v>0</v>
      </c>
      <c r="DX18" s="56">
        <v>0</v>
      </c>
      <c r="DY18" s="56">
        <v>0</v>
      </c>
      <c r="DZ18" s="56">
        <v>0</v>
      </c>
      <c r="EA18" s="56">
        <v>0</v>
      </c>
      <c r="EB18" s="56">
        <v>0</v>
      </c>
      <c r="EC18" s="23">
        <v>0</v>
      </c>
      <c r="ED18" s="56">
        <v>0</v>
      </c>
      <c r="EE18" s="56">
        <v>0</v>
      </c>
      <c r="EF18" s="23">
        <v>0</v>
      </c>
      <c r="EG18" s="23">
        <v>0</v>
      </c>
      <c r="EH18" s="23">
        <v>0</v>
      </c>
      <c r="EI18" s="56">
        <v>0</v>
      </c>
      <c r="EJ18" s="56">
        <v>0</v>
      </c>
      <c r="EK18" s="56">
        <v>0</v>
      </c>
      <c r="EL18" s="23">
        <v>0</v>
      </c>
      <c r="EM18" s="23">
        <v>0</v>
      </c>
      <c r="EN18" s="56">
        <v>0</v>
      </c>
      <c r="EO18" s="56">
        <v>0</v>
      </c>
      <c r="EP18" s="56">
        <v>0</v>
      </c>
      <c r="EQ18" s="56">
        <v>0</v>
      </c>
      <c r="ER18" s="56">
        <v>0</v>
      </c>
      <c r="ES18" s="56">
        <v>0</v>
      </c>
      <c r="ET18" s="56">
        <v>0</v>
      </c>
      <c r="EU18" s="56">
        <v>0</v>
      </c>
      <c r="EV18" s="56">
        <v>0</v>
      </c>
      <c r="EW18" s="56">
        <v>0</v>
      </c>
      <c r="EX18" s="56">
        <v>0</v>
      </c>
      <c r="EY18" s="56">
        <v>0</v>
      </c>
      <c r="EZ18" s="56">
        <v>0</v>
      </c>
      <c r="FA18" s="56">
        <v>0</v>
      </c>
      <c r="FB18" s="56">
        <v>0</v>
      </c>
      <c r="FC18" s="56">
        <v>0</v>
      </c>
      <c r="FD18" s="56">
        <v>0</v>
      </c>
      <c r="FE18" s="56">
        <v>0</v>
      </c>
      <c r="FF18" s="56">
        <v>0</v>
      </c>
      <c r="FG18" s="56">
        <v>0</v>
      </c>
      <c r="FH18" s="56">
        <v>0</v>
      </c>
      <c r="FI18" s="56">
        <v>0</v>
      </c>
      <c r="FJ18" s="56">
        <v>0</v>
      </c>
      <c r="FK18" s="56">
        <v>0</v>
      </c>
      <c r="FL18" s="56">
        <v>0</v>
      </c>
      <c r="FM18" s="56">
        <v>0</v>
      </c>
    </row>
    <row r="19" spans="2:169" x14ac:dyDescent="0.4">
      <c r="B19" s="472"/>
      <c r="C19" s="60">
        <v>16</v>
      </c>
      <c r="D19" s="225" t="s">
        <v>123</v>
      </c>
      <c r="E19" s="206">
        <f>E18+15</f>
        <v>45862</v>
      </c>
      <c r="F19" s="206">
        <f>F18+15</f>
        <v>45951</v>
      </c>
      <c r="G19" s="198">
        <f t="shared" si="9"/>
        <v>89</v>
      </c>
      <c r="H19" s="206">
        <f t="shared" si="12"/>
        <v>45862</v>
      </c>
      <c r="I19" s="206">
        <f t="shared" si="12"/>
        <v>45951</v>
      </c>
      <c r="J19" s="199" t="s">
        <v>2</v>
      </c>
      <c r="K19" s="200">
        <v>26</v>
      </c>
      <c r="L19" s="201"/>
      <c r="M19" s="201"/>
      <c r="N19" s="198" t="str">
        <f t="shared" si="4"/>
        <v/>
      </c>
      <c r="O19" s="202" t="str">
        <f t="shared" si="5"/>
        <v>-</v>
      </c>
      <c r="P19" s="205">
        <f t="shared" si="14"/>
        <v>0</v>
      </c>
      <c r="Q19" s="204">
        <f t="shared" si="15"/>
        <v>0</v>
      </c>
      <c r="R19" s="204">
        <f t="shared" si="6"/>
        <v>26</v>
      </c>
      <c r="S19" s="65">
        <f t="shared" si="7"/>
        <v>0</v>
      </c>
      <c r="T19" s="157">
        <f t="shared" si="10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8"/>
      <c r="BP19" s="168"/>
      <c r="BQ19" s="168"/>
      <c r="BR19" s="168"/>
      <c r="BS19" s="168"/>
      <c r="BT19" s="168"/>
      <c r="BU19" s="168"/>
      <c r="BV19" s="168"/>
      <c r="BW19" s="168"/>
      <c r="BX19" s="168"/>
      <c r="BY19" s="168"/>
      <c r="BZ19" s="168"/>
      <c r="CA19" s="168"/>
      <c r="CB19" s="168"/>
      <c r="CC19" s="168"/>
      <c r="CD19" s="168"/>
      <c r="CE19" s="168"/>
      <c r="CF19" s="168"/>
      <c r="CG19" s="168"/>
      <c r="CH19" s="168"/>
      <c r="CI19" s="168"/>
      <c r="CJ19" s="168"/>
      <c r="CK19" s="168"/>
      <c r="CL19" s="168"/>
      <c r="CM19" s="168"/>
      <c r="CN19" s="168"/>
      <c r="CO19" s="168"/>
      <c r="CP19" s="168"/>
      <c r="CQ19" s="168"/>
      <c r="CR19" s="168"/>
      <c r="CS19" s="168"/>
      <c r="CT19" s="168"/>
      <c r="CU19" s="168"/>
      <c r="CV19" s="168"/>
      <c r="CW19" s="168"/>
      <c r="CX19" s="168"/>
      <c r="CY19" s="168"/>
      <c r="CZ19" s="168"/>
      <c r="DA19" s="168"/>
      <c r="DB19" s="168"/>
      <c r="DC19" s="168"/>
      <c r="DD19" s="168"/>
      <c r="DE19" s="168"/>
      <c r="DF19" s="168"/>
      <c r="DG19" s="56">
        <v>0</v>
      </c>
      <c r="DH19" s="56">
        <v>0</v>
      </c>
      <c r="DI19" s="56">
        <v>0</v>
      </c>
      <c r="DJ19" s="56">
        <v>0</v>
      </c>
      <c r="DK19" s="56">
        <v>0</v>
      </c>
      <c r="DL19" s="56">
        <v>0</v>
      </c>
      <c r="DM19" s="56">
        <v>0</v>
      </c>
      <c r="DN19" s="56">
        <v>0</v>
      </c>
      <c r="DO19" s="56">
        <v>0</v>
      </c>
      <c r="DP19" s="56">
        <v>0</v>
      </c>
      <c r="DQ19" s="56">
        <v>0</v>
      </c>
      <c r="DR19" s="56">
        <v>0</v>
      </c>
      <c r="DS19" s="56">
        <v>0</v>
      </c>
      <c r="DT19" s="56">
        <v>0</v>
      </c>
      <c r="DU19" s="56">
        <v>0</v>
      </c>
      <c r="DV19" s="56">
        <v>0</v>
      </c>
      <c r="DW19" s="56">
        <v>0</v>
      </c>
      <c r="DX19" s="56">
        <v>0</v>
      </c>
      <c r="DY19" s="56">
        <v>0</v>
      </c>
      <c r="DZ19" s="56">
        <v>0</v>
      </c>
      <c r="EA19" s="56">
        <v>0</v>
      </c>
      <c r="EB19" s="56">
        <v>0</v>
      </c>
      <c r="EC19" s="23">
        <v>0</v>
      </c>
      <c r="ED19" s="56">
        <v>0</v>
      </c>
      <c r="EE19" s="56">
        <v>0</v>
      </c>
      <c r="EF19" s="23">
        <v>0</v>
      </c>
      <c r="EG19" s="23">
        <v>0</v>
      </c>
      <c r="EH19" s="23">
        <v>0</v>
      </c>
      <c r="EI19" s="56">
        <v>0</v>
      </c>
      <c r="EJ19" s="56">
        <v>0</v>
      </c>
      <c r="EK19" s="56">
        <v>0</v>
      </c>
      <c r="EL19" s="23">
        <v>0</v>
      </c>
      <c r="EM19" s="23">
        <v>0</v>
      </c>
      <c r="EN19" s="56">
        <v>0</v>
      </c>
      <c r="EO19" s="56">
        <v>0</v>
      </c>
      <c r="EP19" s="56">
        <v>0</v>
      </c>
      <c r="EQ19" s="56">
        <v>0</v>
      </c>
      <c r="ER19" s="56">
        <v>0</v>
      </c>
      <c r="ES19" s="56">
        <v>0</v>
      </c>
      <c r="ET19" s="56">
        <v>0</v>
      </c>
      <c r="EU19" s="56">
        <v>0</v>
      </c>
      <c r="EV19" s="56">
        <v>0</v>
      </c>
      <c r="EW19" s="56">
        <v>0</v>
      </c>
      <c r="EX19" s="56">
        <v>0</v>
      </c>
      <c r="EY19" s="56">
        <v>0</v>
      </c>
      <c r="EZ19" s="56">
        <v>0</v>
      </c>
      <c r="FA19" s="56">
        <v>0</v>
      </c>
      <c r="FB19" s="56">
        <v>0</v>
      </c>
      <c r="FC19" s="56">
        <v>0</v>
      </c>
      <c r="FD19" s="56">
        <v>0</v>
      </c>
      <c r="FE19" s="56">
        <v>0</v>
      </c>
      <c r="FF19" s="56">
        <v>0</v>
      </c>
      <c r="FG19" s="56">
        <v>0</v>
      </c>
      <c r="FH19" s="56">
        <v>0</v>
      </c>
      <c r="FI19" s="56">
        <v>0</v>
      </c>
      <c r="FJ19" s="56">
        <v>0</v>
      </c>
      <c r="FK19" s="56">
        <v>0</v>
      </c>
      <c r="FL19" s="56">
        <v>0</v>
      </c>
      <c r="FM19" s="56">
        <v>0</v>
      </c>
    </row>
    <row r="20" spans="2:169" x14ac:dyDescent="0.4">
      <c r="B20" s="472"/>
      <c r="C20" s="60">
        <v>17</v>
      </c>
      <c r="D20" s="225" t="s">
        <v>124</v>
      </c>
      <c r="E20" s="206">
        <f>E19+21</f>
        <v>45883</v>
      </c>
      <c r="F20" s="206">
        <f>F19+21</f>
        <v>45972</v>
      </c>
      <c r="G20" s="198">
        <f t="shared" si="9"/>
        <v>89</v>
      </c>
      <c r="H20" s="206">
        <f t="shared" si="12"/>
        <v>45883</v>
      </c>
      <c r="I20" s="206">
        <f t="shared" si="12"/>
        <v>45972</v>
      </c>
      <c r="J20" s="199" t="s">
        <v>2</v>
      </c>
      <c r="K20" s="200">
        <v>26</v>
      </c>
      <c r="L20" s="201"/>
      <c r="M20" s="201"/>
      <c r="N20" s="198" t="str">
        <f t="shared" si="4"/>
        <v/>
      </c>
      <c r="O20" s="202" t="str">
        <f t="shared" si="5"/>
        <v>-</v>
      </c>
      <c r="P20" s="205">
        <f t="shared" si="14"/>
        <v>0</v>
      </c>
      <c r="Q20" s="204">
        <f t="shared" si="15"/>
        <v>0</v>
      </c>
      <c r="R20" s="204">
        <f t="shared" si="6"/>
        <v>26</v>
      </c>
      <c r="S20" s="65">
        <f t="shared" si="7"/>
        <v>0</v>
      </c>
      <c r="T20" s="157">
        <f t="shared" si="10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8"/>
      <c r="CC20" s="168"/>
      <c r="CD20" s="168"/>
      <c r="CE20" s="168"/>
      <c r="CF20" s="168"/>
      <c r="CG20" s="168"/>
      <c r="CH20" s="168"/>
      <c r="CI20" s="168"/>
      <c r="CJ20" s="168"/>
      <c r="CK20" s="168"/>
      <c r="CL20" s="168"/>
      <c r="CM20" s="168"/>
      <c r="CN20" s="168"/>
      <c r="CO20" s="168"/>
      <c r="CP20" s="168"/>
      <c r="CQ20" s="168"/>
      <c r="CR20" s="168"/>
      <c r="CS20" s="168"/>
      <c r="CT20" s="168"/>
      <c r="CU20" s="168"/>
      <c r="CV20" s="168"/>
      <c r="CW20" s="168"/>
      <c r="CX20" s="168"/>
      <c r="CY20" s="168"/>
      <c r="CZ20" s="168"/>
      <c r="DA20" s="168"/>
      <c r="DB20" s="168"/>
      <c r="DC20" s="168"/>
      <c r="DD20" s="168"/>
      <c r="DE20" s="168"/>
      <c r="DF20" s="168"/>
      <c r="DG20" s="56">
        <v>0</v>
      </c>
      <c r="DH20" s="56">
        <v>0</v>
      </c>
      <c r="DI20" s="56">
        <v>0</v>
      </c>
      <c r="DJ20" s="56">
        <v>0</v>
      </c>
      <c r="DK20" s="56">
        <v>0</v>
      </c>
      <c r="DL20" s="56">
        <v>0</v>
      </c>
      <c r="DM20" s="56">
        <v>0</v>
      </c>
      <c r="DN20" s="56">
        <v>0</v>
      </c>
      <c r="DO20" s="56">
        <v>0</v>
      </c>
      <c r="DP20" s="56">
        <v>0</v>
      </c>
      <c r="DQ20" s="56">
        <v>0</v>
      </c>
      <c r="DR20" s="56">
        <v>0</v>
      </c>
      <c r="DS20" s="56">
        <v>0</v>
      </c>
      <c r="DT20" s="56">
        <v>0</v>
      </c>
      <c r="DU20" s="56">
        <v>0</v>
      </c>
      <c r="DV20" s="56">
        <v>0</v>
      </c>
      <c r="DW20" s="56">
        <v>0</v>
      </c>
      <c r="DX20" s="56">
        <v>0</v>
      </c>
      <c r="DY20" s="56">
        <v>0</v>
      </c>
      <c r="DZ20" s="56">
        <v>0</v>
      </c>
      <c r="EA20" s="56">
        <v>0</v>
      </c>
      <c r="EB20" s="56">
        <v>0</v>
      </c>
      <c r="EC20" s="23">
        <v>0</v>
      </c>
      <c r="ED20" s="56">
        <v>0</v>
      </c>
      <c r="EE20" s="56">
        <v>0</v>
      </c>
      <c r="EF20" s="23">
        <v>0</v>
      </c>
      <c r="EG20" s="23">
        <v>0</v>
      </c>
      <c r="EH20" s="23">
        <v>0</v>
      </c>
      <c r="EI20" s="56">
        <v>0</v>
      </c>
      <c r="EJ20" s="56">
        <v>0</v>
      </c>
      <c r="EK20" s="56">
        <v>0</v>
      </c>
      <c r="EL20" s="23">
        <v>0</v>
      </c>
      <c r="EM20" s="23">
        <v>0</v>
      </c>
      <c r="EN20" s="56">
        <v>0</v>
      </c>
      <c r="EO20" s="56">
        <v>0</v>
      </c>
      <c r="EP20" s="56">
        <v>0</v>
      </c>
      <c r="EQ20" s="56">
        <v>0</v>
      </c>
      <c r="ER20" s="56">
        <v>0</v>
      </c>
      <c r="ES20" s="56">
        <v>0</v>
      </c>
      <c r="ET20" s="56">
        <v>0</v>
      </c>
      <c r="EU20" s="56">
        <v>0</v>
      </c>
      <c r="EV20" s="56">
        <v>0</v>
      </c>
      <c r="EW20" s="56">
        <v>0</v>
      </c>
      <c r="EX20" s="56">
        <v>0</v>
      </c>
      <c r="EY20" s="56">
        <v>0</v>
      </c>
      <c r="EZ20" s="56">
        <v>0</v>
      </c>
      <c r="FA20" s="56">
        <v>0</v>
      </c>
      <c r="FB20" s="56">
        <v>0</v>
      </c>
      <c r="FC20" s="56">
        <v>0</v>
      </c>
      <c r="FD20" s="56">
        <v>0</v>
      </c>
      <c r="FE20" s="56">
        <v>0</v>
      </c>
      <c r="FF20" s="56">
        <v>0</v>
      </c>
      <c r="FG20" s="56">
        <v>0</v>
      </c>
      <c r="FH20" s="56">
        <v>0</v>
      </c>
      <c r="FI20" s="56">
        <v>0</v>
      </c>
      <c r="FJ20" s="56">
        <v>0</v>
      </c>
      <c r="FK20" s="56">
        <v>0</v>
      </c>
      <c r="FL20" s="56">
        <v>0</v>
      </c>
      <c r="FM20" s="56">
        <v>0</v>
      </c>
    </row>
    <row r="21" spans="2:169" x14ac:dyDescent="0.4">
      <c r="B21" s="472"/>
      <c r="C21" s="60">
        <v>18</v>
      </c>
      <c r="D21" s="225" t="s">
        <v>126</v>
      </c>
      <c r="E21" s="206">
        <v>45838</v>
      </c>
      <c r="F21" s="206">
        <v>45925</v>
      </c>
      <c r="G21" s="198">
        <f t="shared" si="9"/>
        <v>87</v>
      </c>
      <c r="H21" s="206">
        <f t="shared" ref="H21:H27" si="16">E21</f>
        <v>45838</v>
      </c>
      <c r="I21" s="206">
        <f t="shared" ref="I21:I27" si="17">F21</f>
        <v>45925</v>
      </c>
      <c r="J21" s="199" t="s">
        <v>2</v>
      </c>
      <c r="K21" s="200">
        <v>26</v>
      </c>
      <c r="L21" s="201"/>
      <c r="M21" s="201"/>
      <c r="N21" s="198" t="str">
        <f t="shared" si="4"/>
        <v/>
      </c>
      <c r="O21" s="202" t="str">
        <f t="shared" si="5"/>
        <v>-</v>
      </c>
      <c r="P21" s="205">
        <f t="shared" si="14"/>
        <v>0</v>
      </c>
      <c r="Q21" s="204">
        <f t="shared" si="15"/>
        <v>0</v>
      </c>
      <c r="R21" s="204">
        <f t="shared" si="6"/>
        <v>26</v>
      </c>
      <c r="S21" s="65">
        <f t="shared" si="7"/>
        <v>0</v>
      </c>
      <c r="T21" s="157">
        <f t="shared" si="10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  <c r="CI21" s="168"/>
      <c r="CJ21" s="168"/>
      <c r="CK21" s="168"/>
      <c r="CL21" s="168"/>
      <c r="CM21" s="168"/>
      <c r="CN21" s="168"/>
      <c r="CO21" s="168"/>
      <c r="CP21" s="168"/>
      <c r="CQ21" s="168"/>
      <c r="CR21" s="168"/>
      <c r="CS21" s="168"/>
      <c r="CT21" s="168"/>
      <c r="CU21" s="168"/>
      <c r="CV21" s="168"/>
      <c r="CW21" s="168"/>
      <c r="CX21" s="168"/>
      <c r="CY21" s="168"/>
      <c r="CZ21" s="168"/>
      <c r="DA21" s="168"/>
      <c r="DB21" s="168"/>
      <c r="DC21" s="168"/>
      <c r="DD21" s="168"/>
      <c r="DE21" s="168"/>
      <c r="DF21" s="168"/>
      <c r="DG21" s="56">
        <v>0</v>
      </c>
      <c r="DH21" s="56">
        <v>0</v>
      </c>
      <c r="DI21" s="56">
        <v>0</v>
      </c>
      <c r="DJ21" s="56">
        <v>0</v>
      </c>
      <c r="DK21" s="56">
        <v>0</v>
      </c>
      <c r="DL21" s="56">
        <v>0</v>
      </c>
      <c r="DM21" s="56">
        <v>0</v>
      </c>
      <c r="DN21" s="56">
        <v>0</v>
      </c>
      <c r="DO21" s="56">
        <v>0</v>
      </c>
      <c r="DP21" s="56">
        <v>0</v>
      </c>
      <c r="DQ21" s="56">
        <v>0</v>
      </c>
      <c r="DR21" s="56">
        <v>0</v>
      </c>
      <c r="DS21" s="56">
        <v>0</v>
      </c>
      <c r="DT21" s="56">
        <v>0</v>
      </c>
      <c r="DU21" s="56">
        <v>0</v>
      </c>
      <c r="DV21" s="56">
        <v>0</v>
      </c>
      <c r="DW21" s="56">
        <v>0</v>
      </c>
      <c r="DX21" s="56">
        <v>0</v>
      </c>
      <c r="DY21" s="56">
        <v>0</v>
      </c>
      <c r="DZ21" s="56">
        <v>0</v>
      </c>
      <c r="EA21" s="56">
        <v>0</v>
      </c>
      <c r="EB21" s="56">
        <v>0</v>
      </c>
      <c r="EC21" s="23">
        <v>0</v>
      </c>
      <c r="ED21" s="56">
        <v>0</v>
      </c>
      <c r="EE21" s="56">
        <v>0</v>
      </c>
      <c r="EF21" s="23">
        <v>0</v>
      </c>
      <c r="EG21" s="23">
        <v>0</v>
      </c>
      <c r="EH21" s="23">
        <v>0</v>
      </c>
      <c r="EI21" s="56">
        <v>0</v>
      </c>
      <c r="EJ21" s="56">
        <v>0</v>
      </c>
      <c r="EK21" s="56">
        <v>0</v>
      </c>
      <c r="EL21" s="23">
        <v>0</v>
      </c>
      <c r="EM21" s="23">
        <v>0</v>
      </c>
      <c r="EN21" s="56">
        <v>0</v>
      </c>
      <c r="EO21" s="56">
        <v>0</v>
      </c>
      <c r="EP21" s="56">
        <v>0</v>
      </c>
      <c r="EQ21" s="56">
        <v>0</v>
      </c>
      <c r="ER21" s="56">
        <v>0</v>
      </c>
      <c r="ES21" s="56">
        <v>0</v>
      </c>
      <c r="ET21" s="56">
        <v>0</v>
      </c>
      <c r="EU21" s="56">
        <v>0</v>
      </c>
      <c r="EV21" s="56">
        <v>0</v>
      </c>
      <c r="EW21" s="56">
        <v>0</v>
      </c>
      <c r="EX21" s="56">
        <v>0</v>
      </c>
      <c r="EY21" s="56">
        <v>0</v>
      </c>
      <c r="EZ21" s="56">
        <v>0</v>
      </c>
      <c r="FA21" s="56">
        <v>0</v>
      </c>
      <c r="FB21" s="56">
        <v>0</v>
      </c>
      <c r="FC21" s="56">
        <v>0</v>
      </c>
      <c r="FD21" s="56">
        <v>0</v>
      </c>
      <c r="FE21" s="56">
        <v>0</v>
      </c>
      <c r="FF21" s="56">
        <v>0</v>
      </c>
      <c r="FG21" s="56">
        <v>0</v>
      </c>
      <c r="FH21" s="56">
        <v>0</v>
      </c>
      <c r="FI21" s="56">
        <v>0</v>
      </c>
      <c r="FJ21" s="56">
        <v>0</v>
      </c>
      <c r="FK21" s="56">
        <v>0</v>
      </c>
      <c r="FL21" s="56">
        <v>0</v>
      </c>
      <c r="FM21" s="56">
        <v>0</v>
      </c>
    </row>
    <row r="22" spans="2:169" x14ac:dyDescent="0.4">
      <c r="B22" s="472"/>
      <c r="C22" s="60">
        <v>19</v>
      </c>
      <c r="D22" s="225" t="s">
        <v>127</v>
      </c>
      <c r="E22" s="206">
        <f>E21+2</f>
        <v>45840</v>
      </c>
      <c r="F22" s="206">
        <f>F21+2</f>
        <v>45927</v>
      </c>
      <c r="G22" s="198">
        <f t="shared" si="9"/>
        <v>87</v>
      </c>
      <c r="H22" s="206">
        <f t="shared" si="16"/>
        <v>45840</v>
      </c>
      <c r="I22" s="206">
        <f t="shared" si="17"/>
        <v>45927</v>
      </c>
      <c r="J22" s="199" t="s">
        <v>2</v>
      </c>
      <c r="K22" s="200">
        <v>26</v>
      </c>
      <c r="L22" s="201"/>
      <c r="M22" s="201"/>
      <c r="N22" s="198" t="str">
        <f t="shared" si="4"/>
        <v/>
      </c>
      <c r="O22" s="202" t="str">
        <f t="shared" si="5"/>
        <v>-</v>
      </c>
      <c r="P22" s="205">
        <f t="shared" si="14"/>
        <v>0</v>
      </c>
      <c r="Q22" s="204">
        <f t="shared" si="15"/>
        <v>0</v>
      </c>
      <c r="R22" s="204">
        <f t="shared" si="6"/>
        <v>26</v>
      </c>
      <c r="S22" s="65">
        <f t="shared" si="7"/>
        <v>0</v>
      </c>
      <c r="T22" s="157">
        <f t="shared" si="10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8"/>
      <c r="BP22" s="168"/>
      <c r="BQ22" s="168"/>
      <c r="BR22" s="168"/>
      <c r="BS22" s="168"/>
      <c r="BT22" s="168"/>
      <c r="BU22" s="168"/>
      <c r="BV22" s="168"/>
      <c r="BW22" s="168"/>
      <c r="BX22" s="168"/>
      <c r="BY22" s="168"/>
      <c r="BZ22" s="168"/>
      <c r="CA22" s="168"/>
      <c r="CB22" s="168"/>
      <c r="CC22" s="168"/>
      <c r="CD22" s="168"/>
      <c r="CE22" s="168"/>
      <c r="CF22" s="168"/>
      <c r="CG22" s="168"/>
      <c r="CH22" s="168"/>
      <c r="CI22" s="168"/>
      <c r="CJ22" s="168"/>
      <c r="CK22" s="168"/>
      <c r="CL22" s="168"/>
      <c r="CM22" s="168"/>
      <c r="CN22" s="168"/>
      <c r="CO22" s="168"/>
      <c r="CP22" s="168"/>
      <c r="CQ22" s="168"/>
      <c r="CR22" s="168"/>
      <c r="CS22" s="168"/>
      <c r="CT22" s="168"/>
      <c r="CU22" s="168"/>
      <c r="CV22" s="168"/>
      <c r="CW22" s="168"/>
      <c r="CX22" s="168"/>
      <c r="CY22" s="168"/>
      <c r="CZ22" s="168"/>
      <c r="DA22" s="168"/>
      <c r="DB22" s="168"/>
      <c r="DC22" s="168"/>
      <c r="DD22" s="168"/>
      <c r="DE22" s="168"/>
      <c r="DF22" s="168"/>
      <c r="DG22" s="56">
        <v>0</v>
      </c>
      <c r="DH22" s="56">
        <v>0</v>
      </c>
      <c r="DI22" s="56">
        <v>0</v>
      </c>
      <c r="DJ22" s="56">
        <v>0</v>
      </c>
      <c r="DK22" s="56">
        <v>0</v>
      </c>
      <c r="DL22" s="56">
        <v>0</v>
      </c>
      <c r="DM22" s="56">
        <v>0</v>
      </c>
      <c r="DN22" s="56">
        <v>0</v>
      </c>
      <c r="DO22" s="56">
        <v>0</v>
      </c>
      <c r="DP22" s="56">
        <v>0</v>
      </c>
      <c r="DQ22" s="56">
        <v>0</v>
      </c>
      <c r="DR22" s="56">
        <v>0</v>
      </c>
      <c r="DS22" s="56">
        <v>0</v>
      </c>
      <c r="DT22" s="56">
        <v>0</v>
      </c>
      <c r="DU22" s="56">
        <v>0</v>
      </c>
      <c r="DV22" s="56">
        <v>0</v>
      </c>
      <c r="DW22" s="56">
        <v>0</v>
      </c>
      <c r="DX22" s="56">
        <v>0</v>
      </c>
      <c r="DY22" s="56">
        <v>0</v>
      </c>
      <c r="DZ22" s="56">
        <v>0</v>
      </c>
      <c r="EA22" s="56">
        <v>0</v>
      </c>
      <c r="EB22" s="56">
        <v>0</v>
      </c>
      <c r="EC22" s="23">
        <v>0</v>
      </c>
      <c r="ED22" s="56">
        <v>0</v>
      </c>
      <c r="EE22" s="56">
        <v>0</v>
      </c>
      <c r="EF22" s="23">
        <v>0</v>
      </c>
      <c r="EG22" s="23">
        <v>0</v>
      </c>
      <c r="EH22" s="23">
        <v>0</v>
      </c>
      <c r="EI22" s="56">
        <v>0</v>
      </c>
      <c r="EJ22" s="56">
        <v>0</v>
      </c>
      <c r="EK22" s="56">
        <v>0</v>
      </c>
      <c r="EL22" s="23">
        <v>0</v>
      </c>
      <c r="EM22" s="23">
        <v>0</v>
      </c>
      <c r="EN22" s="56">
        <v>0</v>
      </c>
      <c r="EO22" s="56">
        <v>0</v>
      </c>
      <c r="EP22" s="56">
        <v>0</v>
      </c>
      <c r="EQ22" s="56">
        <v>0</v>
      </c>
      <c r="ER22" s="56">
        <v>0</v>
      </c>
      <c r="ES22" s="56">
        <v>0</v>
      </c>
      <c r="ET22" s="56">
        <v>0</v>
      </c>
      <c r="EU22" s="56">
        <v>0</v>
      </c>
      <c r="EV22" s="56">
        <v>0</v>
      </c>
      <c r="EW22" s="56">
        <v>0</v>
      </c>
      <c r="EX22" s="56">
        <v>0</v>
      </c>
      <c r="EY22" s="56">
        <v>0</v>
      </c>
      <c r="EZ22" s="56">
        <v>0</v>
      </c>
      <c r="FA22" s="56">
        <v>0</v>
      </c>
      <c r="FB22" s="56">
        <v>0</v>
      </c>
      <c r="FC22" s="56">
        <v>0</v>
      </c>
      <c r="FD22" s="56">
        <v>0</v>
      </c>
      <c r="FE22" s="56">
        <v>0</v>
      </c>
      <c r="FF22" s="56">
        <v>0</v>
      </c>
      <c r="FG22" s="56">
        <v>0</v>
      </c>
      <c r="FH22" s="56">
        <v>0</v>
      </c>
      <c r="FI22" s="56">
        <v>0</v>
      </c>
      <c r="FJ22" s="56">
        <v>0</v>
      </c>
      <c r="FK22" s="56">
        <v>0</v>
      </c>
      <c r="FL22" s="56">
        <v>0</v>
      </c>
      <c r="FM22" s="56">
        <v>0</v>
      </c>
    </row>
    <row r="23" spans="2:169" x14ac:dyDescent="0.4">
      <c r="B23" s="472"/>
      <c r="C23" s="60">
        <v>20</v>
      </c>
      <c r="D23" s="225" t="s">
        <v>128</v>
      </c>
      <c r="E23" s="206">
        <f t="shared" ref="E23:F25" si="18">E22+7</f>
        <v>45847</v>
      </c>
      <c r="F23" s="206">
        <f t="shared" si="18"/>
        <v>45934</v>
      </c>
      <c r="G23" s="198">
        <f t="shared" si="9"/>
        <v>87</v>
      </c>
      <c r="H23" s="206">
        <f t="shared" si="16"/>
        <v>45847</v>
      </c>
      <c r="I23" s="206">
        <f t="shared" si="17"/>
        <v>45934</v>
      </c>
      <c r="J23" s="199" t="s">
        <v>2</v>
      </c>
      <c r="K23" s="200">
        <v>26</v>
      </c>
      <c r="L23" s="201"/>
      <c r="M23" s="201"/>
      <c r="N23" s="198" t="str">
        <f t="shared" si="4"/>
        <v/>
      </c>
      <c r="O23" s="202" t="str">
        <f t="shared" si="5"/>
        <v>-</v>
      </c>
      <c r="P23" s="205">
        <f t="shared" si="14"/>
        <v>0</v>
      </c>
      <c r="Q23" s="204">
        <f t="shared" si="15"/>
        <v>0</v>
      </c>
      <c r="R23" s="204">
        <f t="shared" si="6"/>
        <v>26</v>
      </c>
      <c r="S23" s="65">
        <f t="shared" si="7"/>
        <v>0</v>
      </c>
      <c r="T23" s="157">
        <f t="shared" si="10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8"/>
      <c r="BP23" s="168"/>
      <c r="BQ23" s="168"/>
      <c r="BR23" s="168"/>
      <c r="BS23" s="168"/>
      <c r="BT23" s="168"/>
      <c r="BU23" s="168"/>
      <c r="BV23" s="168"/>
      <c r="BW23" s="168"/>
      <c r="BX23" s="168"/>
      <c r="BY23" s="168"/>
      <c r="BZ23" s="168"/>
      <c r="CA23" s="168"/>
      <c r="CB23" s="168"/>
      <c r="CC23" s="168"/>
      <c r="CD23" s="168"/>
      <c r="CE23" s="168"/>
      <c r="CF23" s="168"/>
      <c r="CG23" s="168"/>
      <c r="CH23" s="168"/>
      <c r="CI23" s="168"/>
      <c r="CJ23" s="168"/>
      <c r="CK23" s="168"/>
      <c r="CL23" s="168"/>
      <c r="CM23" s="168"/>
      <c r="CN23" s="168"/>
      <c r="CO23" s="168"/>
      <c r="CP23" s="168"/>
      <c r="CQ23" s="168"/>
      <c r="CR23" s="168"/>
      <c r="CS23" s="168"/>
      <c r="CT23" s="168"/>
      <c r="CU23" s="168"/>
      <c r="CV23" s="168"/>
      <c r="CW23" s="168"/>
      <c r="CX23" s="168"/>
      <c r="CY23" s="168"/>
      <c r="CZ23" s="168"/>
      <c r="DA23" s="168"/>
      <c r="DB23" s="168"/>
      <c r="DC23" s="168"/>
      <c r="DD23" s="168"/>
      <c r="DE23" s="168"/>
      <c r="DF23" s="168"/>
      <c r="DG23" s="56">
        <v>0</v>
      </c>
      <c r="DH23" s="56">
        <v>0</v>
      </c>
      <c r="DI23" s="56">
        <v>0</v>
      </c>
      <c r="DJ23" s="56">
        <v>0</v>
      </c>
      <c r="DK23" s="56">
        <v>0</v>
      </c>
      <c r="DL23" s="56">
        <v>0</v>
      </c>
      <c r="DM23" s="56">
        <v>0</v>
      </c>
      <c r="DN23" s="56">
        <v>0</v>
      </c>
      <c r="DO23" s="56">
        <v>0</v>
      </c>
      <c r="DP23" s="56">
        <v>0</v>
      </c>
      <c r="DQ23" s="56">
        <v>0</v>
      </c>
      <c r="DR23" s="56">
        <v>0</v>
      </c>
      <c r="DS23" s="56">
        <v>0</v>
      </c>
      <c r="DT23" s="56">
        <v>0</v>
      </c>
      <c r="DU23" s="56">
        <v>0</v>
      </c>
      <c r="DV23" s="56">
        <v>0</v>
      </c>
      <c r="DW23" s="56">
        <v>0</v>
      </c>
      <c r="DX23" s="56">
        <v>0</v>
      </c>
      <c r="DY23" s="56">
        <v>0</v>
      </c>
      <c r="DZ23" s="56">
        <v>0</v>
      </c>
      <c r="EA23" s="56">
        <v>0</v>
      </c>
      <c r="EB23" s="56">
        <v>0</v>
      </c>
      <c r="EC23" s="23">
        <v>0</v>
      </c>
      <c r="ED23" s="56">
        <v>0</v>
      </c>
      <c r="EE23" s="56">
        <v>0</v>
      </c>
      <c r="EF23" s="23">
        <v>0</v>
      </c>
      <c r="EG23" s="23">
        <v>0</v>
      </c>
      <c r="EH23" s="23">
        <v>0</v>
      </c>
      <c r="EI23" s="56">
        <v>0</v>
      </c>
      <c r="EJ23" s="56">
        <v>0</v>
      </c>
      <c r="EK23" s="56">
        <v>0</v>
      </c>
      <c r="EL23" s="23">
        <v>0</v>
      </c>
      <c r="EM23" s="23">
        <v>0</v>
      </c>
      <c r="EN23" s="56">
        <v>0</v>
      </c>
      <c r="EO23" s="56">
        <v>0</v>
      </c>
      <c r="EP23" s="56">
        <v>0</v>
      </c>
      <c r="EQ23" s="56">
        <v>0</v>
      </c>
      <c r="ER23" s="56">
        <v>0</v>
      </c>
      <c r="ES23" s="56">
        <v>0</v>
      </c>
      <c r="ET23" s="56">
        <v>0</v>
      </c>
      <c r="EU23" s="56">
        <v>0</v>
      </c>
      <c r="EV23" s="56">
        <v>0</v>
      </c>
      <c r="EW23" s="56">
        <v>0</v>
      </c>
      <c r="EX23" s="56">
        <v>0</v>
      </c>
      <c r="EY23" s="56">
        <v>0</v>
      </c>
      <c r="EZ23" s="56">
        <v>0</v>
      </c>
      <c r="FA23" s="56">
        <v>0</v>
      </c>
      <c r="FB23" s="56">
        <v>0</v>
      </c>
      <c r="FC23" s="56">
        <v>0</v>
      </c>
      <c r="FD23" s="56">
        <v>0</v>
      </c>
      <c r="FE23" s="56">
        <v>0</v>
      </c>
      <c r="FF23" s="56">
        <v>0</v>
      </c>
      <c r="FG23" s="56">
        <v>0</v>
      </c>
      <c r="FH23" s="56">
        <v>0</v>
      </c>
      <c r="FI23" s="56">
        <v>0</v>
      </c>
      <c r="FJ23" s="56">
        <v>0</v>
      </c>
      <c r="FK23" s="56">
        <v>0</v>
      </c>
      <c r="FL23" s="56">
        <v>0</v>
      </c>
      <c r="FM23" s="56">
        <v>0</v>
      </c>
    </row>
    <row r="24" spans="2:169" x14ac:dyDescent="0.4">
      <c r="B24" s="472"/>
      <c r="C24" s="60">
        <v>21</v>
      </c>
      <c r="D24" s="225" t="s">
        <v>129</v>
      </c>
      <c r="E24" s="206">
        <f t="shared" si="18"/>
        <v>45854</v>
      </c>
      <c r="F24" s="206">
        <f t="shared" si="18"/>
        <v>45941</v>
      </c>
      <c r="G24" s="198">
        <f t="shared" si="9"/>
        <v>87</v>
      </c>
      <c r="H24" s="206">
        <f t="shared" si="16"/>
        <v>45854</v>
      </c>
      <c r="I24" s="206">
        <f t="shared" si="17"/>
        <v>45941</v>
      </c>
      <c r="J24" s="199" t="s">
        <v>2</v>
      </c>
      <c r="K24" s="200">
        <v>26</v>
      </c>
      <c r="L24" s="201"/>
      <c r="M24" s="201"/>
      <c r="N24" s="198" t="str">
        <f t="shared" si="4"/>
        <v/>
      </c>
      <c r="O24" s="202" t="str">
        <f t="shared" si="5"/>
        <v>-</v>
      </c>
      <c r="P24" s="205">
        <f t="shared" si="14"/>
        <v>0</v>
      </c>
      <c r="Q24" s="204">
        <f t="shared" si="15"/>
        <v>0</v>
      </c>
      <c r="R24" s="204">
        <f t="shared" si="6"/>
        <v>26</v>
      </c>
      <c r="S24" s="65">
        <f t="shared" si="7"/>
        <v>0</v>
      </c>
      <c r="T24" s="157">
        <f t="shared" si="10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8"/>
      <c r="BP24" s="168"/>
      <c r="BQ24" s="168"/>
      <c r="BR24" s="168"/>
      <c r="BS24" s="168"/>
      <c r="BT24" s="168"/>
      <c r="BU24" s="168"/>
      <c r="BV24" s="168"/>
      <c r="BW24" s="168"/>
      <c r="BX24" s="168"/>
      <c r="BY24" s="168"/>
      <c r="BZ24" s="168"/>
      <c r="CA24" s="168"/>
      <c r="CB24" s="168"/>
      <c r="CC24" s="168"/>
      <c r="CD24" s="168"/>
      <c r="CE24" s="168"/>
      <c r="CF24" s="168"/>
      <c r="CG24" s="168"/>
      <c r="CH24" s="168"/>
      <c r="CI24" s="168"/>
      <c r="CJ24" s="168"/>
      <c r="CK24" s="168"/>
      <c r="CL24" s="168"/>
      <c r="CM24" s="168"/>
      <c r="CN24" s="168"/>
      <c r="CO24" s="168"/>
      <c r="CP24" s="168"/>
      <c r="CQ24" s="168"/>
      <c r="CR24" s="168"/>
      <c r="CS24" s="168"/>
      <c r="CT24" s="168"/>
      <c r="CU24" s="168"/>
      <c r="CV24" s="168"/>
      <c r="CW24" s="168"/>
      <c r="CX24" s="168"/>
      <c r="CY24" s="168"/>
      <c r="CZ24" s="168"/>
      <c r="DA24" s="168"/>
      <c r="DB24" s="168"/>
      <c r="DC24" s="168"/>
      <c r="DD24" s="168"/>
      <c r="DE24" s="168"/>
      <c r="DF24" s="168"/>
      <c r="DG24" s="56">
        <v>0</v>
      </c>
      <c r="DH24" s="56">
        <v>0</v>
      </c>
      <c r="DI24" s="56">
        <v>0</v>
      </c>
      <c r="DJ24" s="56">
        <v>0</v>
      </c>
      <c r="DK24" s="56">
        <v>0</v>
      </c>
      <c r="DL24" s="56">
        <v>0</v>
      </c>
      <c r="DM24" s="56">
        <v>0</v>
      </c>
      <c r="DN24" s="56">
        <v>0</v>
      </c>
      <c r="DO24" s="56">
        <v>0</v>
      </c>
      <c r="DP24" s="56">
        <v>0</v>
      </c>
      <c r="DQ24" s="56">
        <v>0</v>
      </c>
      <c r="DR24" s="56">
        <v>0</v>
      </c>
      <c r="DS24" s="56">
        <v>0</v>
      </c>
      <c r="DT24" s="56">
        <v>0</v>
      </c>
      <c r="DU24" s="56">
        <v>0</v>
      </c>
      <c r="DV24" s="56">
        <v>0</v>
      </c>
      <c r="DW24" s="56">
        <v>0</v>
      </c>
      <c r="DX24" s="56">
        <v>0</v>
      </c>
      <c r="DY24" s="56">
        <v>0</v>
      </c>
      <c r="DZ24" s="56">
        <v>0</v>
      </c>
      <c r="EA24" s="56">
        <v>0</v>
      </c>
      <c r="EB24" s="56">
        <v>0</v>
      </c>
      <c r="EC24" s="23">
        <v>0</v>
      </c>
      <c r="ED24" s="56">
        <v>0</v>
      </c>
      <c r="EE24" s="56">
        <v>0</v>
      </c>
      <c r="EF24" s="23">
        <v>0</v>
      </c>
      <c r="EG24" s="23">
        <v>0</v>
      </c>
      <c r="EH24" s="23">
        <v>0</v>
      </c>
      <c r="EI24" s="56">
        <v>0</v>
      </c>
      <c r="EJ24" s="56">
        <v>0</v>
      </c>
      <c r="EK24" s="56">
        <v>0</v>
      </c>
      <c r="EL24" s="23">
        <v>0</v>
      </c>
      <c r="EM24" s="23">
        <v>0</v>
      </c>
      <c r="EN24" s="56">
        <v>0</v>
      </c>
      <c r="EO24" s="56">
        <v>0</v>
      </c>
      <c r="EP24" s="56">
        <v>0</v>
      </c>
      <c r="EQ24" s="56">
        <v>0</v>
      </c>
      <c r="ER24" s="56">
        <v>0</v>
      </c>
      <c r="ES24" s="56">
        <v>0</v>
      </c>
      <c r="ET24" s="56">
        <v>0</v>
      </c>
      <c r="EU24" s="56">
        <v>0</v>
      </c>
      <c r="EV24" s="56">
        <v>0</v>
      </c>
      <c r="EW24" s="56">
        <v>0</v>
      </c>
      <c r="EX24" s="56">
        <v>0</v>
      </c>
      <c r="EY24" s="56">
        <v>0</v>
      </c>
      <c r="EZ24" s="56">
        <v>0</v>
      </c>
      <c r="FA24" s="56">
        <v>0</v>
      </c>
      <c r="FB24" s="56">
        <v>0</v>
      </c>
      <c r="FC24" s="56">
        <v>0</v>
      </c>
      <c r="FD24" s="56">
        <v>0</v>
      </c>
      <c r="FE24" s="56">
        <v>0</v>
      </c>
      <c r="FF24" s="56">
        <v>0</v>
      </c>
      <c r="FG24" s="56">
        <v>0</v>
      </c>
      <c r="FH24" s="56">
        <v>0</v>
      </c>
      <c r="FI24" s="56">
        <v>0</v>
      </c>
      <c r="FJ24" s="56">
        <v>0</v>
      </c>
      <c r="FK24" s="56">
        <v>0</v>
      </c>
      <c r="FL24" s="56">
        <v>0</v>
      </c>
      <c r="FM24" s="56">
        <v>0</v>
      </c>
    </row>
    <row r="25" spans="2:169" x14ac:dyDescent="0.4">
      <c r="B25" s="472"/>
      <c r="C25" s="60">
        <v>22</v>
      </c>
      <c r="D25" s="225" t="s">
        <v>130</v>
      </c>
      <c r="E25" s="206">
        <f t="shared" si="18"/>
        <v>45861</v>
      </c>
      <c r="F25" s="206">
        <f t="shared" si="18"/>
        <v>45948</v>
      </c>
      <c r="G25" s="198">
        <f t="shared" si="9"/>
        <v>87</v>
      </c>
      <c r="H25" s="206">
        <f t="shared" si="16"/>
        <v>45861</v>
      </c>
      <c r="I25" s="206">
        <f t="shared" si="17"/>
        <v>45948</v>
      </c>
      <c r="J25" s="199" t="s">
        <v>2</v>
      </c>
      <c r="K25" s="200">
        <v>26</v>
      </c>
      <c r="L25" s="201"/>
      <c r="M25" s="201"/>
      <c r="N25" s="198" t="str">
        <f t="shared" si="4"/>
        <v/>
      </c>
      <c r="O25" s="202" t="str">
        <f t="shared" si="5"/>
        <v>-</v>
      </c>
      <c r="P25" s="205">
        <f t="shared" si="14"/>
        <v>0</v>
      </c>
      <c r="Q25" s="204">
        <f t="shared" si="15"/>
        <v>0</v>
      </c>
      <c r="R25" s="204">
        <f t="shared" si="6"/>
        <v>26</v>
      </c>
      <c r="S25" s="65">
        <f t="shared" si="7"/>
        <v>0</v>
      </c>
      <c r="T25" s="157">
        <f t="shared" si="10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8"/>
      <c r="BP25" s="168"/>
      <c r="BQ25" s="168"/>
      <c r="BR25" s="168"/>
      <c r="BS25" s="168"/>
      <c r="BT25" s="168"/>
      <c r="BU25" s="168"/>
      <c r="BV25" s="168"/>
      <c r="BW25" s="168"/>
      <c r="BX25" s="168"/>
      <c r="BY25" s="168"/>
      <c r="BZ25" s="168"/>
      <c r="CA25" s="168"/>
      <c r="CB25" s="168"/>
      <c r="CC25" s="168"/>
      <c r="CD25" s="168"/>
      <c r="CE25" s="168"/>
      <c r="CF25" s="168"/>
      <c r="CG25" s="168"/>
      <c r="CH25" s="168"/>
      <c r="CI25" s="168"/>
      <c r="CJ25" s="168"/>
      <c r="CK25" s="168"/>
      <c r="CL25" s="168"/>
      <c r="CM25" s="168"/>
      <c r="CN25" s="168"/>
      <c r="CO25" s="168"/>
      <c r="CP25" s="168"/>
      <c r="CQ25" s="168"/>
      <c r="CR25" s="168"/>
      <c r="CS25" s="168"/>
      <c r="CT25" s="168"/>
      <c r="CU25" s="168"/>
      <c r="CV25" s="168"/>
      <c r="CW25" s="168"/>
      <c r="CX25" s="168"/>
      <c r="CY25" s="168"/>
      <c r="CZ25" s="168"/>
      <c r="DA25" s="168"/>
      <c r="DB25" s="168"/>
      <c r="DC25" s="168"/>
      <c r="DD25" s="168"/>
      <c r="DE25" s="168"/>
      <c r="DF25" s="168"/>
      <c r="DG25" s="56">
        <v>0</v>
      </c>
      <c r="DH25" s="56">
        <v>0</v>
      </c>
      <c r="DI25" s="56">
        <v>0</v>
      </c>
      <c r="DJ25" s="56">
        <v>0</v>
      </c>
      <c r="DK25" s="56">
        <v>0</v>
      </c>
      <c r="DL25" s="56">
        <v>0</v>
      </c>
      <c r="DM25" s="56">
        <v>0</v>
      </c>
      <c r="DN25" s="56">
        <v>0</v>
      </c>
      <c r="DO25" s="56">
        <v>0</v>
      </c>
      <c r="DP25" s="56">
        <v>0</v>
      </c>
      <c r="DQ25" s="56">
        <v>0</v>
      </c>
      <c r="DR25" s="56">
        <v>0</v>
      </c>
      <c r="DS25" s="56">
        <v>0</v>
      </c>
      <c r="DT25" s="56">
        <v>0</v>
      </c>
      <c r="DU25" s="56">
        <v>0</v>
      </c>
      <c r="DV25" s="56">
        <v>0</v>
      </c>
      <c r="DW25" s="56">
        <v>0</v>
      </c>
      <c r="DX25" s="56">
        <v>0</v>
      </c>
      <c r="DY25" s="56">
        <v>0</v>
      </c>
      <c r="DZ25" s="56">
        <v>0</v>
      </c>
      <c r="EA25" s="56">
        <v>0</v>
      </c>
      <c r="EB25" s="56">
        <v>0</v>
      </c>
      <c r="EC25" s="23">
        <v>0</v>
      </c>
      <c r="ED25" s="56">
        <v>0</v>
      </c>
      <c r="EE25" s="56">
        <v>0</v>
      </c>
      <c r="EF25" s="23">
        <v>0</v>
      </c>
      <c r="EG25" s="23">
        <v>0</v>
      </c>
      <c r="EH25" s="23">
        <v>0</v>
      </c>
      <c r="EI25" s="56">
        <v>0</v>
      </c>
      <c r="EJ25" s="56">
        <v>0</v>
      </c>
      <c r="EK25" s="56">
        <v>0</v>
      </c>
      <c r="EL25" s="23">
        <v>0</v>
      </c>
      <c r="EM25" s="23">
        <v>0</v>
      </c>
      <c r="EN25" s="56">
        <v>0</v>
      </c>
      <c r="EO25" s="56">
        <v>0</v>
      </c>
      <c r="EP25" s="56">
        <v>0</v>
      </c>
      <c r="EQ25" s="56">
        <v>0</v>
      </c>
      <c r="ER25" s="56">
        <v>0</v>
      </c>
      <c r="ES25" s="56">
        <v>0</v>
      </c>
      <c r="ET25" s="56">
        <v>0</v>
      </c>
      <c r="EU25" s="56">
        <v>0</v>
      </c>
      <c r="EV25" s="56">
        <v>0</v>
      </c>
      <c r="EW25" s="56">
        <v>0</v>
      </c>
      <c r="EX25" s="56">
        <v>0</v>
      </c>
      <c r="EY25" s="56">
        <v>0</v>
      </c>
      <c r="EZ25" s="56">
        <v>0</v>
      </c>
      <c r="FA25" s="56">
        <v>0</v>
      </c>
      <c r="FB25" s="56">
        <v>0</v>
      </c>
      <c r="FC25" s="56">
        <v>0</v>
      </c>
      <c r="FD25" s="56">
        <v>0</v>
      </c>
      <c r="FE25" s="56">
        <v>0</v>
      </c>
      <c r="FF25" s="56">
        <v>0</v>
      </c>
      <c r="FG25" s="56">
        <v>0</v>
      </c>
      <c r="FH25" s="56">
        <v>0</v>
      </c>
      <c r="FI25" s="56">
        <v>0</v>
      </c>
      <c r="FJ25" s="56">
        <v>0</v>
      </c>
      <c r="FK25" s="56">
        <v>0</v>
      </c>
      <c r="FL25" s="56">
        <v>0</v>
      </c>
      <c r="FM25" s="56">
        <v>0</v>
      </c>
    </row>
    <row r="26" spans="2:169" x14ac:dyDescent="0.4">
      <c r="B26" s="472"/>
      <c r="C26" s="60">
        <v>23</v>
      </c>
      <c r="D26" s="230" t="s">
        <v>131</v>
      </c>
      <c r="E26" s="206">
        <f>E25+15</f>
        <v>45876</v>
      </c>
      <c r="F26" s="206">
        <f>F25+15</f>
        <v>45963</v>
      </c>
      <c r="G26" s="198">
        <f t="shared" si="9"/>
        <v>87</v>
      </c>
      <c r="H26" s="206">
        <f t="shared" si="16"/>
        <v>45876</v>
      </c>
      <c r="I26" s="206">
        <f>F26</f>
        <v>45963</v>
      </c>
      <c r="J26" s="199" t="s">
        <v>2</v>
      </c>
      <c r="K26" s="200">
        <v>26</v>
      </c>
      <c r="L26" s="201"/>
      <c r="M26" s="201"/>
      <c r="N26" s="198" t="str">
        <f t="shared" si="4"/>
        <v/>
      </c>
      <c r="O26" s="202" t="str">
        <f t="shared" si="5"/>
        <v>-</v>
      </c>
      <c r="P26" s="205">
        <f t="shared" si="14"/>
        <v>0</v>
      </c>
      <c r="Q26" s="204">
        <f t="shared" si="15"/>
        <v>0</v>
      </c>
      <c r="R26" s="204">
        <f t="shared" si="6"/>
        <v>26</v>
      </c>
      <c r="S26" s="65">
        <f t="shared" si="7"/>
        <v>0</v>
      </c>
      <c r="T26" s="157">
        <f t="shared" si="10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8"/>
      <c r="BP26" s="168"/>
      <c r="BQ26" s="168"/>
      <c r="BR26" s="168"/>
      <c r="BS26" s="168"/>
      <c r="BT26" s="168"/>
      <c r="BU26" s="168"/>
      <c r="BV26" s="168"/>
      <c r="BW26" s="168"/>
      <c r="BX26" s="168"/>
      <c r="BY26" s="168"/>
      <c r="BZ26" s="168"/>
      <c r="CA26" s="168"/>
      <c r="CB26" s="168"/>
      <c r="CC26" s="168"/>
      <c r="CD26" s="168"/>
      <c r="CE26" s="168"/>
      <c r="CF26" s="168"/>
      <c r="CG26" s="168"/>
      <c r="CH26" s="168"/>
      <c r="CI26" s="168"/>
      <c r="CJ26" s="168"/>
      <c r="CK26" s="168"/>
      <c r="CL26" s="168"/>
      <c r="CM26" s="168"/>
      <c r="CN26" s="168"/>
      <c r="CO26" s="168"/>
      <c r="CP26" s="168"/>
      <c r="CQ26" s="168"/>
      <c r="CR26" s="168"/>
      <c r="CS26" s="168"/>
      <c r="CT26" s="168"/>
      <c r="CU26" s="168"/>
      <c r="CV26" s="168"/>
      <c r="CW26" s="168"/>
      <c r="CX26" s="168"/>
      <c r="CY26" s="168"/>
      <c r="CZ26" s="168"/>
      <c r="DA26" s="168"/>
      <c r="DB26" s="168"/>
      <c r="DC26" s="168"/>
      <c r="DD26" s="168"/>
      <c r="DE26" s="168"/>
      <c r="DF26" s="168"/>
      <c r="DG26" s="56">
        <v>0</v>
      </c>
      <c r="DH26" s="56">
        <v>0</v>
      </c>
      <c r="DI26" s="56">
        <v>0</v>
      </c>
      <c r="DJ26" s="56">
        <v>0</v>
      </c>
      <c r="DK26" s="56">
        <v>0</v>
      </c>
      <c r="DL26" s="56">
        <v>0</v>
      </c>
      <c r="DM26" s="56">
        <v>0</v>
      </c>
      <c r="DN26" s="56">
        <v>0</v>
      </c>
      <c r="DO26" s="56">
        <v>0</v>
      </c>
      <c r="DP26" s="56">
        <v>0</v>
      </c>
      <c r="DQ26" s="56">
        <v>0</v>
      </c>
      <c r="DR26" s="56">
        <v>0</v>
      </c>
      <c r="DS26" s="56">
        <v>0</v>
      </c>
      <c r="DT26" s="56">
        <v>0</v>
      </c>
      <c r="DU26" s="56">
        <v>0</v>
      </c>
      <c r="DV26" s="56">
        <v>0</v>
      </c>
      <c r="DW26" s="56">
        <v>0</v>
      </c>
      <c r="DX26" s="56">
        <v>0</v>
      </c>
      <c r="DY26" s="56">
        <v>0</v>
      </c>
      <c r="DZ26" s="56">
        <v>0</v>
      </c>
      <c r="EA26" s="56">
        <v>0</v>
      </c>
      <c r="EB26" s="56">
        <v>0</v>
      </c>
      <c r="EC26" s="23">
        <v>0</v>
      </c>
      <c r="ED26" s="56">
        <v>0</v>
      </c>
      <c r="EE26" s="56">
        <v>0</v>
      </c>
      <c r="EF26" s="23">
        <v>0</v>
      </c>
      <c r="EG26" s="23">
        <v>0</v>
      </c>
      <c r="EH26" s="23">
        <v>0</v>
      </c>
      <c r="EI26" s="56">
        <v>0</v>
      </c>
      <c r="EJ26" s="56">
        <v>0</v>
      </c>
      <c r="EK26" s="56">
        <v>0</v>
      </c>
      <c r="EL26" s="23">
        <v>0</v>
      </c>
      <c r="EM26" s="23">
        <v>0</v>
      </c>
      <c r="EN26" s="56">
        <v>0</v>
      </c>
      <c r="EO26" s="56">
        <v>0</v>
      </c>
      <c r="EP26" s="56">
        <v>0</v>
      </c>
      <c r="EQ26" s="56">
        <v>0</v>
      </c>
      <c r="ER26" s="56">
        <v>0</v>
      </c>
      <c r="ES26" s="56">
        <v>0</v>
      </c>
      <c r="ET26" s="56">
        <v>0</v>
      </c>
      <c r="EU26" s="56">
        <v>0</v>
      </c>
      <c r="EV26" s="56">
        <v>0</v>
      </c>
      <c r="EW26" s="56">
        <v>0</v>
      </c>
      <c r="EX26" s="56">
        <v>0</v>
      </c>
      <c r="EY26" s="56">
        <v>0</v>
      </c>
      <c r="EZ26" s="56">
        <v>0</v>
      </c>
      <c r="FA26" s="56">
        <v>0</v>
      </c>
      <c r="FB26" s="56">
        <v>0</v>
      </c>
      <c r="FC26" s="56">
        <v>0</v>
      </c>
      <c r="FD26" s="56">
        <v>0</v>
      </c>
      <c r="FE26" s="56">
        <v>0</v>
      </c>
      <c r="FF26" s="56">
        <v>0</v>
      </c>
      <c r="FG26" s="56">
        <v>0</v>
      </c>
      <c r="FH26" s="56">
        <v>0</v>
      </c>
      <c r="FI26" s="56">
        <v>0</v>
      </c>
      <c r="FJ26" s="56">
        <v>0</v>
      </c>
      <c r="FK26" s="56">
        <v>0</v>
      </c>
      <c r="FL26" s="56">
        <v>0</v>
      </c>
      <c r="FM26" s="56">
        <v>0</v>
      </c>
    </row>
    <row r="27" spans="2:169" x14ac:dyDescent="0.4">
      <c r="B27" s="472"/>
      <c r="C27" s="228">
        <v>24</v>
      </c>
      <c r="D27" s="232" t="s">
        <v>132</v>
      </c>
      <c r="E27" s="229">
        <f>F27-30</f>
        <v>45942</v>
      </c>
      <c r="F27" s="206">
        <v>45972</v>
      </c>
      <c r="G27" s="198">
        <f t="shared" si="9"/>
        <v>30</v>
      </c>
      <c r="H27" s="206">
        <f t="shared" si="16"/>
        <v>45942</v>
      </c>
      <c r="I27" s="206">
        <f t="shared" si="17"/>
        <v>45972</v>
      </c>
      <c r="J27" s="199" t="s">
        <v>2</v>
      </c>
      <c r="K27" s="200">
        <v>26</v>
      </c>
      <c r="L27" s="201"/>
      <c r="M27" s="201"/>
      <c r="N27" s="198" t="str">
        <f t="shared" si="4"/>
        <v/>
      </c>
      <c r="O27" s="202" t="str">
        <f t="shared" si="5"/>
        <v>-</v>
      </c>
      <c r="P27" s="205">
        <f t="shared" si="14"/>
        <v>0</v>
      </c>
      <c r="Q27" s="204">
        <f t="shared" si="15"/>
        <v>0</v>
      </c>
      <c r="R27" s="204">
        <f t="shared" si="6"/>
        <v>26</v>
      </c>
      <c r="S27" s="65">
        <f t="shared" si="7"/>
        <v>0</v>
      </c>
      <c r="T27" s="157">
        <f t="shared" si="10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8"/>
      <c r="BP27" s="168"/>
      <c r="BQ27" s="168"/>
      <c r="BR27" s="168"/>
      <c r="BS27" s="168"/>
      <c r="BT27" s="168"/>
      <c r="BU27" s="168"/>
      <c r="BV27" s="168"/>
      <c r="BW27" s="168"/>
      <c r="BX27" s="168"/>
      <c r="BY27" s="168"/>
      <c r="BZ27" s="168"/>
      <c r="CA27" s="168"/>
      <c r="CB27" s="168"/>
      <c r="CC27" s="168"/>
      <c r="CD27" s="168"/>
      <c r="CE27" s="168"/>
      <c r="CF27" s="168"/>
      <c r="CG27" s="168"/>
      <c r="CH27" s="168"/>
      <c r="CI27" s="168"/>
      <c r="CJ27" s="168"/>
      <c r="CK27" s="168"/>
      <c r="CL27" s="168"/>
      <c r="CM27" s="168"/>
      <c r="CN27" s="168"/>
      <c r="CO27" s="168"/>
      <c r="CP27" s="168"/>
      <c r="CQ27" s="168"/>
      <c r="CR27" s="168"/>
      <c r="CS27" s="168"/>
      <c r="CT27" s="168"/>
      <c r="CU27" s="168"/>
      <c r="CV27" s="168"/>
      <c r="CW27" s="168"/>
      <c r="CX27" s="168"/>
      <c r="CY27" s="168"/>
      <c r="CZ27" s="168"/>
      <c r="DA27" s="168"/>
      <c r="DB27" s="168"/>
      <c r="DC27" s="168"/>
      <c r="DD27" s="168"/>
      <c r="DE27" s="168"/>
      <c r="DF27" s="168"/>
      <c r="DG27" s="56">
        <v>0</v>
      </c>
      <c r="DH27" s="56">
        <v>0</v>
      </c>
      <c r="DI27" s="56">
        <v>0</v>
      </c>
      <c r="DJ27" s="56">
        <v>0</v>
      </c>
      <c r="DK27" s="56">
        <v>0</v>
      </c>
      <c r="DL27" s="56">
        <v>0</v>
      </c>
      <c r="DM27" s="56">
        <v>0</v>
      </c>
      <c r="DN27" s="56">
        <v>0</v>
      </c>
      <c r="DO27" s="56">
        <v>0</v>
      </c>
      <c r="DP27" s="56">
        <v>0</v>
      </c>
      <c r="DQ27" s="56">
        <v>0</v>
      </c>
      <c r="DR27" s="56">
        <v>0</v>
      </c>
      <c r="DS27" s="56">
        <v>0</v>
      </c>
      <c r="DT27" s="56">
        <v>0</v>
      </c>
      <c r="DU27" s="56">
        <v>0</v>
      </c>
      <c r="DV27" s="56">
        <v>0</v>
      </c>
      <c r="DW27" s="56">
        <v>0</v>
      </c>
      <c r="DX27" s="56">
        <v>0</v>
      </c>
      <c r="DY27" s="56">
        <v>0</v>
      </c>
      <c r="DZ27" s="56">
        <v>0</v>
      </c>
      <c r="EA27" s="56">
        <v>0</v>
      </c>
      <c r="EB27" s="56">
        <v>0</v>
      </c>
      <c r="EC27" s="23">
        <v>0</v>
      </c>
      <c r="ED27" s="56">
        <v>0</v>
      </c>
      <c r="EE27" s="56">
        <v>0</v>
      </c>
      <c r="EF27" s="23">
        <v>0</v>
      </c>
      <c r="EG27" s="23">
        <v>0</v>
      </c>
      <c r="EH27" s="23">
        <v>0</v>
      </c>
      <c r="EI27" s="56">
        <v>0</v>
      </c>
      <c r="EJ27" s="56">
        <v>0</v>
      </c>
      <c r="EK27" s="56">
        <v>0</v>
      </c>
      <c r="EL27" s="23">
        <v>0</v>
      </c>
      <c r="EM27" s="23">
        <v>0</v>
      </c>
      <c r="EN27" s="56">
        <v>0</v>
      </c>
      <c r="EO27" s="56">
        <v>0</v>
      </c>
      <c r="EP27" s="56">
        <v>0</v>
      </c>
      <c r="EQ27" s="56">
        <v>0</v>
      </c>
      <c r="ER27" s="56">
        <v>0</v>
      </c>
      <c r="ES27" s="56">
        <v>0</v>
      </c>
      <c r="ET27" s="56">
        <v>0</v>
      </c>
      <c r="EU27" s="56">
        <v>0</v>
      </c>
      <c r="EV27" s="56">
        <v>0</v>
      </c>
      <c r="EW27" s="56">
        <v>0</v>
      </c>
      <c r="EX27" s="56">
        <v>0</v>
      </c>
      <c r="EY27" s="56">
        <v>0</v>
      </c>
      <c r="EZ27" s="56">
        <v>0</v>
      </c>
      <c r="FA27" s="56">
        <v>0</v>
      </c>
      <c r="FB27" s="56">
        <v>0</v>
      </c>
      <c r="FC27" s="56">
        <v>0</v>
      </c>
      <c r="FD27" s="56">
        <v>0</v>
      </c>
      <c r="FE27" s="56">
        <v>0</v>
      </c>
      <c r="FF27" s="56">
        <v>0</v>
      </c>
      <c r="FG27" s="56">
        <v>0</v>
      </c>
      <c r="FH27" s="56">
        <v>0</v>
      </c>
      <c r="FI27" s="56">
        <v>0</v>
      </c>
      <c r="FJ27" s="56">
        <v>0</v>
      </c>
      <c r="FK27" s="56">
        <v>0</v>
      </c>
      <c r="FL27" s="56">
        <v>0</v>
      </c>
      <c r="FM27" s="56">
        <v>0</v>
      </c>
    </row>
    <row r="28" spans="2:169" x14ac:dyDescent="0.4">
      <c r="B28" s="483" t="s">
        <v>152</v>
      </c>
      <c r="C28" s="228">
        <v>49</v>
      </c>
      <c r="D28" s="232" t="s">
        <v>159</v>
      </c>
      <c r="E28" s="229">
        <v>45858</v>
      </c>
      <c r="F28" s="206">
        <v>45945</v>
      </c>
      <c r="G28" s="198">
        <f t="shared" ref="G28:G91" si="19">F28-E28</f>
        <v>87</v>
      </c>
      <c r="H28" s="206">
        <f>E28</f>
        <v>45858</v>
      </c>
      <c r="I28" s="206">
        <f>F28</f>
        <v>45945</v>
      </c>
      <c r="J28" s="199" t="s">
        <v>154</v>
      </c>
      <c r="K28" s="200"/>
      <c r="L28" s="201"/>
      <c r="M28" s="201"/>
      <c r="N28" s="198" t="str">
        <f t="shared" ref="N28:N42" si="20">IF(OR(M28="",L28=""),"",INT(M28-L28+1))</f>
        <v/>
      </c>
      <c r="O28" s="202" t="str">
        <f t="shared" ref="O28:O42" si="21">IFERROR(K28/N28,"-")</f>
        <v>-</v>
      </c>
      <c r="P28" s="205" t="str">
        <f t="shared" si="14"/>
        <v>-</v>
      </c>
      <c r="Q28" s="204">
        <f t="shared" si="15"/>
        <v>0</v>
      </c>
      <c r="R28" s="204">
        <f t="shared" ref="R28:R42" si="22">K28-Q28</f>
        <v>0</v>
      </c>
      <c r="S28" s="65">
        <f t="shared" si="7"/>
        <v>0</v>
      </c>
      <c r="T28" s="157">
        <f t="shared" si="10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8"/>
      <c r="BP28" s="168"/>
      <c r="BQ28" s="168"/>
      <c r="BR28" s="168"/>
      <c r="BS28" s="168"/>
      <c r="BT28" s="168"/>
      <c r="BU28" s="168"/>
      <c r="BV28" s="168"/>
      <c r="BW28" s="168"/>
      <c r="BX28" s="168"/>
      <c r="BY28" s="168"/>
      <c r="BZ28" s="168"/>
      <c r="CA28" s="168"/>
      <c r="CB28" s="168"/>
      <c r="CC28" s="168"/>
      <c r="CD28" s="168"/>
      <c r="CE28" s="168"/>
      <c r="CF28" s="168"/>
      <c r="CG28" s="168"/>
      <c r="CH28" s="168"/>
      <c r="CI28" s="168"/>
      <c r="CJ28" s="168"/>
      <c r="CK28" s="168"/>
      <c r="CL28" s="168"/>
      <c r="CM28" s="168"/>
      <c r="CN28" s="168"/>
      <c r="CO28" s="168"/>
      <c r="CP28" s="168"/>
      <c r="CQ28" s="168"/>
      <c r="CR28" s="168"/>
      <c r="CS28" s="168"/>
      <c r="CT28" s="168"/>
      <c r="CU28" s="168"/>
      <c r="CV28" s="168"/>
      <c r="CW28" s="168"/>
      <c r="CX28" s="168"/>
      <c r="CY28" s="168"/>
      <c r="CZ28" s="168"/>
      <c r="DA28" s="168"/>
      <c r="DB28" s="168"/>
      <c r="DC28" s="168"/>
      <c r="DD28" s="168"/>
      <c r="DE28" s="168"/>
      <c r="DF28" s="168"/>
      <c r="DG28" s="56">
        <v>0</v>
      </c>
      <c r="DH28" s="56">
        <v>0</v>
      </c>
      <c r="DI28" s="56">
        <v>0</v>
      </c>
      <c r="DJ28" s="56">
        <v>0</v>
      </c>
      <c r="DK28" s="56">
        <v>0</v>
      </c>
      <c r="DL28" s="56">
        <v>0</v>
      </c>
      <c r="DM28" s="56">
        <v>0</v>
      </c>
      <c r="DN28" s="56">
        <v>0</v>
      </c>
      <c r="DO28" s="56">
        <v>0</v>
      </c>
      <c r="DP28" s="56">
        <v>0</v>
      </c>
      <c r="DQ28" s="56">
        <v>0</v>
      </c>
      <c r="DR28" s="56">
        <v>0</v>
      </c>
      <c r="DS28" s="56">
        <v>0</v>
      </c>
      <c r="DT28" s="56">
        <v>0</v>
      </c>
      <c r="DU28" s="56">
        <v>0</v>
      </c>
      <c r="DV28" s="56">
        <v>0</v>
      </c>
      <c r="DW28" s="56">
        <v>0</v>
      </c>
      <c r="DX28" s="56">
        <v>0</v>
      </c>
      <c r="DY28" s="56">
        <v>0</v>
      </c>
      <c r="DZ28" s="56">
        <v>0</v>
      </c>
      <c r="EA28" s="56">
        <v>0</v>
      </c>
      <c r="EB28" s="56">
        <v>0</v>
      </c>
      <c r="EC28" s="23">
        <v>0</v>
      </c>
      <c r="ED28" s="56">
        <v>0</v>
      </c>
      <c r="EE28" s="56">
        <v>0</v>
      </c>
      <c r="EF28" s="23">
        <v>0</v>
      </c>
      <c r="EG28" s="23">
        <v>0</v>
      </c>
      <c r="EH28" s="23">
        <v>0</v>
      </c>
      <c r="EI28" s="56">
        <v>0</v>
      </c>
      <c r="EJ28" s="56">
        <v>0</v>
      </c>
      <c r="EK28" s="56">
        <v>0</v>
      </c>
      <c r="EL28" s="23">
        <v>0</v>
      </c>
      <c r="EM28" s="23">
        <v>0</v>
      </c>
      <c r="EN28" s="56">
        <v>0</v>
      </c>
      <c r="EO28" s="56">
        <v>0</v>
      </c>
      <c r="EP28" s="56">
        <v>0</v>
      </c>
      <c r="EQ28" s="56">
        <v>0</v>
      </c>
      <c r="ER28" s="56">
        <v>0</v>
      </c>
      <c r="ES28" s="56">
        <v>0</v>
      </c>
      <c r="ET28" s="56">
        <v>0</v>
      </c>
      <c r="EU28" s="56">
        <v>0</v>
      </c>
      <c r="EV28" s="56">
        <v>0</v>
      </c>
      <c r="EW28" s="56">
        <v>0</v>
      </c>
      <c r="EX28" s="56">
        <v>0</v>
      </c>
      <c r="EY28" s="56">
        <v>0</v>
      </c>
      <c r="EZ28" s="56">
        <v>0</v>
      </c>
      <c r="FA28" s="56">
        <v>0</v>
      </c>
      <c r="FB28" s="56">
        <v>0</v>
      </c>
      <c r="FC28" s="56">
        <v>0</v>
      </c>
      <c r="FD28" s="56">
        <v>0</v>
      </c>
      <c r="FE28" s="56">
        <v>0</v>
      </c>
      <c r="FF28" s="56">
        <v>0</v>
      </c>
      <c r="FG28" s="56">
        <v>0</v>
      </c>
      <c r="FH28" s="56">
        <v>0</v>
      </c>
      <c r="FI28" s="56">
        <v>0</v>
      </c>
      <c r="FJ28" s="56">
        <v>0</v>
      </c>
      <c r="FK28" s="56">
        <v>0</v>
      </c>
      <c r="FL28" s="56">
        <v>0</v>
      </c>
      <c r="FM28" s="56">
        <v>0</v>
      </c>
    </row>
    <row r="29" spans="2:169" x14ac:dyDescent="0.4">
      <c r="B29" s="484"/>
      <c r="C29" s="228">
        <v>50</v>
      </c>
      <c r="D29" s="232" t="s">
        <v>160</v>
      </c>
      <c r="E29" s="229">
        <v>45863</v>
      </c>
      <c r="F29" s="206">
        <v>45950</v>
      </c>
      <c r="G29" s="198">
        <f t="shared" si="19"/>
        <v>87</v>
      </c>
      <c r="H29" s="206">
        <f t="shared" ref="H29:H33" si="23">E29</f>
        <v>45863</v>
      </c>
      <c r="I29" s="206">
        <f t="shared" ref="I29:I33" si="24">F29</f>
        <v>45950</v>
      </c>
      <c r="J29" s="199" t="s">
        <v>154</v>
      </c>
      <c r="K29" s="200"/>
      <c r="L29" s="201"/>
      <c r="M29" s="201"/>
      <c r="N29" s="198" t="str">
        <f t="shared" si="20"/>
        <v/>
      </c>
      <c r="O29" s="202" t="str">
        <f t="shared" si="21"/>
        <v>-</v>
      </c>
      <c r="P29" s="205" t="str">
        <f t="shared" si="14"/>
        <v>-</v>
      </c>
      <c r="Q29" s="204">
        <f t="shared" si="15"/>
        <v>0</v>
      </c>
      <c r="R29" s="204">
        <f t="shared" si="22"/>
        <v>0</v>
      </c>
      <c r="S29" s="65">
        <f t="shared" si="7"/>
        <v>0</v>
      </c>
      <c r="T29" s="157">
        <f t="shared" si="10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8"/>
      <c r="BP29" s="168"/>
      <c r="BQ29" s="168"/>
      <c r="BR29" s="168"/>
      <c r="BS29" s="168"/>
      <c r="BT29" s="168"/>
      <c r="BU29" s="168"/>
      <c r="BV29" s="168"/>
      <c r="BW29" s="168"/>
      <c r="BX29" s="168"/>
      <c r="BY29" s="168"/>
      <c r="BZ29" s="168"/>
      <c r="CA29" s="168"/>
      <c r="CB29" s="168"/>
      <c r="CC29" s="168"/>
      <c r="CD29" s="168"/>
      <c r="CE29" s="168"/>
      <c r="CF29" s="168"/>
      <c r="CG29" s="168"/>
      <c r="CH29" s="168"/>
      <c r="CI29" s="168"/>
      <c r="CJ29" s="168"/>
      <c r="CK29" s="168"/>
      <c r="CL29" s="168"/>
      <c r="CM29" s="168"/>
      <c r="CN29" s="168"/>
      <c r="CO29" s="168"/>
      <c r="CP29" s="168"/>
      <c r="CQ29" s="168"/>
      <c r="CR29" s="168"/>
      <c r="CS29" s="168"/>
      <c r="CT29" s="168"/>
      <c r="CU29" s="168"/>
      <c r="CV29" s="168"/>
      <c r="CW29" s="168"/>
      <c r="CX29" s="168"/>
      <c r="CY29" s="168"/>
      <c r="CZ29" s="168"/>
      <c r="DA29" s="168"/>
      <c r="DB29" s="168"/>
      <c r="DC29" s="168"/>
      <c r="DD29" s="168"/>
      <c r="DE29" s="168"/>
      <c r="DF29" s="168"/>
      <c r="DG29" s="56">
        <v>0</v>
      </c>
      <c r="DH29" s="56">
        <v>0</v>
      </c>
      <c r="DI29" s="56">
        <v>0</v>
      </c>
      <c r="DJ29" s="56">
        <v>0</v>
      </c>
      <c r="DK29" s="56">
        <v>0</v>
      </c>
      <c r="DL29" s="56">
        <v>0</v>
      </c>
      <c r="DM29" s="56">
        <v>0</v>
      </c>
      <c r="DN29" s="56">
        <v>0</v>
      </c>
      <c r="DO29" s="56">
        <v>0</v>
      </c>
      <c r="DP29" s="56">
        <v>0</v>
      </c>
      <c r="DQ29" s="56">
        <v>0</v>
      </c>
      <c r="DR29" s="56">
        <v>0</v>
      </c>
      <c r="DS29" s="56">
        <v>0</v>
      </c>
      <c r="DT29" s="56">
        <v>0</v>
      </c>
      <c r="DU29" s="56">
        <v>0</v>
      </c>
      <c r="DV29" s="56">
        <v>0</v>
      </c>
      <c r="DW29" s="56">
        <v>0</v>
      </c>
      <c r="DX29" s="56">
        <v>0</v>
      </c>
      <c r="DY29" s="56">
        <v>0</v>
      </c>
      <c r="DZ29" s="56">
        <v>0</v>
      </c>
      <c r="EA29" s="56">
        <v>0</v>
      </c>
      <c r="EB29" s="56">
        <v>0</v>
      </c>
      <c r="EC29" s="23">
        <v>0</v>
      </c>
      <c r="ED29" s="56">
        <v>0</v>
      </c>
      <c r="EE29" s="56">
        <v>0</v>
      </c>
      <c r="EF29" s="23">
        <v>0</v>
      </c>
      <c r="EG29" s="23">
        <v>0</v>
      </c>
      <c r="EH29" s="23">
        <v>0</v>
      </c>
      <c r="EI29" s="56">
        <v>0</v>
      </c>
      <c r="EJ29" s="56">
        <v>0</v>
      </c>
      <c r="EK29" s="56">
        <v>0</v>
      </c>
      <c r="EL29" s="23">
        <v>0</v>
      </c>
      <c r="EM29" s="23">
        <v>0</v>
      </c>
      <c r="EN29" s="56">
        <v>0</v>
      </c>
      <c r="EO29" s="56">
        <v>0</v>
      </c>
      <c r="EP29" s="56">
        <v>0</v>
      </c>
      <c r="EQ29" s="56">
        <v>0</v>
      </c>
      <c r="ER29" s="56">
        <v>0</v>
      </c>
      <c r="ES29" s="56">
        <v>0</v>
      </c>
      <c r="ET29" s="56">
        <v>0</v>
      </c>
      <c r="EU29" s="56">
        <v>0</v>
      </c>
      <c r="EV29" s="56">
        <v>0</v>
      </c>
      <c r="EW29" s="56">
        <v>0</v>
      </c>
      <c r="EX29" s="56">
        <v>0</v>
      </c>
      <c r="EY29" s="56">
        <v>0</v>
      </c>
      <c r="EZ29" s="56">
        <v>0</v>
      </c>
      <c r="FA29" s="56">
        <v>0</v>
      </c>
      <c r="FB29" s="56">
        <v>0</v>
      </c>
      <c r="FC29" s="56">
        <v>0</v>
      </c>
      <c r="FD29" s="56">
        <v>0</v>
      </c>
      <c r="FE29" s="56">
        <v>0</v>
      </c>
      <c r="FF29" s="56">
        <v>0</v>
      </c>
      <c r="FG29" s="56">
        <v>0</v>
      </c>
      <c r="FH29" s="56">
        <v>0</v>
      </c>
      <c r="FI29" s="56">
        <v>0</v>
      </c>
      <c r="FJ29" s="56">
        <v>0</v>
      </c>
      <c r="FK29" s="56">
        <v>0</v>
      </c>
      <c r="FL29" s="56">
        <v>0</v>
      </c>
      <c r="FM29" s="56">
        <v>0</v>
      </c>
    </row>
    <row r="30" spans="2:169" x14ac:dyDescent="0.4">
      <c r="B30" s="484"/>
      <c r="C30" s="228">
        <v>51</v>
      </c>
      <c r="D30" s="232" t="s">
        <v>161</v>
      </c>
      <c r="E30" s="229">
        <v>45966</v>
      </c>
      <c r="F30" s="206">
        <v>46001</v>
      </c>
      <c r="G30" s="198">
        <f t="shared" si="19"/>
        <v>35</v>
      </c>
      <c r="H30" s="206">
        <f t="shared" si="23"/>
        <v>45966</v>
      </c>
      <c r="I30" s="206">
        <f t="shared" si="24"/>
        <v>46001</v>
      </c>
      <c r="J30" s="199" t="s">
        <v>154</v>
      </c>
      <c r="K30" s="200"/>
      <c r="L30" s="201"/>
      <c r="M30" s="201"/>
      <c r="N30" s="198" t="str">
        <f t="shared" si="20"/>
        <v/>
      </c>
      <c r="O30" s="202" t="str">
        <f t="shared" si="21"/>
        <v>-</v>
      </c>
      <c r="P30" s="205" t="str">
        <f t="shared" si="14"/>
        <v>-</v>
      </c>
      <c r="Q30" s="204">
        <f t="shared" si="15"/>
        <v>0</v>
      </c>
      <c r="R30" s="204">
        <f t="shared" si="22"/>
        <v>0</v>
      </c>
      <c r="S30" s="65">
        <f t="shared" si="7"/>
        <v>0</v>
      </c>
      <c r="T30" s="157">
        <f t="shared" si="10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8"/>
      <c r="BP30" s="168"/>
      <c r="BQ30" s="168"/>
      <c r="BR30" s="168"/>
      <c r="BS30" s="168"/>
      <c r="BT30" s="168"/>
      <c r="BU30" s="168"/>
      <c r="BV30" s="168"/>
      <c r="BW30" s="168"/>
      <c r="BX30" s="168"/>
      <c r="BY30" s="168"/>
      <c r="BZ30" s="168"/>
      <c r="CA30" s="168"/>
      <c r="CB30" s="168"/>
      <c r="CC30" s="168"/>
      <c r="CD30" s="168"/>
      <c r="CE30" s="168"/>
      <c r="CF30" s="168"/>
      <c r="CG30" s="168"/>
      <c r="CH30" s="168"/>
      <c r="CI30" s="168"/>
      <c r="CJ30" s="168"/>
      <c r="CK30" s="168"/>
      <c r="CL30" s="168"/>
      <c r="CM30" s="168"/>
      <c r="CN30" s="168"/>
      <c r="CO30" s="168"/>
      <c r="CP30" s="168"/>
      <c r="CQ30" s="168"/>
      <c r="CR30" s="168"/>
      <c r="CS30" s="168"/>
      <c r="CT30" s="168"/>
      <c r="CU30" s="168"/>
      <c r="CV30" s="168"/>
      <c r="CW30" s="168"/>
      <c r="CX30" s="168"/>
      <c r="CY30" s="168"/>
      <c r="CZ30" s="168"/>
      <c r="DA30" s="168"/>
      <c r="DB30" s="168"/>
      <c r="DC30" s="168"/>
      <c r="DD30" s="168"/>
      <c r="DE30" s="168"/>
      <c r="DF30" s="168"/>
      <c r="DG30" s="56">
        <v>0</v>
      </c>
      <c r="DH30" s="56">
        <v>0</v>
      </c>
      <c r="DI30" s="56">
        <v>0</v>
      </c>
      <c r="DJ30" s="56">
        <v>0</v>
      </c>
      <c r="DK30" s="56">
        <v>0</v>
      </c>
      <c r="DL30" s="56">
        <v>0</v>
      </c>
      <c r="DM30" s="56">
        <v>0</v>
      </c>
      <c r="DN30" s="56">
        <v>0</v>
      </c>
      <c r="DO30" s="56">
        <v>0</v>
      </c>
      <c r="DP30" s="56">
        <v>0</v>
      </c>
      <c r="DQ30" s="56">
        <v>0</v>
      </c>
      <c r="DR30" s="56">
        <v>0</v>
      </c>
      <c r="DS30" s="56">
        <v>0</v>
      </c>
      <c r="DT30" s="56">
        <v>0</v>
      </c>
      <c r="DU30" s="56">
        <v>0</v>
      </c>
      <c r="DV30" s="56">
        <v>0</v>
      </c>
      <c r="DW30" s="56">
        <v>0</v>
      </c>
      <c r="DX30" s="56">
        <v>0</v>
      </c>
      <c r="DY30" s="56">
        <v>0</v>
      </c>
      <c r="DZ30" s="56">
        <v>0</v>
      </c>
      <c r="EA30" s="56">
        <v>0</v>
      </c>
      <c r="EB30" s="56">
        <v>0</v>
      </c>
      <c r="EC30" s="23">
        <v>0</v>
      </c>
      <c r="ED30" s="56">
        <v>0</v>
      </c>
      <c r="EE30" s="56">
        <v>0</v>
      </c>
      <c r="EF30" s="23">
        <v>0</v>
      </c>
      <c r="EG30" s="23">
        <v>0</v>
      </c>
      <c r="EH30" s="23">
        <v>0</v>
      </c>
      <c r="EI30" s="56">
        <v>0</v>
      </c>
      <c r="EJ30" s="56">
        <v>0</v>
      </c>
      <c r="EK30" s="56">
        <v>0</v>
      </c>
      <c r="EL30" s="23">
        <v>0</v>
      </c>
      <c r="EM30" s="23">
        <v>0</v>
      </c>
      <c r="EN30" s="56">
        <v>0</v>
      </c>
      <c r="EO30" s="56">
        <v>0</v>
      </c>
      <c r="EP30" s="56">
        <v>0</v>
      </c>
      <c r="EQ30" s="56">
        <v>0</v>
      </c>
      <c r="ER30" s="56">
        <v>0</v>
      </c>
      <c r="ES30" s="56">
        <v>0</v>
      </c>
      <c r="ET30" s="56">
        <v>0</v>
      </c>
      <c r="EU30" s="56">
        <v>0</v>
      </c>
      <c r="EV30" s="56">
        <v>0</v>
      </c>
      <c r="EW30" s="56">
        <v>0</v>
      </c>
      <c r="EX30" s="56">
        <v>0</v>
      </c>
      <c r="EY30" s="56">
        <v>0</v>
      </c>
      <c r="EZ30" s="56">
        <v>0</v>
      </c>
      <c r="FA30" s="56">
        <v>0</v>
      </c>
      <c r="FB30" s="56">
        <v>0</v>
      </c>
      <c r="FC30" s="56">
        <v>0</v>
      </c>
      <c r="FD30" s="56">
        <v>0</v>
      </c>
      <c r="FE30" s="56">
        <v>0</v>
      </c>
      <c r="FF30" s="56">
        <v>0</v>
      </c>
      <c r="FG30" s="56">
        <v>0</v>
      </c>
      <c r="FH30" s="56">
        <v>0</v>
      </c>
      <c r="FI30" s="56">
        <v>0</v>
      </c>
      <c r="FJ30" s="56">
        <v>0</v>
      </c>
      <c r="FK30" s="56">
        <v>0</v>
      </c>
      <c r="FL30" s="56">
        <v>0</v>
      </c>
      <c r="FM30" s="56">
        <v>0</v>
      </c>
    </row>
    <row r="31" spans="2:169" x14ac:dyDescent="0.4">
      <c r="B31" s="484"/>
      <c r="C31" s="228">
        <v>52</v>
      </c>
      <c r="D31" s="232" t="s">
        <v>162</v>
      </c>
      <c r="E31" s="229">
        <v>45981</v>
      </c>
      <c r="F31" s="206">
        <v>46009</v>
      </c>
      <c r="G31" s="198">
        <f t="shared" si="19"/>
        <v>28</v>
      </c>
      <c r="H31" s="206">
        <f t="shared" si="23"/>
        <v>45981</v>
      </c>
      <c r="I31" s="206">
        <f t="shared" si="24"/>
        <v>46009</v>
      </c>
      <c r="J31" s="199" t="s">
        <v>154</v>
      </c>
      <c r="K31" s="200"/>
      <c r="L31" s="201"/>
      <c r="M31" s="201"/>
      <c r="N31" s="198" t="str">
        <f t="shared" si="20"/>
        <v/>
      </c>
      <c r="O31" s="202" t="str">
        <f t="shared" si="21"/>
        <v>-</v>
      </c>
      <c r="P31" s="205" t="str">
        <f t="shared" si="14"/>
        <v>-</v>
      </c>
      <c r="Q31" s="204">
        <f t="shared" si="15"/>
        <v>0</v>
      </c>
      <c r="R31" s="204">
        <f t="shared" si="22"/>
        <v>0</v>
      </c>
      <c r="S31" s="65">
        <f t="shared" si="7"/>
        <v>0</v>
      </c>
      <c r="T31" s="157">
        <f t="shared" si="10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8"/>
      <c r="BP31" s="168"/>
      <c r="BQ31" s="168"/>
      <c r="BR31" s="168"/>
      <c r="BS31" s="168"/>
      <c r="BT31" s="168"/>
      <c r="BU31" s="168"/>
      <c r="BV31" s="168"/>
      <c r="BW31" s="168"/>
      <c r="BX31" s="168"/>
      <c r="BY31" s="168"/>
      <c r="BZ31" s="168"/>
      <c r="CA31" s="168"/>
      <c r="CB31" s="168"/>
      <c r="CC31" s="168"/>
      <c r="CD31" s="168"/>
      <c r="CE31" s="168"/>
      <c r="CF31" s="168"/>
      <c r="CG31" s="168"/>
      <c r="CH31" s="168"/>
      <c r="CI31" s="168"/>
      <c r="CJ31" s="168"/>
      <c r="CK31" s="168"/>
      <c r="CL31" s="168"/>
      <c r="CM31" s="168"/>
      <c r="CN31" s="168"/>
      <c r="CO31" s="168"/>
      <c r="CP31" s="168"/>
      <c r="CQ31" s="168"/>
      <c r="CR31" s="168"/>
      <c r="CS31" s="168"/>
      <c r="CT31" s="168"/>
      <c r="CU31" s="168"/>
      <c r="CV31" s="168"/>
      <c r="CW31" s="168"/>
      <c r="CX31" s="168"/>
      <c r="CY31" s="168"/>
      <c r="CZ31" s="168"/>
      <c r="DA31" s="168"/>
      <c r="DB31" s="168"/>
      <c r="DC31" s="168"/>
      <c r="DD31" s="168"/>
      <c r="DE31" s="168"/>
      <c r="DF31" s="168"/>
      <c r="DG31" s="56">
        <v>0</v>
      </c>
      <c r="DH31" s="56">
        <v>0</v>
      </c>
      <c r="DI31" s="56">
        <v>0</v>
      </c>
      <c r="DJ31" s="56">
        <v>0</v>
      </c>
      <c r="DK31" s="56">
        <v>0</v>
      </c>
      <c r="DL31" s="56">
        <v>0</v>
      </c>
      <c r="DM31" s="56">
        <v>0</v>
      </c>
      <c r="DN31" s="56">
        <v>0</v>
      </c>
      <c r="DO31" s="56">
        <v>0</v>
      </c>
      <c r="DP31" s="56">
        <v>0</v>
      </c>
      <c r="DQ31" s="56">
        <v>0</v>
      </c>
      <c r="DR31" s="56">
        <v>0</v>
      </c>
      <c r="DS31" s="56">
        <v>0</v>
      </c>
      <c r="DT31" s="56">
        <v>0</v>
      </c>
      <c r="DU31" s="56">
        <v>0</v>
      </c>
      <c r="DV31" s="56">
        <v>0</v>
      </c>
      <c r="DW31" s="56">
        <v>0</v>
      </c>
      <c r="DX31" s="56">
        <v>0</v>
      </c>
      <c r="DY31" s="56">
        <v>0</v>
      </c>
      <c r="DZ31" s="56">
        <v>0</v>
      </c>
      <c r="EA31" s="56">
        <v>0</v>
      </c>
      <c r="EB31" s="56">
        <v>0</v>
      </c>
      <c r="EC31" s="23">
        <v>0</v>
      </c>
      <c r="ED31" s="56">
        <v>0</v>
      </c>
      <c r="EE31" s="56">
        <v>0</v>
      </c>
      <c r="EF31" s="23">
        <v>0</v>
      </c>
      <c r="EG31" s="23">
        <v>0</v>
      </c>
      <c r="EH31" s="23">
        <v>0</v>
      </c>
      <c r="EI31" s="56">
        <v>0</v>
      </c>
      <c r="EJ31" s="56">
        <v>0</v>
      </c>
      <c r="EK31" s="56">
        <v>0</v>
      </c>
      <c r="EL31" s="23">
        <v>0</v>
      </c>
      <c r="EM31" s="23">
        <v>0</v>
      </c>
      <c r="EN31" s="56">
        <v>0</v>
      </c>
      <c r="EO31" s="56">
        <v>0</v>
      </c>
      <c r="EP31" s="56">
        <v>0</v>
      </c>
      <c r="EQ31" s="56">
        <v>0</v>
      </c>
      <c r="ER31" s="56">
        <v>0</v>
      </c>
      <c r="ES31" s="56">
        <v>0</v>
      </c>
      <c r="ET31" s="56">
        <v>0</v>
      </c>
      <c r="EU31" s="56">
        <v>0</v>
      </c>
      <c r="EV31" s="56">
        <v>0</v>
      </c>
      <c r="EW31" s="56">
        <v>0</v>
      </c>
      <c r="EX31" s="56">
        <v>0</v>
      </c>
      <c r="EY31" s="56">
        <v>0</v>
      </c>
      <c r="EZ31" s="56">
        <v>0</v>
      </c>
      <c r="FA31" s="56">
        <v>0</v>
      </c>
      <c r="FB31" s="56">
        <v>0</v>
      </c>
      <c r="FC31" s="56">
        <v>0</v>
      </c>
      <c r="FD31" s="56">
        <v>0</v>
      </c>
      <c r="FE31" s="56">
        <v>0</v>
      </c>
      <c r="FF31" s="56">
        <v>0</v>
      </c>
      <c r="FG31" s="56">
        <v>0</v>
      </c>
      <c r="FH31" s="56">
        <v>0</v>
      </c>
      <c r="FI31" s="56">
        <v>0</v>
      </c>
      <c r="FJ31" s="56">
        <v>0</v>
      </c>
      <c r="FK31" s="56">
        <v>0</v>
      </c>
      <c r="FL31" s="56">
        <v>0</v>
      </c>
      <c r="FM31" s="56">
        <v>0</v>
      </c>
    </row>
    <row r="32" spans="2:169" x14ac:dyDescent="0.4">
      <c r="B32" s="484"/>
      <c r="C32" s="60">
        <v>53</v>
      </c>
      <c r="D32" s="231" t="s">
        <v>163</v>
      </c>
      <c r="E32" s="206">
        <v>45971</v>
      </c>
      <c r="F32" s="206">
        <v>46006</v>
      </c>
      <c r="G32" s="198">
        <f t="shared" si="19"/>
        <v>35</v>
      </c>
      <c r="H32" s="206">
        <f t="shared" si="23"/>
        <v>45971</v>
      </c>
      <c r="I32" s="206">
        <f t="shared" si="24"/>
        <v>46006</v>
      </c>
      <c r="J32" s="199" t="s">
        <v>154</v>
      </c>
      <c r="K32" s="200"/>
      <c r="L32" s="201"/>
      <c r="M32" s="201"/>
      <c r="N32" s="198" t="str">
        <f t="shared" si="20"/>
        <v/>
      </c>
      <c r="O32" s="202" t="str">
        <f t="shared" si="21"/>
        <v>-</v>
      </c>
      <c r="P32" s="205" t="str">
        <f t="shared" si="14"/>
        <v>-</v>
      </c>
      <c r="Q32" s="204">
        <f t="shared" si="15"/>
        <v>0</v>
      </c>
      <c r="R32" s="204">
        <f t="shared" si="22"/>
        <v>0</v>
      </c>
      <c r="S32" s="65">
        <f t="shared" si="7"/>
        <v>0</v>
      </c>
      <c r="T32" s="157">
        <f t="shared" si="10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8"/>
      <c r="BP32" s="168"/>
      <c r="BQ32" s="168"/>
      <c r="BR32" s="168"/>
      <c r="BS32" s="168"/>
      <c r="BT32" s="168"/>
      <c r="BU32" s="168"/>
      <c r="BV32" s="168"/>
      <c r="BW32" s="168"/>
      <c r="BX32" s="168"/>
      <c r="BY32" s="168"/>
      <c r="BZ32" s="168"/>
      <c r="CA32" s="168"/>
      <c r="CB32" s="168"/>
      <c r="CC32" s="168"/>
      <c r="CD32" s="168"/>
      <c r="CE32" s="168"/>
      <c r="CF32" s="168"/>
      <c r="CG32" s="168"/>
      <c r="CH32" s="168"/>
      <c r="CI32" s="168"/>
      <c r="CJ32" s="168"/>
      <c r="CK32" s="168"/>
      <c r="CL32" s="168"/>
      <c r="CM32" s="168"/>
      <c r="CN32" s="168"/>
      <c r="CO32" s="168"/>
      <c r="CP32" s="168"/>
      <c r="CQ32" s="168"/>
      <c r="CR32" s="168"/>
      <c r="CS32" s="168"/>
      <c r="CT32" s="168"/>
      <c r="CU32" s="168"/>
      <c r="CV32" s="168"/>
      <c r="CW32" s="168"/>
      <c r="CX32" s="168"/>
      <c r="CY32" s="168"/>
      <c r="CZ32" s="168"/>
      <c r="DA32" s="168"/>
      <c r="DB32" s="168"/>
      <c r="DC32" s="168"/>
      <c r="DD32" s="168"/>
      <c r="DE32" s="168"/>
      <c r="DF32" s="168"/>
      <c r="DG32" s="56">
        <v>0</v>
      </c>
      <c r="DH32" s="56">
        <v>0</v>
      </c>
      <c r="DI32" s="56">
        <v>0</v>
      </c>
      <c r="DJ32" s="56">
        <v>0</v>
      </c>
      <c r="DK32" s="56">
        <v>0</v>
      </c>
      <c r="DL32" s="56">
        <v>0</v>
      </c>
      <c r="DM32" s="56">
        <v>0</v>
      </c>
      <c r="DN32" s="56">
        <v>0</v>
      </c>
      <c r="DO32" s="56">
        <v>0</v>
      </c>
      <c r="DP32" s="56">
        <v>0</v>
      </c>
      <c r="DQ32" s="56">
        <v>0</v>
      </c>
      <c r="DR32" s="56">
        <v>0</v>
      </c>
      <c r="DS32" s="56">
        <v>0</v>
      </c>
      <c r="DT32" s="56">
        <v>0</v>
      </c>
      <c r="DU32" s="56">
        <v>0</v>
      </c>
      <c r="DV32" s="56">
        <v>0</v>
      </c>
      <c r="DW32" s="56">
        <v>0</v>
      </c>
      <c r="DX32" s="56">
        <v>0</v>
      </c>
      <c r="DY32" s="56">
        <v>0</v>
      </c>
      <c r="DZ32" s="56">
        <v>0</v>
      </c>
      <c r="EA32" s="56">
        <v>0</v>
      </c>
      <c r="EB32" s="56">
        <v>0</v>
      </c>
      <c r="EC32" s="23">
        <v>0</v>
      </c>
      <c r="ED32" s="56">
        <v>0</v>
      </c>
      <c r="EE32" s="56">
        <v>0</v>
      </c>
      <c r="EF32" s="23">
        <v>0</v>
      </c>
      <c r="EG32" s="23">
        <v>0</v>
      </c>
      <c r="EH32" s="23">
        <v>0</v>
      </c>
      <c r="EI32" s="56">
        <v>0</v>
      </c>
      <c r="EJ32" s="56">
        <v>0</v>
      </c>
      <c r="EK32" s="56">
        <v>0</v>
      </c>
      <c r="EL32" s="23">
        <v>0</v>
      </c>
      <c r="EM32" s="23">
        <v>0</v>
      </c>
      <c r="EN32" s="56">
        <v>0</v>
      </c>
      <c r="EO32" s="56">
        <v>0</v>
      </c>
      <c r="EP32" s="56">
        <v>0</v>
      </c>
      <c r="EQ32" s="56">
        <v>0</v>
      </c>
      <c r="ER32" s="56">
        <v>0</v>
      </c>
      <c r="ES32" s="56">
        <v>0</v>
      </c>
      <c r="ET32" s="56">
        <v>0</v>
      </c>
      <c r="EU32" s="56">
        <v>0</v>
      </c>
      <c r="EV32" s="56">
        <v>0</v>
      </c>
      <c r="EW32" s="56">
        <v>0</v>
      </c>
      <c r="EX32" s="56">
        <v>0</v>
      </c>
      <c r="EY32" s="56">
        <v>0</v>
      </c>
      <c r="EZ32" s="56">
        <v>0</v>
      </c>
      <c r="FA32" s="56">
        <v>0</v>
      </c>
      <c r="FB32" s="56">
        <v>0</v>
      </c>
      <c r="FC32" s="56">
        <v>0</v>
      </c>
      <c r="FD32" s="56">
        <v>0</v>
      </c>
      <c r="FE32" s="56">
        <v>0</v>
      </c>
      <c r="FF32" s="56">
        <v>0</v>
      </c>
      <c r="FG32" s="56">
        <v>0</v>
      </c>
      <c r="FH32" s="56">
        <v>0</v>
      </c>
      <c r="FI32" s="56">
        <v>0</v>
      </c>
      <c r="FJ32" s="56">
        <v>0</v>
      </c>
      <c r="FK32" s="56">
        <v>0</v>
      </c>
      <c r="FL32" s="56">
        <v>0</v>
      </c>
      <c r="FM32" s="56">
        <v>0</v>
      </c>
    </row>
    <row r="33" spans="2:169" x14ac:dyDescent="0.4">
      <c r="B33" s="484"/>
      <c r="C33" s="60">
        <v>54</v>
      </c>
      <c r="D33" s="225" t="s">
        <v>164</v>
      </c>
      <c r="E33" s="206">
        <v>45996</v>
      </c>
      <c r="F33" s="206">
        <v>46008</v>
      </c>
      <c r="G33" s="198">
        <f t="shared" si="19"/>
        <v>12</v>
      </c>
      <c r="H33" s="206">
        <f t="shared" si="23"/>
        <v>45996</v>
      </c>
      <c r="I33" s="206">
        <f t="shared" si="24"/>
        <v>46008</v>
      </c>
      <c r="J33" s="199" t="s">
        <v>154</v>
      </c>
      <c r="K33" s="200"/>
      <c r="L33" s="201"/>
      <c r="M33" s="201"/>
      <c r="N33" s="198" t="str">
        <f t="shared" si="20"/>
        <v/>
      </c>
      <c r="O33" s="202" t="str">
        <f t="shared" si="21"/>
        <v>-</v>
      </c>
      <c r="P33" s="205" t="str">
        <f t="shared" si="14"/>
        <v>-</v>
      </c>
      <c r="Q33" s="204">
        <f t="shared" si="15"/>
        <v>0</v>
      </c>
      <c r="R33" s="204">
        <f t="shared" si="22"/>
        <v>0</v>
      </c>
      <c r="S33" s="65">
        <f t="shared" si="7"/>
        <v>0</v>
      </c>
      <c r="T33" s="157">
        <f t="shared" si="10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8"/>
      <c r="BP33" s="168"/>
      <c r="BQ33" s="168"/>
      <c r="BR33" s="168"/>
      <c r="BS33" s="168"/>
      <c r="BT33" s="168"/>
      <c r="BU33" s="168"/>
      <c r="BV33" s="168"/>
      <c r="BW33" s="168"/>
      <c r="BX33" s="168"/>
      <c r="BY33" s="168"/>
      <c r="BZ33" s="168"/>
      <c r="CA33" s="168"/>
      <c r="CB33" s="168"/>
      <c r="CC33" s="168"/>
      <c r="CD33" s="168"/>
      <c r="CE33" s="168"/>
      <c r="CF33" s="168"/>
      <c r="CG33" s="168"/>
      <c r="CH33" s="168"/>
      <c r="CI33" s="168"/>
      <c r="CJ33" s="168"/>
      <c r="CK33" s="168"/>
      <c r="CL33" s="168"/>
      <c r="CM33" s="168"/>
      <c r="CN33" s="168"/>
      <c r="CO33" s="168"/>
      <c r="CP33" s="168"/>
      <c r="CQ33" s="168"/>
      <c r="CR33" s="168"/>
      <c r="CS33" s="168"/>
      <c r="CT33" s="168"/>
      <c r="CU33" s="168"/>
      <c r="CV33" s="168"/>
      <c r="CW33" s="168"/>
      <c r="CX33" s="168"/>
      <c r="CY33" s="168"/>
      <c r="CZ33" s="168"/>
      <c r="DA33" s="168"/>
      <c r="DB33" s="168"/>
      <c r="DC33" s="168"/>
      <c r="DD33" s="168"/>
      <c r="DE33" s="168"/>
      <c r="DF33" s="168"/>
      <c r="DG33" s="56">
        <v>0</v>
      </c>
      <c r="DH33" s="56">
        <v>0</v>
      </c>
      <c r="DI33" s="56">
        <v>0</v>
      </c>
      <c r="DJ33" s="56">
        <v>0</v>
      </c>
      <c r="DK33" s="56">
        <v>0</v>
      </c>
      <c r="DL33" s="56">
        <v>0</v>
      </c>
      <c r="DM33" s="56">
        <v>0</v>
      </c>
      <c r="DN33" s="56">
        <v>0</v>
      </c>
      <c r="DO33" s="56">
        <v>0</v>
      </c>
      <c r="DP33" s="56">
        <v>0</v>
      </c>
      <c r="DQ33" s="56">
        <v>0</v>
      </c>
      <c r="DR33" s="56">
        <v>0</v>
      </c>
      <c r="DS33" s="56">
        <v>0</v>
      </c>
      <c r="DT33" s="56">
        <v>0</v>
      </c>
      <c r="DU33" s="56">
        <v>0</v>
      </c>
      <c r="DV33" s="56">
        <v>0</v>
      </c>
      <c r="DW33" s="56">
        <v>0</v>
      </c>
      <c r="DX33" s="56">
        <v>0</v>
      </c>
      <c r="DY33" s="56">
        <v>0</v>
      </c>
      <c r="DZ33" s="56">
        <v>0</v>
      </c>
      <c r="EA33" s="56">
        <v>0</v>
      </c>
      <c r="EB33" s="56">
        <v>0</v>
      </c>
      <c r="EC33" s="23">
        <v>0</v>
      </c>
      <c r="ED33" s="56">
        <v>0</v>
      </c>
      <c r="EE33" s="56">
        <v>0</v>
      </c>
      <c r="EF33" s="23">
        <v>0</v>
      </c>
      <c r="EG33" s="23">
        <v>0</v>
      </c>
      <c r="EH33" s="23">
        <v>0</v>
      </c>
      <c r="EI33" s="56">
        <v>0</v>
      </c>
      <c r="EJ33" s="56">
        <v>0</v>
      </c>
      <c r="EK33" s="56">
        <v>0</v>
      </c>
      <c r="EL33" s="23">
        <v>0</v>
      </c>
      <c r="EM33" s="23">
        <v>0</v>
      </c>
      <c r="EN33" s="56">
        <v>0</v>
      </c>
      <c r="EO33" s="56">
        <v>0</v>
      </c>
      <c r="EP33" s="56">
        <v>0</v>
      </c>
      <c r="EQ33" s="56">
        <v>0</v>
      </c>
      <c r="ER33" s="56">
        <v>0</v>
      </c>
      <c r="ES33" s="56">
        <v>0</v>
      </c>
      <c r="ET33" s="56">
        <v>0</v>
      </c>
      <c r="EU33" s="56">
        <v>0</v>
      </c>
      <c r="EV33" s="56">
        <v>0</v>
      </c>
      <c r="EW33" s="56">
        <v>0</v>
      </c>
      <c r="EX33" s="56">
        <v>0</v>
      </c>
      <c r="EY33" s="56">
        <v>0</v>
      </c>
      <c r="EZ33" s="56">
        <v>0</v>
      </c>
      <c r="FA33" s="56">
        <v>0</v>
      </c>
      <c r="FB33" s="56">
        <v>0</v>
      </c>
      <c r="FC33" s="56">
        <v>0</v>
      </c>
      <c r="FD33" s="56">
        <v>0</v>
      </c>
      <c r="FE33" s="56">
        <v>0</v>
      </c>
      <c r="FF33" s="56">
        <v>0</v>
      </c>
      <c r="FG33" s="56">
        <v>0</v>
      </c>
      <c r="FH33" s="56">
        <v>0</v>
      </c>
      <c r="FI33" s="56">
        <v>0</v>
      </c>
      <c r="FJ33" s="56">
        <v>0</v>
      </c>
      <c r="FK33" s="56">
        <v>0</v>
      </c>
      <c r="FL33" s="56">
        <v>0</v>
      </c>
      <c r="FM33" s="56">
        <v>0</v>
      </c>
    </row>
    <row r="34" spans="2:169" x14ac:dyDescent="0.4">
      <c r="B34" s="484"/>
      <c r="C34" s="60">
        <v>55</v>
      </c>
      <c r="D34" s="225" t="s">
        <v>169</v>
      </c>
      <c r="E34" s="206">
        <v>45772</v>
      </c>
      <c r="F34" s="206">
        <v>45823</v>
      </c>
      <c r="G34" s="208">
        <f t="shared" si="19"/>
        <v>51</v>
      </c>
      <c r="H34" s="206">
        <v>45819</v>
      </c>
      <c r="I34" s="206">
        <f>H34+G34</f>
        <v>45870</v>
      </c>
      <c r="J34" s="199" t="s">
        <v>154</v>
      </c>
      <c r="K34" s="200">
        <v>21000</v>
      </c>
      <c r="L34" s="201"/>
      <c r="M34" s="201"/>
      <c r="N34" s="198" t="str">
        <f t="shared" si="20"/>
        <v/>
      </c>
      <c r="O34" s="202" t="str">
        <f t="shared" si="21"/>
        <v>-</v>
      </c>
      <c r="P34" s="205">
        <f>Q34/K34</f>
        <v>0.29328571428571426</v>
      </c>
      <c r="Q34" s="204">
        <f t="shared" si="15"/>
        <v>6159</v>
      </c>
      <c r="R34" s="204">
        <f t="shared" si="22"/>
        <v>14841</v>
      </c>
      <c r="S34" s="65">
        <f t="shared" si="7"/>
        <v>6159</v>
      </c>
      <c r="T34" s="157">
        <f t="shared" si="10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68"/>
      <c r="CM34" s="168"/>
      <c r="CN34" s="168"/>
      <c r="CO34" s="168"/>
      <c r="CP34" s="168"/>
      <c r="CQ34" s="168"/>
      <c r="CR34" s="168"/>
      <c r="CS34" s="168"/>
      <c r="CT34" s="168"/>
      <c r="CU34" s="168"/>
      <c r="CV34" s="168"/>
      <c r="CW34" s="168"/>
      <c r="CX34" s="168"/>
      <c r="CY34" s="168"/>
      <c r="CZ34" s="168"/>
      <c r="DA34" s="168"/>
      <c r="DB34" s="168"/>
      <c r="DC34" s="168"/>
      <c r="DD34" s="168"/>
      <c r="DE34" s="168"/>
      <c r="DF34" s="168"/>
      <c r="DG34" s="56">
        <v>0</v>
      </c>
      <c r="DH34" s="56">
        <v>0</v>
      </c>
      <c r="DI34" s="56">
        <v>0</v>
      </c>
      <c r="DJ34" s="56">
        <v>0</v>
      </c>
      <c r="DK34" s="56">
        <v>0</v>
      </c>
      <c r="DL34" s="56">
        <v>0</v>
      </c>
      <c r="DM34" s="56">
        <v>0</v>
      </c>
      <c r="DN34" s="56">
        <v>0</v>
      </c>
      <c r="DO34" s="56">
        <v>0</v>
      </c>
      <c r="DP34" s="56">
        <v>300</v>
      </c>
      <c r="DQ34" s="56">
        <v>250</v>
      </c>
      <c r="DR34" s="56">
        <v>250</v>
      </c>
      <c r="DS34" s="56">
        <v>250</v>
      </c>
      <c r="DT34" s="56">
        <v>300</v>
      </c>
      <c r="DU34" s="56">
        <v>300</v>
      </c>
      <c r="DV34" s="56">
        <v>300</v>
      </c>
      <c r="DW34" s="56">
        <v>300</v>
      </c>
      <c r="DX34" s="56">
        <v>500</v>
      </c>
      <c r="DY34" s="56">
        <v>500</v>
      </c>
      <c r="DZ34" s="56">
        <v>500</v>
      </c>
      <c r="EA34" s="56">
        <v>0</v>
      </c>
      <c r="EB34" s="56">
        <v>1000</v>
      </c>
      <c r="EC34" s="23">
        <v>0</v>
      </c>
      <c r="ED34" s="56">
        <v>327</v>
      </c>
      <c r="EE34" s="56">
        <v>0</v>
      </c>
      <c r="EF34" s="23">
        <v>0</v>
      </c>
      <c r="EG34" s="23">
        <v>0</v>
      </c>
      <c r="EH34" s="23">
        <v>0</v>
      </c>
      <c r="EI34" s="56">
        <v>0</v>
      </c>
      <c r="EJ34" s="56">
        <v>0</v>
      </c>
      <c r="EK34" s="56">
        <v>220</v>
      </c>
      <c r="EL34" s="23">
        <v>0</v>
      </c>
      <c r="EM34" s="23">
        <v>0</v>
      </c>
      <c r="EN34" s="56">
        <v>0</v>
      </c>
      <c r="EO34" s="56">
        <v>0</v>
      </c>
      <c r="EP34" s="56">
        <v>0</v>
      </c>
      <c r="EQ34" s="56">
        <v>0</v>
      </c>
      <c r="ER34" s="56">
        <v>0</v>
      </c>
      <c r="ES34" s="56">
        <v>0</v>
      </c>
      <c r="ET34" s="56">
        <v>0</v>
      </c>
      <c r="EU34" s="56">
        <v>0</v>
      </c>
      <c r="EV34" s="56">
        <v>0</v>
      </c>
      <c r="EW34" s="56">
        <v>0</v>
      </c>
      <c r="EX34" s="56">
        <v>0</v>
      </c>
      <c r="EY34" s="56">
        <v>0</v>
      </c>
      <c r="EZ34" s="56">
        <v>0</v>
      </c>
      <c r="FA34" s="56">
        <v>0</v>
      </c>
      <c r="FB34" s="56">
        <v>0</v>
      </c>
      <c r="FC34" s="56">
        <v>0</v>
      </c>
      <c r="FD34" s="56">
        <v>0</v>
      </c>
      <c r="FE34" s="56">
        <v>0</v>
      </c>
      <c r="FF34" s="56">
        <v>0</v>
      </c>
      <c r="FG34" s="56">
        <v>0</v>
      </c>
      <c r="FH34" s="56">
        <v>362</v>
      </c>
      <c r="FI34" s="56">
        <v>0</v>
      </c>
      <c r="FJ34" s="56">
        <v>0</v>
      </c>
      <c r="FK34" s="56">
        <v>100</v>
      </c>
      <c r="FL34" s="56">
        <v>0</v>
      </c>
      <c r="FM34" s="56">
        <v>400</v>
      </c>
    </row>
    <row r="35" spans="2:169" x14ac:dyDescent="0.4">
      <c r="B35" s="484"/>
      <c r="C35" s="60">
        <v>56</v>
      </c>
      <c r="D35" s="225" t="s">
        <v>170</v>
      </c>
      <c r="E35" s="206">
        <v>45773</v>
      </c>
      <c r="F35" s="206">
        <v>45824</v>
      </c>
      <c r="G35" s="208">
        <f t="shared" si="19"/>
        <v>51</v>
      </c>
      <c r="H35" s="206">
        <v>45820</v>
      </c>
      <c r="I35" s="206">
        <v>45871</v>
      </c>
      <c r="J35" s="199" t="s">
        <v>154</v>
      </c>
      <c r="K35" s="200">
        <v>21000</v>
      </c>
      <c r="L35" s="201"/>
      <c r="M35" s="201"/>
      <c r="N35" s="198" t="str">
        <f t="shared" si="20"/>
        <v/>
      </c>
      <c r="O35" s="202" t="str">
        <f t="shared" si="21"/>
        <v>-</v>
      </c>
      <c r="P35" s="205">
        <f t="shared" ref="P35:P37" si="25">Q35/K35</f>
        <v>0.26747619047619048</v>
      </c>
      <c r="Q35" s="204">
        <f t="shared" si="15"/>
        <v>5617</v>
      </c>
      <c r="R35" s="204">
        <f t="shared" si="22"/>
        <v>15383</v>
      </c>
      <c r="S35" s="65">
        <f t="shared" si="7"/>
        <v>5617</v>
      </c>
      <c r="T35" s="157">
        <f t="shared" si="10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8"/>
      <c r="BP35" s="168"/>
      <c r="BQ35" s="168"/>
      <c r="BR35" s="168"/>
      <c r="BS35" s="168"/>
      <c r="BT35" s="168"/>
      <c r="BU35" s="168"/>
      <c r="BV35" s="168"/>
      <c r="BW35" s="168"/>
      <c r="BX35" s="168"/>
      <c r="BY35" s="168"/>
      <c r="BZ35" s="168"/>
      <c r="CA35" s="168"/>
      <c r="CB35" s="168"/>
      <c r="CC35" s="168"/>
      <c r="CD35" s="168"/>
      <c r="CE35" s="168"/>
      <c r="CF35" s="168"/>
      <c r="CG35" s="168"/>
      <c r="CH35" s="168"/>
      <c r="CI35" s="168"/>
      <c r="CJ35" s="168"/>
      <c r="CK35" s="168"/>
      <c r="CL35" s="168"/>
      <c r="CM35" s="168"/>
      <c r="CN35" s="168"/>
      <c r="CO35" s="168"/>
      <c r="CP35" s="168"/>
      <c r="CQ35" s="168"/>
      <c r="CR35" s="168"/>
      <c r="CS35" s="168"/>
      <c r="CT35" s="168"/>
      <c r="CU35" s="168"/>
      <c r="CV35" s="168"/>
      <c r="CW35" s="168"/>
      <c r="CX35" s="168"/>
      <c r="CY35" s="168"/>
      <c r="CZ35" s="168"/>
      <c r="DA35" s="168"/>
      <c r="DB35" s="168"/>
      <c r="DC35" s="168"/>
      <c r="DD35" s="168"/>
      <c r="DE35" s="168"/>
      <c r="DF35" s="168"/>
      <c r="DG35" s="56">
        <v>0</v>
      </c>
      <c r="DH35" s="56">
        <v>0</v>
      </c>
      <c r="DI35" s="56">
        <v>0</v>
      </c>
      <c r="DJ35" s="56">
        <v>0</v>
      </c>
      <c r="DK35" s="56">
        <v>0</v>
      </c>
      <c r="DL35" s="56">
        <v>0</v>
      </c>
      <c r="DM35" s="56">
        <v>0</v>
      </c>
      <c r="DN35" s="56">
        <v>0</v>
      </c>
      <c r="DO35" s="56">
        <v>0</v>
      </c>
      <c r="DP35" s="56">
        <v>0</v>
      </c>
      <c r="DQ35" s="56">
        <v>0</v>
      </c>
      <c r="DR35" s="56">
        <v>0</v>
      </c>
      <c r="DS35" s="56">
        <v>0</v>
      </c>
      <c r="DT35" s="56">
        <v>0</v>
      </c>
      <c r="DU35" s="56">
        <v>0</v>
      </c>
      <c r="DV35" s="56">
        <v>0</v>
      </c>
      <c r="DW35" s="56">
        <v>0</v>
      </c>
      <c r="DX35" s="56">
        <v>80</v>
      </c>
      <c r="DY35" s="56">
        <v>150</v>
      </c>
      <c r="DZ35" s="56">
        <v>0</v>
      </c>
      <c r="EA35" s="56">
        <v>162</v>
      </c>
      <c r="EB35" s="56">
        <v>242</v>
      </c>
      <c r="EC35" s="23">
        <v>325</v>
      </c>
      <c r="ED35" s="56">
        <v>200</v>
      </c>
      <c r="EE35" s="56">
        <v>131</v>
      </c>
      <c r="EF35" s="23">
        <v>160</v>
      </c>
      <c r="EG35" s="23">
        <v>0</v>
      </c>
      <c r="EH35" s="23">
        <v>0</v>
      </c>
      <c r="EI35" s="56">
        <v>250</v>
      </c>
      <c r="EJ35" s="56">
        <v>167</v>
      </c>
      <c r="EK35" s="56">
        <v>120</v>
      </c>
      <c r="EL35" s="23">
        <v>173</v>
      </c>
      <c r="EM35" s="23">
        <v>78</v>
      </c>
      <c r="EN35" s="56">
        <v>117</v>
      </c>
      <c r="EO35" s="56">
        <v>90</v>
      </c>
      <c r="EP35" s="56">
        <v>88</v>
      </c>
      <c r="EQ35" s="56">
        <v>82</v>
      </c>
      <c r="ER35" s="56">
        <v>92</v>
      </c>
      <c r="ES35" s="56">
        <v>105</v>
      </c>
      <c r="ET35" s="56">
        <v>225</v>
      </c>
      <c r="EU35" s="56">
        <v>105</v>
      </c>
      <c r="EV35" s="56">
        <v>100</v>
      </c>
      <c r="EW35" s="56">
        <v>0</v>
      </c>
      <c r="EX35" s="56">
        <v>208</v>
      </c>
      <c r="EY35" s="56">
        <v>205</v>
      </c>
      <c r="EZ35" s="56">
        <v>0</v>
      </c>
      <c r="FA35" s="56">
        <v>197</v>
      </c>
      <c r="FB35" s="56">
        <v>117</v>
      </c>
      <c r="FC35" s="56">
        <v>220</v>
      </c>
      <c r="FD35" s="56">
        <v>0</v>
      </c>
      <c r="FE35" s="56">
        <v>335</v>
      </c>
      <c r="FF35" s="56">
        <v>252</v>
      </c>
      <c r="FG35" s="56">
        <v>268</v>
      </c>
      <c r="FH35" s="56">
        <v>138</v>
      </c>
      <c r="FI35" s="56">
        <v>100</v>
      </c>
      <c r="FJ35" s="56">
        <v>125</v>
      </c>
      <c r="FK35" s="56">
        <v>100</v>
      </c>
      <c r="FL35" s="56">
        <v>0</v>
      </c>
      <c r="FM35" s="56">
        <v>110</v>
      </c>
    </row>
    <row r="36" spans="2:169" x14ac:dyDescent="0.4">
      <c r="B36" s="484"/>
      <c r="C36" s="60">
        <v>57</v>
      </c>
      <c r="D36" s="225" t="s">
        <v>436</v>
      </c>
      <c r="E36" s="206">
        <v>45797</v>
      </c>
      <c r="F36" s="206">
        <v>45828</v>
      </c>
      <c r="G36" s="208">
        <f t="shared" si="19"/>
        <v>31</v>
      </c>
      <c r="H36" s="206">
        <v>45833</v>
      </c>
      <c r="I36" s="206">
        <v>45874</v>
      </c>
      <c r="J36" s="199" t="s">
        <v>154</v>
      </c>
      <c r="K36" s="200">
        <v>21000</v>
      </c>
      <c r="L36" s="201"/>
      <c r="M36" s="201"/>
      <c r="N36" s="198" t="str">
        <f t="shared" si="20"/>
        <v/>
      </c>
      <c r="O36" s="202" t="str">
        <f t="shared" si="21"/>
        <v>-</v>
      </c>
      <c r="P36" s="205">
        <f t="shared" si="25"/>
        <v>6.0952380952380952E-2</v>
      </c>
      <c r="Q36" s="204">
        <f t="shared" si="15"/>
        <v>1280</v>
      </c>
      <c r="R36" s="204">
        <f t="shared" si="22"/>
        <v>19720</v>
      </c>
      <c r="S36" s="65">
        <f t="shared" ref="S36:S67" si="26">SUM(U36:XFD36)</f>
        <v>1280</v>
      </c>
      <c r="T36" s="157">
        <f t="shared" si="10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8"/>
      <c r="BP36" s="168"/>
      <c r="BQ36" s="168"/>
      <c r="BR36" s="168"/>
      <c r="BS36" s="168"/>
      <c r="BT36" s="168"/>
      <c r="BU36" s="168"/>
      <c r="BV36" s="168"/>
      <c r="BW36" s="168"/>
      <c r="BX36" s="168"/>
      <c r="BY36" s="168"/>
      <c r="BZ36" s="168"/>
      <c r="CA36" s="168"/>
      <c r="CB36" s="168"/>
      <c r="CC36" s="168"/>
      <c r="CD36" s="168"/>
      <c r="CE36" s="168"/>
      <c r="CF36" s="168"/>
      <c r="CG36" s="168"/>
      <c r="CH36" s="168"/>
      <c r="CI36" s="168"/>
      <c r="CJ36" s="168"/>
      <c r="CK36" s="168"/>
      <c r="CL36" s="168"/>
      <c r="CM36" s="168"/>
      <c r="CN36" s="168"/>
      <c r="CO36" s="168"/>
      <c r="CP36" s="168"/>
      <c r="CQ36" s="168"/>
      <c r="CR36" s="168"/>
      <c r="CS36" s="168"/>
      <c r="CT36" s="168"/>
      <c r="CU36" s="168"/>
      <c r="CV36" s="168"/>
      <c r="CW36" s="168"/>
      <c r="CX36" s="168"/>
      <c r="CY36" s="168"/>
      <c r="CZ36" s="168"/>
      <c r="DA36" s="168"/>
      <c r="DB36" s="168"/>
      <c r="DC36" s="168"/>
      <c r="DD36" s="168"/>
      <c r="DE36" s="168"/>
      <c r="DF36" s="168"/>
      <c r="DG36" s="56">
        <v>0</v>
      </c>
      <c r="DH36" s="56">
        <v>0</v>
      </c>
      <c r="DI36" s="56">
        <v>0</v>
      </c>
      <c r="DJ36" s="56">
        <v>0</v>
      </c>
      <c r="DK36" s="56">
        <v>0</v>
      </c>
      <c r="DL36" s="56">
        <v>0</v>
      </c>
      <c r="DM36" s="56">
        <v>0</v>
      </c>
      <c r="DN36" s="56">
        <v>0</v>
      </c>
      <c r="DO36" s="56">
        <v>0</v>
      </c>
      <c r="DP36" s="56">
        <v>0</v>
      </c>
      <c r="DQ36" s="56">
        <v>0</v>
      </c>
      <c r="DR36" s="56">
        <v>0</v>
      </c>
      <c r="DS36" s="56">
        <v>0</v>
      </c>
      <c r="DT36" s="56">
        <v>0</v>
      </c>
      <c r="DU36" s="56">
        <v>0</v>
      </c>
      <c r="DV36" s="56">
        <v>0</v>
      </c>
      <c r="DW36" s="56">
        <v>0</v>
      </c>
      <c r="DX36" s="56">
        <v>0</v>
      </c>
      <c r="DY36" s="56">
        <v>0</v>
      </c>
      <c r="DZ36" s="56">
        <v>0</v>
      </c>
      <c r="EA36" s="56">
        <v>0</v>
      </c>
      <c r="EB36" s="56">
        <v>0</v>
      </c>
      <c r="EC36" s="23">
        <v>0</v>
      </c>
      <c r="ED36" s="56">
        <v>0</v>
      </c>
      <c r="EE36" s="56">
        <v>0</v>
      </c>
      <c r="EF36" s="23">
        <v>0</v>
      </c>
      <c r="EG36" s="23">
        <v>0</v>
      </c>
      <c r="EH36" s="23">
        <v>0</v>
      </c>
      <c r="EI36" s="56">
        <v>0</v>
      </c>
      <c r="EJ36" s="56">
        <v>0</v>
      </c>
      <c r="EK36" s="56">
        <v>0</v>
      </c>
      <c r="EL36" s="23">
        <v>0</v>
      </c>
      <c r="EM36" s="23">
        <v>0</v>
      </c>
      <c r="EN36" s="56">
        <v>0</v>
      </c>
      <c r="EO36" s="56">
        <v>0</v>
      </c>
      <c r="EP36" s="56">
        <v>0</v>
      </c>
      <c r="EQ36" s="56">
        <v>0</v>
      </c>
      <c r="ER36" s="56">
        <v>0</v>
      </c>
      <c r="ES36" s="56">
        <v>0</v>
      </c>
      <c r="ET36" s="56">
        <v>0</v>
      </c>
      <c r="EU36" s="56">
        <v>0</v>
      </c>
      <c r="EV36" s="56">
        <v>0</v>
      </c>
      <c r="EW36" s="56">
        <v>175</v>
      </c>
      <c r="EX36" s="56">
        <v>200</v>
      </c>
      <c r="EY36" s="56">
        <v>0</v>
      </c>
      <c r="EZ36" s="56">
        <v>0</v>
      </c>
      <c r="FA36" s="56">
        <v>205</v>
      </c>
      <c r="FB36" s="56">
        <v>0</v>
      </c>
      <c r="FC36" s="56">
        <v>0</v>
      </c>
      <c r="FD36" s="56">
        <v>0</v>
      </c>
      <c r="FE36" s="56">
        <v>0</v>
      </c>
      <c r="FF36" s="56">
        <v>0</v>
      </c>
      <c r="FG36" s="56">
        <v>0</v>
      </c>
      <c r="FH36" s="56">
        <v>0</v>
      </c>
      <c r="FI36" s="56">
        <v>0</v>
      </c>
      <c r="FJ36" s="56">
        <v>200</v>
      </c>
      <c r="FK36" s="56">
        <v>500</v>
      </c>
      <c r="FL36" s="56">
        <v>0</v>
      </c>
      <c r="FM36" s="56">
        <v>0</v>
      </c>
    </row>
    <row r="37" spans="2:169" x14ac:dyDescent="0.4">
      <c r="B37" s="484"/>
      <c r="C37" s="60">
        <v>58</v>
      </c>
      <c r="D37" s="225" t="s">
        <v>428</v>
      </c>
      <c r="E37" s="206">
        <v>45802</v>
      </c>
      <c r="F37" s="206">
        <v>45832</v>
      </c>
      <c r="G37" s="208">
        <f t="shared" si="19"/>
        <v>30</v>
      </c>
      <c r="H37" s="206">
        <v>45838</v>
      </c>
      <c r="I37" s="206">
        <v>45877</v>
      </c>
      <c r="J37" s="199" t="s">
        <v>154</v>
      </c>
      <c r="K37" s="200">
        <v>21000</v>
      </c>
      <c r="L37" s="201"/>
      <c r="M37" s="201"/>
      <c r="N37" s="198" t="str">
        <f t="shared" si="20"/>
        <v/>
      </c>
      <c r="O37" s="202" t="str">
        <f t="shared" si="21"/>
        <v>-</v>
      </c>
      <c r="P37" s="205">
        <f t="shared" si="25"/>
        <v>0</v>
      </c>
      <c r="Q37" s="204">
        <f t="shared" si="15"/>
        <v>0</v>
      </c>
      <c r="R37" s="204">
        <f t="shared" si="22"/>
        <v>21000</v>
      </c>
      <c r="S37" s="65">
        <f t="shared" si="26"/>
        <v>0</v>
      </c>
      <c r="T37" s="157">
        <f t="shared" si="10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8"/>
      <c r="BP37" s="168"/>
      <c r="BQ37" s="168"/>
      <c r="BR37" s="168"/>
      <c r="BS37" s="168"/>
      <c r="BT37" s="168"/>
      <c r="BU37" s="168"/>
      <c r="BV37" s="168"/>
      <c r="BW37" s="168"/>
      <c r="BX37" s="168"/>
      <c r="BY37" s="168"/>
      <c r="BZ37" s="168"/>
      <c r="CA37" s="168"/>
      <c r="CB37" s="168"/>
      <c r="CC37" s="168"/>
      <c r="CD37" s="168"/>
      <c r="CE37" s="168"/>
      <c r="CF37" s="168"/>
      <c r="CG37" s="168"/>
      <c r="CH37" s="168"/>
      <c r="CI37" s="168"/>
      <c r="CJ37" s="168"/>
      <c r="CK37" s="168"/>
      <c r="CL37" s="168"/>
      <c r="CM37" s="168"/>
      <c r="CN37" s="168"/>
      <c r="CO37" s="168"/>
      <c r="CP37" s="168"/>
      <c r="CQ37" s="168"/>
      <c r="CR37" s="168"/>
      <c r="CS37" s="168"/>
      <c r="CT37" s="168"/>
      <c r="CU37" s="168"/>
      <c r="CV37" s="168"/>
      <c r="CW37" s="168"/>
      <c r="CX37" s="168"/>
      <c r="CY37" s="168"/>
      <c r="CZ37" s="168"/>
      <c r="DA37" s="168"/>
      <c r="DB37" s="168"/>
      <c r="DC37" s="168"/>
      <c r="DD37" s="168"/>
      <c r="DE37" s="168"/>
      <c r="DF37" s="168"/>
      <c r="DG37" s="56">
        <v>0</v>
      </c>
      <c r="DH37" s="56">
        <v>0</v>
      </c>
      <c r="DI37" s="56">
        <v>0</v>
      </c>
      <c r="DJ37" s="56">
        <v>0</v>
      </c>
      <c r="DK37" s="56">
        <v>0</v>
      </c>
      <c r="DL37" s="56">
        <v>0</v>
      </c>
      <c r="DM37" s="56">
        <v>0</v>
      </c>
      <c r="DN37" s="56">
        <v>0</v>
      </c>
      <c r="DO37" s="56">
        <v>0</v>
      </c>
      <c r="DP37" s="56">
        <v>0</v>
      </c>
      <c r="DQ37" s="56">
        <v>0</v>
      </c>
      <c r="DR37" s="56">
        <v>0</v>
      </c>
      <c r="DS37" s="56">
        <v>0</v>
      </c>
      <c r="DT37" s="56">
        <v>0</v>
      </c>
      <c r="DU37" s="56">
        <v>0</v>
      </c>
      <c r="DV37" s="56">
        <v>0</v>
      </c>
      <c r="DW37" s="56">
        <v>0</v>
      </c>
      <c r="DX37" s="56">
        <v>0</v>
      </c>
      <c r="DY37" s="56">
        <v>0</v>
      </c>
      <c r="DZ37" s="56">
        <v>0</v>
      </c>
      <c r="EA37" s="56">
        <v>0</v>
      </c>
      <c r="EB37" s="56">
        <v>0</v>
      </c>
      <c r="EC37" s="23">
        <v>0</v>
      </c>
      <c r="ED37" s="56">
        <v>0</v>
      </c>
      <c r="EE37" s="56">
        <v>0</v>
      </c>
      <c r="EF37" s="23">
        <v>0</v>
      </c>
      <c r="EG37" s="23">
        <v>0</v>
      </c>
      <c r="EH37" s="23">
        <v>0</v>
      </c>
      <c r="EI37" s="56">
        <v>0</v>
      </c>
      <c r="EJ37" s="56">
        <v>0</v>
      </c>
      <c r="EK37" s="56">
        <v>0</v>
      </c>
      <c r="EL37" s="23">
        <v>0</v>
      </c>
      <c r="EM37" s="23">
        <v>0</v>
      </c>
      <c r="EN37" s="56">
        <v>0</v>
      </c>
      <c r="EO37" s="56">
        <v>0</v>
      </c>
      <c r="EP37" s="56">
        <v>0</v>
      </c>
      <c r="EQ37" s="56">
        <v>0</v>
      </c>
      <c r="ER37" s="56">
        <v>0</v>
      </c>
      <c r="ES37" s="56">
        <v>0</v>
      </c>
      <c r="ET37" s="56">
        <v>0</v>
      </c>
      <c r="EU37" s="56">
        <v>0</v>
      </c>
      <c r="EV37" s="56">
        <v>0</v>
      </c>
      <c r="EW37" s="56">
        <v>0</v>
      </c>
      <c r="EX37" s="56">
        <v>0</v>
      </c>
      <c r="EY37" s="56">
        <v>0</v>
      </c>
      <c r="EZ37" s="56">
        <v>0</v>
      </c>
      <c r="FA37" s="56">
        <v>0</v>
      </c>
      <c r="FB37" s="56">
        <v>0</v>
      </c>
      <c r="FC37" s="56">
        <v>0</v>
      </c>
      <c r="FD37" s="56">
        <v>0</v>
      </c>
      <c r="FE37" s="56">
        <v>0</v>
      </c>
      <c r="FF37" s="56">
        <v>0</v>
      </c>
      <c r="FG37" s="56">
        <v>0</v>
      </c>
      <c r="FH37" s="56">
        <v>0</v>
      </c>
      <c r="FI37" s="56">
        <v>0</v>
      </c>
      <c r="FJ37" s="56">
        <v>0</v>
      </c>
      <c r="FK37" s="56">
        <v>0</v>
      </c>
      <c r="FL37" s="56">
        <v>0</v>
      </c>
      <c r="FM37" s="56">
        <v>0</v>
      </c>
    </row>
    <row r="38" spans="2:169" x14ac:dyDescent="0.4">
      <c r="B38" s="484"/>
      <c r="C38" s="60">
        <v>59</v>
      </c>
      <c r="D38" s="225" t="s">
        <v>173</v>
      </c>
      <c r="E38" s="206">
        <v>45874</v>
      </c>
      <c r="F38" s="206">
        <v>45950</v>
      </c>
      <c r="G38" s="208">
        <f t="shared" si="19"/>
        <v>76</v>
      </c>
      <c r="H38" s="206">
        <f>E38</f>
        <v>45874</v>
      </c>
      <c r="I38" s="206">
        <f>F38</f>
        <v>45950</v>
      </c>
      <c r="J38" s="199" t="s">
        <v>154</v>
      </c>
      <c r="K38" s="200"/>
      <c r="L38" s="201"/>
      <c r="M38" s="201"/>
      <c r="N38" s="198" t="str">
        <f t="shared" si="20"/>
        <v/>
      </c>
      <c r="O38" s="202" t="str">
        <f t="shared" si="21"/>
        <v>-</v>
      </c>
      <c r="P38" s="205" t="str">
        <f t="shared" ref="P38:P42" si="27">IFERROR(SUMIF($U$2:$AT$2,"&lt;="&amp;$D$1,U38:BN38)/K38,"-")</f>
        <v>-</v>
      </c>
      <c r="Q38" s="204">
        <f t="shared" si="15"/>
        <v>0</v>
      </c>
      <c r="R38" s="204">
        <f t="shared" si="22"/>
        <v>0</v>
      </c>
      <c r="S38" s="65">
        <f t="shared" si="26"/>
        <v>0</v>
      </c>
      <c r="T38" s="157">
        <f t="shared" si="10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8"/>
      <c r="BP38" s="168"/>
      <c r="BQ38" s="168"/>
      <c r="BR38" s="168"/>
      <c r="BS38" s="168"/>
      <c r="BT38" s="168"/>
      <c r="BU38" s="168"/>
      <c r="BV38" s="168"/>
      <c r="BW38" s="168"/>
      <c r="BX38" s="168"/>
      <c r="BY38" s="168"/>
      <c r="BZ38" s="168"/>
      <c r="CA38" s="168"/>
      <c r="CB38" s="168"/>
      <c r="CC38" s="168"/>
      <c r="CD38" s="168"/>
      <c r="CE38" s="168"/>
      <c r="CF38" s="168"/>
      <c r="CG38" s="168"/>
      <c r="CH38" s="168"/>
      <c r="CI38" s="168"/>
      <c r="CJ38" s="168"/>
      <c r="CK38" s="168"/>
      <c r="CL38" s="168"/>
      <c r="CM38" s="168"/>
      <c r="CN38" s="168"/>
      <c r="CO38" s="168"/>
      <c r="CP38" s="168"/>
      <c r="CQ38" s="168"/>
      <c r="CR38" s="168"/>
      <c r="CS38" s="168"/>
      <c r="CT38" s="168"/>
      <c r="CU38" s="168"/>
      <c r="CV38" s="168"/>
      <c r="CW38" s="168"/>
      <c r="CX38" s="168"/>
      <c r="CY38" s="168"/>
      <c r="CZ38" s="168"/>
      <c r="DA38" s="168"/>
      <c r="DB38" s="168"/>
      <c r="DC38" s="168"/>
      <c r="DD38" s="168"/>
      <c r="DE38" s="168"/>
      <c r="DF38" s="168"/>
      <c r="DG38" s="56">
        <v>0</v>
      </c>
      <c r="DH38" s="56">
        <v>0</v>
      </c>
      <c r="DI38" s="56">
        <v>0</v>
      </c>
      <c r="DJ38" s="56">
        <v>0</v>
      </c>
      <c r="DK38" s="56">
        <v>0</v>
      </c>
      <c r="DL38" s="56">
        <v>0</v>
      </c>
      <c r="DM38" s="56">
        <v>0</v>
      </c>
      <c r="DN38" s="56">
        <v>0</v>
      </c>
      <c r="DO38" s="56">
        <v>0</v>
      </c>
      <c r="DP38" s="56">
        <v>0</v>
      </c>
      <c r="DQ38" s="56">
        <v>0</v>
      </c>
      <c r="DR38" s="56">
        <v>0</v>
      </c>
      <c r="DS38" s="56">
        <v>0</v>
      </c>
      <c r="DT38" s="56">
        <v>0</v>
      </c>
      <c r="DU38" s="56">
        <v>0</v>
      </c>
      <c r="DV38" s="56">
        <v>0</v>
      </c>
      <c r="DW38" s="56">
        <v>0</v>
      </c>
      <c r="DX38" s="56">
        <v>0</v>
      </c>
      <c r="DY38" s="56">
        <v>0</v>
      </c>
      <c r="DZ38" s="56">
        <v>0</v>
      </c>
      <c r="EA38" s="56">
        <v>0</v>
      </c>
      <c r="EB38" s="56">
        <v>0</v>
      </c>
      <c r="EC38" s="23">
        <v>0</v>
      </c>
      <c r="ED38" s="56">
        <v>0</v>
      </c>
      <c r="EE38" s="56">
        <v>0</v>
      </c>
      <c r="EF38" s="23">
        <v>0</v>
      </c>
      <c r="EG38" s="23">
        <v>0</v>
      </c>
      <c r="EH38" s="23">
        <v>0</v>
      </c>
      <c r="EI38" s="56">
        <v>0</v>
      </c>
      <c r="EJ38" s="56">
        <v>0</v>
      </c>
      <c r="EK38" s="56">
        <v>0</v>
      </c>
      <c r="EL38" s="23">
        <v>0</v>
      </c>
      <c r="EM38" s="23">
        <v>0</v>
      </c>
      <c r="EN38" s="56">
        <v>0</v>
      </c>
      <c r="EO38" s="56">
        <v>0</v>
      </c>
      <c r="EP38" s="56">
        <v>0</v>
      </c>
      <c r="EQ38" s="56">
        <v>0</v>
      </c>
      <c r="ER38" s="56">
        <v>0</v>
      </c>
      <c r="ES38" s="56">
        <v>0</v>
      </c>
      <c r="ET38" s="56">
        <v>0</v>
      </c>
      <c r="EU38" s="56">
        <v>0</v>
      </c>
      <c r="EV38" s="56">
        <v>0</v>
      </c>
      <c r="EW38" s="56">
        <v>0</v>
      </c>
      <c r="EX38" s="56">
        <v>0</v>
      </c>
      <c r="EY38" s="56">
        <v>0</v>
      </c>
      <c r="EZ38" s="56">
        <v>0</v>
      </c>
      <c r="FA38" s="56">
        <v>0</v>
      </c>
      <c r="FB38" s="56">
        <v>0</v>
      </c>
      <c r="FC38" s="56">
        <v>0</v>
      </c>
      <c r="FD38" s="56">
        <v>0</v>
      </c>
      <c r="FE38" s="56">
        <v>0</v>
      </c>
      <c r="FF38" s="56">
        <v>0</v>
      </c>
      <c r="FG38" s="56">
        <v>0</v>
      </c>
      <c r="FH38" s="56">
        <v>0</v>
      </c>
      <c r="FI38" s="56">
        <v>0</v>
      </c>
      <c r="FJ38" s="56">
        <v>0</v>
      </c>
      <c r="FK38" s="56">
        <v>0</v>
      </c>
      <c r="FL38" s="56">
        <v>0</v>
      </c>
      <c r="FM38" s="56">
        <v>0</v>
      </c>
    </row>
    <row r="39" spans="2:169" x14ac:dyDescent="0.4">
      <c r="B39" s="484"/>
      <c r="C39" s="60">
        <v>60</v>
      </c>
      <c r="D39" s="225" t="s">
        <v>174</v>
      </c>
      <c r="E39" s="206">
        <v>45885</v>
      </c>
      <c r="F39" s="206">
        <v>45958</v>
      </c>
      <c r="G39" s="208">
        <f t="shared" si="19"/>
        <v>73</v>
      </c>
      <c r="H39" s="206">
        <f t="shared" ref="H39:H61" si="28">E39</f>
        <v>45885</v>
      </c>
      <c r="I39" s="206">
        <f t="shared" ref="I39:I61" si="29">F39</f>
        <v>45958</v>
      </c>
      <c r="J39" s="199" t="s">
        <v>154</v>
      </c>
      <c r="K39" s="200"/>
      <c r="L39" s="201"/>
      <c r="M39" s="201"/>
      <c r="N39" s="198" t="str">
        <f t="shared" si="20"/>
        <v/>
      </c>
      <c r="O39" s="202" t="str">
        <f t="shared" si="21"/>
        <v>-</v>
      </c>
      <c r="P39" s="205" t="str">
        <f t="shared" si="27"/>
        <v>-</v>
      </c>
      <c r="Q39" s="204">
        <f t="shared" si="15"/>
        <v>0</v>
      </c>
      <c r="R39" s="204">
        <f t="shared" si="22"/>
        <v>0</v>
      </c>
      <c r="S39" s="65">
        <f t="shared" si="26"/>
        <v>0</v>
      </c>
      <c r="T39" s="157">
        <f t="shared" si="10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8"/>
      <c r="BP39" s="168"/>
      <c r="BQ39" s="168"/>
      <c r="BR39" s="168"/>
      <c r="BS39" s="168"/>
      <c r="BT39" s="168"/>
      <c r="BU39" s="168"/>
      <c r="BV39" s="168"/>
      <c r="BW39" s="168"/>
      <c r="BX39" s="168"/>
      <c r="BY39" s="168"/>
      <c r="BZ39" s="168"/>
      <c r="CA39" s="168"/>
      <c r="CB39" s="168"/>
      <c r="CC39" s="168"/>
      <c r="CD39" s="168"/>
      <c r="CE39" s="168"/>
      <c r="CF39" s="168"/>
      <c r="CG39" s="168"/>
      <c r="CH39" s="168"/>
      <c r="CI39" s="168"/>
      <c r="CJ39" s="168"/>
      <c r="CK39" s="168"/>
      <c r="CL39" s="168"/>
      <c r="CM39" s="168"/>
      <c r="CN39" s="168"/>
      <c r="CO39" s="168"/>
      <c r="CP39" s="168"/>
      <c r="CQ39" s="168"/>
      <c r="CR39" s="168"/>
      <c r="CS39" s="168"/>
      <c r="CT39" s="168"/>
      <c r="CU39" s="168"/>
      <c r="CV39" s="168"/>
      <c r="CW39" s="168"/>
      <c r="CX39" s="168"/>
      <c r="CY39" s="168"/>
      <c r="CZ39" s="168"/>
      <c r="DA39" s="168"/>
      <c r="DB39" s="168"/>
      <c r="DC39" s="168"/>
      <c r="DD39" s="168"/>
      <c r="DE39" s="168"/>
      <c r="DF39" s="168"/>
      <c r="DG39" s="56">
        <v>0</v>
      </c>
      <c r="DH39" s="56">
        <v>0</v>
      </c>
      <c r="DI39" s="56">
        <v>0</v>
      </c>
      <c r="DJ39" s="56">
        <v>0</v>
      </c>
      <c r="DK39" s="56">
        <v>0</v>
      </c>
      <c r="DL39" s="56">
        <v>0</v>
      </c>
      <c r="DM39" s="56">
        <v>0</v>
      </c>
      <c r="DN39" s="56">
        <v>0</v>
      </c>
      <c r="DO39" s="56">
        <v>0</v>
      </c>
      <c r="DP39" s="56">
        <v>0</v>
      </c>
      <c r="DQ39" s="56">
        <v>0</v>
      </c>
      <c r="DR39" s="56">
        <v>0</v>
      </c>
      <c r="DS39" s="56">
        <v>0</v>
      </c>
      <c r="DT39" s="56">
        <v>0</v>
      </c>
      <c r="DU39" s="56">
        <v>0</v>
      </c>
      <c r="DV39" s="56">
        <v>0</v>
      </c>
      <c r="DW39" s="56">
        <v>0</v>
      </c>
      <c r="DX39" s="56">
        <v>0</v>
      </c>
      <c r="DY39" s="56">
        <v>0</v>
      </c>
      <c r="DZ39" s="56">
        <v>0</v>
      </c>
      <c r="EA39" s="56">
        <v>0</v>
      </c>
      <c r="EB39" s="56">
        <v>0</v>
      </c>
      <c r="EC39" s="23">
        <v>0</v>
      </c>
      <c r="ED39" s="56">
        <v>0</v>
      </c>
      <c r="EE39" s="56">
        <v>0</v>
      </c>
      <c r="EF39" s="23">
        <v>0</v>
      </c>
      <c r="EG39" s="23">
        <v>0</v>
      </c>
      <c r="EH39" s="23">
        <v>0</v>
      </c>
      <c r="EI39" s="56">
        <v>0</v>
      </c>
      <c r="EJ39" s="56">
        <v>0</v>
      </c>
      <c r="EK39" s="56">
        <v>0</v>
      </c>
      <c r="EL39" s="23">
        <v>0</v>
      </c>
      <c r="EM39" s="23">
        <v>0</v>
      </c>
      <c r="EN39" s="56">
        <v>0</v>
      </c>
      <c r="EO39" s="56">
        <v>0</v>
      </c>
      <c r="EP39" s="56">
        <v>0</v>
      </c>
      <c r="EQ39" s="56">
        <v>0</v>
      </c>
      <c r="ER39" s="56">
        <v>0</v>
      </c>
      <c r="ES39" s="56">
        <v>0</v>
      </c>
      <c r="ET39" s="56">
        <v>0</v>
      </c>
      <c r="EU39" s="56">
        <v>0</v>
      </c>
      <c r="EV39" s="56">
        <v>0</v>
      </c>
      <c r="EW39" s="56">
        <v>0</v>
      </c>
      <c r="EX39" s="56">
        <v>0</v>
      </c>
      <c r="EY39" s="56">
        <v>0</v>
      </c>
      <c r="EZ39" s="56">
        <v>0</v>
      </c>
      <c r="FA39" s="56">
        <v>0</v>
      </c>
      <c r="FB39" s="56">
        <v>0</v>
      </c>
      <c r="FC39" s="56">
        <v>0</v>
      </c>
      <c r="FD39" s="56">
        <v>0</v>
      </c>
      <c r="FE39" s="56">
        <v>0</v>
      </c>
      <c r="FF39" s="56">
        <v>0</v>
      </c>
      <c r="FG39" s="56">
        <v>0</v>
      </c>
      <c r="FH39" s="56">
        <v>0</v>
      </c>
      <c r="FI39" s="56">
        <v>0</v>
      </c>
      <c r="FJ39" s="56">
        <v>0</v>
      </c>
      <c r="FK39" s="56">
        <v>0</v>
      </c>
      <c r="FL39" s="56">
        <v>0</v>
      </c>
      <c r="FM39" s="56">
        <v>0</v>
      </c>
    </row>
    <row r="40" spans="2:169" x14ac:dyDescent="0.4">
      <c r="B40" s="484"/>
      <c r="C40" s="60">
        <v>61</v>
      </c>
      <c r="D40" s="225" t="s">
        <v>175</v>
      </c>
      <c r="E40" s="206">
        <v>45905</v>
      </c>
      <c r="F40" s="206">
        <v>45976</v>
      </c>
      <c r="G40" s="208">
        <f t="shared" si="19"/>
        <v>71</v>
      </c>
      <c r="H40" s="206">
        <f t="shared" si="28"/>
        <v>45905</v>
      </c>
      <c r="I40" s="206">
        <f t="shared" si="29"/>
        <v>45976</v>
      </c>
      <c r="J40" s="199" t="s">
        <v>154</v>
      </c>
      <c r="K40" s="200"/>
      <c r="L40" s="201"/>
      <c r="M40" s="201"/>
      <c r="N40" s="198" t="str">
        <f t="shared" si="20"/>
        <v/>
      </c>
      <c r="O40" s="202" t="str">
        <f t="shared" si="21"/>
        <v>-</v>
      </c>
      <c r="P40" s="205" t="str">
        <f t="shared" si="27"/>
        <v>-</v>
      </c>
      <c r="Q40" s="204">
        <f t="shared" si="15"/>
        <v>0</v>
      </c>
      <c r="R40" s="204">
        <f t="shared" si="22"/>
        <v>0</v>
      </c>
      <c r="S40" s="65">
        <f t="shared" si="26"/>
        <v>0</v>
      </c>
      <c r="T40" s="157">
        <f t="shared" si="10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8"/>
      <c r="CA40" s="168"/>
      <c r="CB40" s="168"/>
      <c r="CC40" s="168"/>
      <c r="CD40" s="168"/>
      <c r="CE40" s="168"/>
      <c r="CF40" s="168"/>
      <c r="CG40" s="168"/>
      <c r="CH40" s="168"/>
      <c r="CI40" s="168"/>
      <c r="CJ40" s="168"/>
      <c r="CK40" s="168"/>
      <c r="CL40" s="168"/>
      <c r="CM40" s="168"/>
      <c r="CN40" s="168"/>
      <c r="CO40" s="168"/>
      <c r="CP40" s="168"/>
      <c r="CQ40" s="168"/>
      <c r="CR40" s="168"/>
      <c r="CS40" s="168"/>
      <c r="CT40" s="168"/>
      <c r="CU40" s="168"/>
      <c r="CV40" s="168"/>
      <c r="CW40" s="168"/>
      <c r="CX40" s="168"/>
      <c r="CY40" s="168"/>
      <c r="CZ40" s="168"/>
      <c r="DA40" s="168"/>
      <c r="DB40" s="168"/>
      <c r="DC40" s="168"/>
      <c r="DD40" s="168"/>
      <c r="DE40" s="168"/>
      <c r="DF40" s="168"/>
      <c r="DG40" s="56">
        <v>0</v>
      </c>
      <c r="DH40" s="56">
        <v>0</v>
      </c>
      <c r="DI40" s="56">
        <v>0</v>
      </c>
      <c r="DJ40" s="56">
        <v>0</v>
      </c>
      <c r="DK40" s="56">
        <v>0</v>
      </c>
      <c r="DL40" s="56">
        <v>0</v>
      </c>
      <c r="DM40" s="56">
        <v>0</v>
      </c>
      <c r="DN40" s="56">
        <v>0</v>
      </c>
      <c r="DO40" s="56">
        <v>0</v>
      </c>
      <c r="DP40" s="56">
        <v>0</v>
      </c>
      <c r="DQ40" s="56">
        <v>0</v>
      </c>
      <c r="DR40" s="56">
        <v>0</v>
      </c>
      <c r="DS40" s="56">
        <v>0</v>
      </c>
      <c r="DT40" s="56">
        <v>0</v>
      </c>
      <c r="DU40" s="56">
        <v>0</v>
      </c>
      <c r="DV40" s="56">
        <v>0</v>
      </c>
      <c r="DW40" s="56">
        <v>0</v>
      </c>
      <c r="DX40" s="56">
        <v>0</v>
      </c>
      <c r="DY40" s="56">
        <v>0</v>
      </c>
      <c r="DZ40" s="56">
        <v>0</v>
      </c>
      <c r="EA40" s="56">
        <v>0</v>
      </c>
      <c r="EB40" s="56">
        <v>0</v>
      </c>
      <c r="EC40" s="23">
        <v>0</v>
      </c>
      <c r="ED40" s="56">
        <v>0</v>
      </c>
      <c r="EE40" s="56">
        <v>0</v>
      </c>
      <c r="EF40" s="23">
        <v>0</v>
      </c>
      <c r="EG40" s="23">
        <v>0</v>
      </c>
      <c r="EH40" s="23">
        <v>0</v>
      </c>
      <c r="EI40" s="56">
        <v>0</v>
      </c>
      <c r="EJ40" s="56">
        <v>0</v>
      </c>
      <c r="EK40" s="56">
        <v>0</v>
      </c>
      <c r="EL40" s="23">
        <v>0</v>
      </c>
      <c r="EM40" s="23">
        <v>0</v>
      </c>
      <c r="EN40" s="56">
        <v>0</v>
      </c>
      <c r="EO40" s="56">
        <v>0</v>
      </c>
      <c r="EP40" s="56">
        <v>0</v>
      </c>
      <c r="EQ40" s="56">
        <v>0</v>
      </c>
      <c r="ER40" s="56">
        <v>0</v>
      </c>
      <c r="ES40" s="56">
        <v>0</v>
      </c>
      <c r="ET40" s="56">
        <v>0</v>
      </c>
      <c r="EU40" s="56">
        <v>0</v>
      </c>
      <c r="EV40" s="56">
        <v>0</v>
      </c>
      <c r="EW40" s="56">
        <v>0</v>
      </c>
      <c r="EX40" s="56">
        <v>0</v>
      </c>
      <c r="EY40" s="56">
        <v>0</v>
      </c>
      <c r="EZ40" s="56">
        <v>0</v>
      </c>
      <c r="FA40" s="56">
        <v>0</v>
      </c>
      <c r="FB40" s="56">
        <v>0</v>
      </c>
      <c r="FC40" s="56">
        <v>0</v>
      </c>
      <c r="FD40" s="56">
        <v>0</v>
      </c>
      <c r="FE40" s="56">
        <v>0</v>
      </c>
      <c r="FF40" s="56">
        <v>0</v>
      </c>
      <c r="FG40" s="56">
        <v>0</v>
      </c>
      <c r="FH40" s="56">
        <v>0</v>
      </c>
      <c r="FI40" s="56">
        <v>0</v>
      </c>
      <c r="FJ40" s="56">
        <v>0</v>
      </c>
      <c r="FK40" s="56">
        <v>0</v>
      </c>
      <c r="FL40" s="56">
        <v>0</v>
      </c>
      <c r="FM40" s="56">
        <v>0</v>
      </c>
    </row>
    <row r="41" spans="2:169" ht="29" x14ac:dyDescent="0.4">
      <c r="B41" s="472" t="s">
        <v>176</v>
      </c>
      <c r="C41" s="60">
        <v>66</v>
      </c>
      <c r="D41" s="226" t="s">
        <v>438</v>
      </c>
      <c r="E41" s="195">
        <v>45879</v>
      </c>
      <c r="F41" s="195">
        <v>46006</v>
      </c>
      <c r="G41" s="196">
        <f t="shared" si="19"/>
        <v>127</v>
      </c>
      <c r="H41" s="206">
        <f t="shared" si="28"/>
        <v>45879</v>
      </c>
      <c r="I41" s="206">
        <f t="shared" si="29"/>
        <v>46006</v>
      </c>
      <c r="J41" s="199" t="s">
        <v>17</v>
      </c>
      <c r="K41" s="200">
        <v>1360</v>
      </c>
      <c r="L41" s="201"/>
      <c r="M41" s="201"/>
      <c r="N41" s="198" t="str">
        <f t="shared" si="20"/>
        <v/>
      </c>
      <c r="O41" s="202" t="str">
        <f t="shared" si="21"/>
        <v>-</v>
      </c>
      <c r="P41" s="205">
        <f t="shared" si="27"/>
        <v>0</v>
      </c>
      <c r="Q41" s="207">
        <f t="shared" ref="Q41:Q42" si="30">SUMIF($U$2:$AT$2,"&lt;="&amp;$D$1,U41:AT41)</f>
        <v>0</v>
      </c>
      <c r="R41" s="204">
        <f t="shared" si="22"/>
        <v>1360</v>
      </c>
      <c r="S41" s="65">
        <f t="shared" si="26"/>
        <v>0</v>
      </c>
      <c r="T41" s="157">
        <f t="shared" si="10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8"/>
      <c r="CA41" s="168"/>
      <c r="CB41" s="168"/>
      <c r="CC41" s="168"/>
      <c r="CD41" s="168"/>
      <c r="CE41" s="168"/>
      <c r="CF41" s="168"/>
      <c r="CG41" s="168"/>
      <c r="CH41" s="168"/>
      <c r="CI41" s="168"/>
      <c r="CJ41" s="168"/>
      <c r="CK41" s="168"/>
      <c r="CL41" s="168"/>
      <c r="CM41" s="168"/>
      <c r="CN41" s="168"/>
      <c r="CO41" s="168"/>
      <c r="CP41" s="168"/>
      <c r="CQ41" s="168"/>
      <c r="CR41" s="168"/>
      <c r="CS41" s="168"/>
      <c r="CT41" s="168"/>
      <c r="CU41" s="168"/>
      <c r="CV41" s="168"/>
      <c r="CW41" s="168"/>
      <c r="CX41" s="168"/>
      <c r="CY41" s="168"/>
      <c r="CZ41" s="168"/>
      <c r="DA41" s="168"/>
      <c r="DB41" s="168"/>
      <c r="DC41" s="168"/>
      <c r="DD41" s="168"/>
      <c r="DE41" s="168"/>
      <c r="DF41" s="168"/>
    </row>
    <row r="42" spans="2:169" x14ac:dyDescent="0.4">
      <c r="B42" s="472"/>
      <c r="C42" s="60">
        <v>67</v>
      </c>
      <c r="D42" s="226" t="s">
        <v>259</v>
      </c>
      <c r="E42" s="195">
        <v>45887</v>
      </c>
      <c r="F42" s="195">
        <v>46016</v>
      </c>
      <c r="G42" s="196">
        <f t="shared" si="19"/>
        <v>129</v>
      </c>
      <c r="H42" s="206">
        <f t="shared" si="28"/>
        <v>45887</v>
      </c>
      <c r="I42" s="206">
        <f t="shared" si="29"/>
        <v>46016</v>
      </c>
      <c r="J42" s="199" t="s">
        <v>17</v>
      </c>
      <c r="K42" s="200">
        <v>1360</v>
      </c>
      <c r="L42" s="201"/>
      <c r="M42" s="201"/>
      <c r="N42" s="198" t="str">
        <f t="shared" si="20"/>
        <v/>
      </c>
      <c r="O42" s="202" t="str">
        <f t="shared" si="21"/>
        <v>-</v>
      </c>
      <c r="P42" s="205">
        <f t="shared" si="27"/>
        <v>0</v>
      </c>
      <c r="Q42" s="207">
        <f t="shared" si="30"/>
        <v>0</v>
      </c>
      <c r="R42" s="204">
        <f t="shared" si="22"/>
        <v>1360</v>
      </c>
      <c r="S42" s="65">
        <f t="shared" si="26"/>
        <v>0</v>
      </c>
      <c r="T42" s="157">
        <f t="shared" si="10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8"/>
      <c r="BP42" s="168"/>
      <c r="BQ42" s="168"/>
      <c r="BR42" s="168"/>
      <c r="BS42" s="168"/>
      <c r="BT42" s="168"/>
      <c r="BU42" s="168"/>
      <c r="BV42" s="168"/>
      <c r="BW42" s="168"/>
      <c r="BX42" s="168"/>
      <c r="BY42" s="168"/>
      <c r="BZ42" s="168"/>
      <c r="CA42" s="168"/>
      <c r="CB42" s="168"/>
      <c r="CC42" s="168"/>
      <c r="CD42" s="168"/>
      <c r="CE42" s="168"/>
      <c r="CF42" s="168"/>
      <c r="CG42" s="168"/>
      <c r="CH42" s="168"/>
      <c r="CI42" s="168"/>
      <c r="CJ42" s="168"/>
      <c r="CK42" s="168"/>
      <c r="CL42" s="168"/>
      <c r="CM42" s="168"/>
      <c r="CN42" s="168"/>
      <c r="CO42" s="168"/>
      <c r="CP42" s="168"/>
      <c r="CQ42" s="168"/>
      <c r="CR42" s="168"/>
      <c r="CS42" s="168"/>
      <c r="CT42" s="168"/>
      <c r="CU42" s="168"/>
      <c r="CV42" s="168"/>
      <c r="CW42" s="168"/>
      <c r="CX42" s="168"/>
      <c r="CY42" s="168"/>
      <c r="CZ42" s="168"/>
      <c r="DA42" s="168"/>
      <c r="DB42" s="168"/>
      <c r="DC42" s="168"/>
      <c r="DD42" s="168"/>
      <c r="DE42" s="168"/>
      <c r="DF42" s="168"/>
    </row>
    <row r="43" spans="2:169" x14ac:dyDescent="0.4">
      <c r="B43" s="472"/>
      <c r="C43" s="60">
        <v>68</v>
      </c>
      <c r="D43" s="226" t="s">
        <v>258</v>
      </c>
      <c r="E43" s="195">
        <v>45849</v>
      </c>
      <c r="F43" s="195">
        <v>46010</v>
      </c>
      <c r="G43" s="196">
        <f t="shared" si="19"/>
        <v>161</v>
      </c>
      <c r="H43" s="206">
        <f t="shared" si="28"/>
        <v>45849</v>
      </c>
      <c r="I43" s="206">
        <f t="shared" si="29"/>
        <v>46010</v>
      </c>
      <c r="J43" s="199" t="s">
        <v>17</v>
      </c>
      <c r="K43" s="200">
        <v>1360</v>
      </c>
      <c r="L43" s="201"/>
      <c r="M43" s="201"/>
      <c r="N43" s="198" t="str">
        <f t="shared" ref="N43:N73" si="31">IF(OR(M43="",L43=""),"",INT(M43-L43+1))</f>
        <v/>
      </c>
      <c r="O43" s="202" t="str">
        <f t="shared" ref="O43:O73" si="32">IFERROR(K43/N43,"-")</f>
        <v>-</v>
      </c>
      <c r="P43" s="205">
        <f t="shared" ref="P43:P73" si="33">IFERROR(SUMIF($U$2:$AT$2,"&lt;="&amp;$D$1,U43:BN43)/K43,"-")</f>
        <v>0</v>
      </c>
      <c r="Q43" s="207">
        <f t="shared" ref="Q43:Q73" si="34">SUMIF($U$2:$AT$2,"&lt;="&amp;$D$1,U43:AT43)</f>
        <v>0</v>
      </c>
      <c r="R43" s="204">
        <f t="shared" ref="R43:R73" si="35">K43-Q43</f>
        <v>1360</v>
      </c>
      <c r="S43" s="65">
        <f t="shared" si="26"/>
        <v>0</v>
      </c>
      <c r="T43" s="157">
        <f t="shared" si="10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8"/>
      <c r="BP43" s="168"/>
      <c r="BQ43" s="168"/>
      <c r="BR43" s="168"/>
      <c r="BS43" s="168"/>
      <c r="BT43" s="168"/>
      <c r="BU43" s="168"/>
      <c r="BV43" s="168"/>
      <c r="BW43" s="168"/>
      <c r="BX43" s="168"/>
      <c r="BY43" s="168"/>
      <c r="BZ43" s="168"/>
      <c r="CA43" s="168"/>
      <c r="CB43" s="168"/>
      <c r="CC43" s="168"/>
      <c r="CD43" s="168"/>
      <c r="CE43" s="168"/>
      <c r="CF43" s="168"/>
      <c r="CG43" s="168"/>
      <c r="CH43" s="168"/>
      <c r="CI43" s="168"/>
      <c r="CJ43" s="168"/>
      <c r="CK43" s="168"/>
      <c r="CL43" s="168"/>
      <c r="CM43" s="168"/>
      <c r="CN43" s="168"/>
      <c r="CO43" s="168"/>
      <c r="CP43" s="168"/>
      <c r="CQ43" s="168"/>
      <c r="CR43" s="168"/>
      <c r="CS43" s="168"/>
      <c r="CT43" s="168"/>
      <c r="CU43" s="168"/>
      <c r="CV43" s="168"/>
      <c r="CW43" s="168"/>
      <c r="CX43" s="168"/>
      <c r="CY43" s="168"/>
      <c r="CZ43" s="168"/>
      <c r="DA43" s="168"/>
      <c r="DB43" s="168"/>
      <c r="DC43" s="168"/>
      <c r="DD43" s="168"/>
      <c r="DE43" s="168"/>
      <c r="DF43" s="168"/>
    </row>
    <row r="44" spans="2:169" x14ac:dyDescent="0.4">
      <c r="B44" s="472"/>
      <c r="C44" s="60">
        <v>69</v>
      </c>
      <c r="D44" s="226" t="s">
        <v>263</v>
      </c>
      <c r="E44" s="195">
        <v>45888</v>
      </c>
      <c r="F44" s="195">
        <v>46043</v>
      </c>
      <c r="G44" s="196">
        <f t="shared" si="19"/>
        <v>155</v>
      </c>
      <c r="H44" s="206">
        <f t="shared" si="28"/>
        <v>45888</v>
      </c>
      <c r="I44" s="206">
        <f t="shared" si="29"/>
        <v>46043</v>
      </c>
      <c r="J44" s="199" t="s">
        <v>17</v>
      </c>
      <c r="K44" s="200">
        <v>1360</v>
      </c>
      <c r="L44" s="201"/>
      <c r="M44" s="201"/>
      <c r="N44" s="198" t="str">
        <f t="shared" si="31"/>
        <v/>
      </c>
      <c r="O44" s="202" t="str">
        <f t="shared" si="32"/>
        <v>-</v>
      </c>
      <c r="P44" s="205">
        <f t="shared" si="33"/>
        <v>0</v>
      </c>
      <c r="Q44" s="207">
        <f t="shared" si="34"/>
        <v>0</v>
      </c>
      <c r="R44" s="204">
        <f t="shared" si="35"/>
        <v>1360</v>
      </c>
      <c r="S44" s="65">
        <f t="shared" si="26"/>
        <v>0</v>
      </c>
      <c r="T44" s="157">
        <f t="shared" si="10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8"/>
      <c r="BP44" s="168"/>
      <c r="BQ44" s="168"/>
      <c r="BR44" s="168"/>
      <c r="BS44" s="168"/>
      <c r="BT44" s="168"/>
      <c r="BU44" s="168"/>
      <c r="BV44" s="168"/>
      <c r="BW44" s="168"/>
      <c r="BX44" s="168"/>
      <c r="BY44" s="168"/>
      <c r="BZ44" s="168"/>
      <c r="CA44" s="168"/>
      <c r="CB44" s="168"/>
      <c r="CC44" s="168"/>
      <c r="CD44" s="168"/>
      <c r="CE44" s="168"/>
      <c r="CF44" s="168"/>
      <c r="CG44" s="168"/>
      <c r="CH44" s="168"/>
      <c r="CI44" s="168"/>
      <c r="CJ44" s="168"/>
      <c r="CK44" s="168"/>
      <c r="CL44" s="168"/>
      <c r="CM44" s="168"/>
      <c r="CN44" s="168"/>
      <c r="CO44" s="168"/>
      <c r="CP44" s="168"/>
      <c r="CQ44" s="168"/>
      <c r="CR44" s="168"/>
      <c r="CS44" s="168"/>
      <c r="CT44" s="168"/>
      <c r="CU44" s="168"/>
      <c r="CV44" s="168"/>
      <c r="CW44" s="168"/>
      <c r="CX44" s="168"/>
      <c r="CY44" s="168"/>
      <c r="CZ44" s="168"/>
      <c r="DA44" s="168"/>
      <c r="DB44" s="168"/>
      <c r="DC44" s="168"/>
      <c r="DD44" s="168"/>
      <c r="DE44" s="168"/>
      <c r="DF44" s="168"/>
    </row>
    <row r="45" spans="2:169" ht="29" x14ac:dyDescent="0.4">
      <c r="B45" s="472"/>
      <c r="C45" s="60">
        <v>70</v>
      </c>
      <c r="D45" s="226" t="s">
        <v>264</v>
      </c>
      <c r="E45" s="195">
        <f>E44+45</f>
        <v>45933</v>
      </c>
      <c r="F45" s="195">
        <f>F44+7</f>
        <v>46050</v>
      </c>
      <c r="G45" s="196">
        <f t="shared" si="19"/>
        <v>117</v>
      </c>
      <c r="H45" s="206">
        <f t="shared" si="28"/>
        <v>45933</v>
      </c>
      <c r="I45" s="206">
        <f t="shared" si="29"/>
        <v>46050</v>
      </c>
      <c r="J45" s="199" t="s">
        <v>17</v>
      </c>
      <c r="K45" s="200">
        <v>1360</v>
      </c>
      <c r="L45" s="201"/>
      <c r="M45" s="201"/>
      <c r="N45" s="198" t="str">
        <f t="shared" si="31"/>
        <v/>
      </c>
      <c r="O45" s="202" t="str">
        <f t="shared" si="32"/>
        <v>-</v>
      </c>
      <c r="P45" s="205">
        <f t="shared" si="33"/>
        <v>0</v>
      </c>
      <c r="Q45" s="207">
        <f t="shared" si="34"/>
        <v>0</v>
      </c>
      <c r="R45" s="204">
        <f t="shared" si="35"/>
        <v>1360</v>
      </c>
      <c r="S45" s="65">
        <f t="shared" si="26"/>
        <v>0</v>
      </c>
      <c r="T45" s="157">
        <f t="shared" si="10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8"/>
      <c r="BP45" s="168"/>
      <c r="BQ45" s="168"/>
      <c r="BR45" s="168"/>
      <c r="BS45" s="168"/>
      <c r="BT45" s="168"/>
      <c r="BU45" s="168"/>
      <c r="BV45" s="168"/>
      <c r="BW45" s="168"/>
      <c r="BX45" s="168"/>
      <c r="BY45" s="168"/>
      <c r="BZ45" s="168"/>
      <c r="CA45" s="168"/>
      <c r="CB45" s="168"/>
      <c r="CC45" s="168"/>
      <c r="CD45" s="168"/>
      <c r="CE45" s="168"/>
      <c r="CF45" s="168"/>
      <c r="CG45" s="168"/>
      <c r="CH45" s="168"/>
      <c r="CI45" s="168"/>
      <c r="CJ45" s="168"/>
      <c r="CK45" s="168"/>
      <c r="CL45" s="168"/>
      <c r="CM45" s="168"/>
      <c r="CN45" s="168"/>
      <c r="CO45" s="168"/>
      <c r="CP45" s="168"/>
      <c r="CQ45" s="168"/>
      <c r="CR45" s="168"/>
      <c r="CS45" s="168"/>
      <c r="CT45" s="168"/>
      <c r="CU45" s="168"/>
      <c r="CV45" s="168"/>
      <c r="CW45" s="168"/>
      <c r="CX45" s="168"/>
      <c r="CY45" s="168"/>
      <c r="CZ45" s="168"/>
      <c r="DA45" s="168"/>
      <c r="DB45" s="168"/>
      <c r="DC45" s="168"/>
      <c r="DD45" s="168"/>
      <c r="DE45" s="168"/>
      <c r="DF45" s="168"/>
    </row>
    <row r="46" spans="2:169" x14ac:dyDescent="0.4">
      <c r="B46" s="472"/>
      <c r="C46" s="60">
        <v>71</v>
      </c>
      <c r="D46" s="226" t="s">
        <v>437</v>
      </c>
      <c r="E46" s="195">
        <f>E44+40</f>
        <v>45928</v>
      </c>
      <c r="F46" s="195">
        <v>46051</v>
      </c>
      <c r="G46" s="196">
        <f t="shared" si="19"/>
        <v>123</v>
      </c>
      <c r="H46" s="206">
        <f t="shared" si="28"/>
        <v>45928</v>
      </c>
      <c r="I46" s="206">
        <f t="shared" si="29"/>
        <v>46051</v>
      </c>
      <c r="J46" s="199" t="s">
        <v>17</v>
      </c>
      <c r="K46" s="200">
        <v>1360</v>
      </c>
      <c r="L46" s="201"/>
      <c r="M46" s="201"/>
      <c r="N46" s="198" t="str">
        <f t="shared" si="31"/>
        <v/>
      </c>
      <c r="O46" s="202" t="str">
        <f t="shared" si="32"/>
        <v>-</v>
      </c>
      <c r="P46" s="205">
        <f t="shared" si="33"/>
        <v>0</v>
      </c>
      <c r="Q46" s="207">
        <f t="shared" si="34"/>
        <v>0</v>
      </c>
      <c r="R46" s="204">
        <f t="shared" si="35"/>
        <v>1360</v>
      </c>
      <c r="S46" s="65">
        <f t="shared" si="26"/>
        <v>0</v>
      </c>
      <c r="T46" s="157">
        <f t="shared" si="10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8"/>
      <c r="BP46" s="168"/>
      <c r="BQ46" s="168"/>
      <c r="BR46" s="168"/>
      <c r="BS46" s="168"/>
      <c r="BT46" s="168"/>
      <c r="BU46" s="168"/>
      <c r="BV46" s="168"/>
      <c r="BW46" s="168"/>
      <c r="BX46" s="168"/>
      <c r="BY46" s="168"/>
      <c r="BZ46" s="168"/>
      <c r="CA46" s="168"/>
      <c r="CB46" s="168"/>
      <c r="CC46" s="168"/>
      <c r="CD46" s="168"/>
      <c r="CE46" s="168"/>
      <c r="CF46" s="168"/>
      <c r="CG46" s="168"/>
      <c r="CH46" s="168"/>
      <c r="CI46" s="168"/>
      <c r="CJ46" s="168"/>
      <c r="CK46" s="168"/>
      <c r="CL46" s="168"/>
      <c r="CM46" s="168"/>
      <c r="CN46" s="168"/>
      <c r="CO46" s="168"/>
      <c r="CP46" s="168"/>
      <c r="CQ46" s="168"/>
      <c r="CR46" s="168"/>
      <c r="CS46" s="168"/>
      <c r="CT46" s="168"/>
      <c r="CU46" s="168"/>
      <c r="CV46" s="168"/>
      <c r="CW46" s="168"/>
      <c r="CX46" s="168"/>
      <c r="CY46" s="168"/>
      <c r="CZ46" s="168"/>
      <c r="DA46" s="168"/>
      <c r="DB46" s="168"/>
      <c r="DC46" s="168"/>
      <c r="DD46" s="168"/>
      <c r="DE46" s="168"/>
      <c r="DF46" s="168"/>
    </row>
    <row r="47" spans="2:169" x14ac:dyDescent="0.4">
      <c r="B47" s="472"/>
      <c r="C47" s="60">
        <v>72</v>
      </c>
      <c r="D47" s="226" t="s">
        <v>260</v>
      </c>
      <c r="E47" s="195">
        <v>45856</v>
      </c>
      <c r="F47" s="195">
        <v>46011</v>
      </c>
      <c r="G47" s="196">
        <f t="shared" si="19"/>
        <v>155</v>
      </c>
      <c r="H47" s="206">
        <f t="shared" si="28"/>
        <v>45856</v>
      </c>
      <c r="I47" s="206">
        <f t="shared" si="29"/>
        <v>46011</v>
      </c>
      <c r="J47" s="199" t="s">
        <v>17</v>
      </c>
      <c r="K47" s="200">
        <v>1360</v>
      </c>
      <c r="L47" s="201"/>
      <c r="M47" s="201"/>
      <c r="N47" s="198" t="str">
        <f t="shared" si="31"/>
        <v/>
      </c>
      <c r="O47" s="202" t="str">
        <f t="shared" si="32"/>
        <v>-</v>
      </c>
      <c r="P47" s="205">
        <f t="shared" si="33"/>
        <v>0</v>
      </c>
      <c r="Q47" s="207">
        <f t="shared" si="34"/>
        <v>0</v>
      </c>
      <c r="R47" s="204">
        <f t="shared" si="35"/>
        <v>1360</v>
      </c>
      <c r="S47" s="65">
        <f t="shared" si="26"/>
        <v>0</v>
      </c>
      <c r="T47" s="157">
        <f t="shared" si="10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8"/>
      <c r="BP47" s="168"/>
      <c r="BQ47" s="168"/>
      <c r="BR47" s="16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68"/>
      <c r="CL47" s="168"/>
      <c r="CM47" s="168"/>
      <c r="CN47" s="168"/>
      <c r="CO47" s="168"/>
      <c r="CP47" s="168"/>
      <c r="CQ47" s="168"/>
      <c r="CR47" s="168"/>
      <c r="CS47" s="168"/>
      <c r="CT47" s="168"/>
      <c r="CU47" s="168"/>
      <c r="CV47" s="168"/>
      <c r="CW47" s="168"/>
      <c r="CX47" s="168"/>
      <c r="CY47" s="168"/>
      <c r="CZ47" s="168"/>
      <c r="DA47" s="168"/>
      <c r="DB47" s="168"/>
      <c r="DC47" s="168"/>
      <c r="DD47" s="168"/>
      <c r="DE47" s="168"/>
      <c r="DF47" s="168"/>
    </row>
    <row r="48" spans="2:169" x14ac:dyDescent="0.4">
      <c r="B48" s="472"/>
      <c r="C48" s="60">
        <v>73</v>
      </c>
      <c r="D48" s="226" t="s">
        <v>261</v>
      </c>
      <c r="E48" s="195">
        <v>45859</v>
      </c>
      <c r="F48" s="195">
        <v>45996</v>
      </c>
      <c r="G48" s="196">
        <f t="shared" si="19"/>
        <v>137</v>
      </c>
      <c r="H48" s="206">
        <f t="shared" si="28"/>
        <v>45859</v>
      </c>
      <c r="I48" s="206">
        <f t="shared" si="29"/>
        <v>45996</v>
      </c>
      <c r="J48" s="199" t="s">
        <v>17</v>
      </c>
      <c r="K48" s="200">
        <v>1360</v>
      </c>
      <c r="L48" s="201"/>
      <c r="M48" s="201"/>
      <c r="N48" s="198" t="str">
        <f t="shared" si="31"/>
        <v/>
      </c>
      <c r="O48" s="202" t="str">
        <f t="shared" si="32"/>
        <v>-</v>
      </c>
      <c r="P48" s="205">
        <f t="shared" si="33"/>
        <v>0</v>
      </c>
      <c r="Q48" s="207">
        <f t="shared" si="34"/>
        <v>0</v>
      </c>
      <c r="R48" s="204">
        <f t="shared" si="35"/>
        <v>1360</v>
      </c>
      <c r="S48" s="65">
        <f t="shared" si="26"/>
        <v>0</v>
      </c>
      <c r="T48" s="157">
        <f t="shared" si="10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8"/>
      <c r="BP48" s="168"/>
      <c r="BQ48" s="168"/>
      <c r="BR48" s="168"/>
      <c r="BS48" s="168"/>
      <c r="BT48" s="168"/>
      <c r="BU48" s="168"/>
      <c r="BV48" s="168"/>
      <c r="BW48" s="168"/>
      <c r="BX48" s="168"/>
      <c r="BY48" s="168"/>
      <c r="BZ48" s="168"/>
      <c r="CA48" s="168"/>
      <c r="CB48" s="168"/>
      <c r="CC48" s="168"/>
      <c r="CD48" s="168"/>
      <c r="CE48" s="168"/>
      <c r="CF48" s="168"/>
      <c r="CG48" s="168"/>
      <c r="CH48" s="168"/>
      <c r="CI48" s="168"/>
      <c r="CJ48" s="168"/>
      <c r="CK48" s="168"/>
      <c r="CL48" s="168"/>
      <c r="CM48" s="168"/>
      <c r="CN48" s="168"/>
      <c r="CO48" s="168"/>
      <c r="CP48" s="168"/>
      <c r="CQ48" s="168"/>
      <c r="CR48" s="168"/>
      <c r="CS48" s="168"/>
      <c r="CT48" s="168"/>
      <c r="CU48" s="168"/>
      <c r="CV48" s="168"/>
      <c r="CW48" s="168"/>
      <c r="CX48" s="168"/>
      <c r="CY48" s="168"/>
      <c r="CZ48" s="168"/>
      <c r="DA48" s="168"/>
      <c r="DB48" s="168"/>
      <c r="DC48" s="168"/>
      <c r="DD48" s="168"/>
      <c r="DE48" s="168"/>
      <c r="DF48" s="168"/>
    </row>
    <row r="49" spans="2:110" x14ac:dyDescent="0.4">
      <c r="B49" s="472"/>
      <c r="C49" s="60">
        <v>74</v>
      </c>
      <c r="D49" s="226" t="s">
        <v>179</v>
      </c>
      <c r="E49" s="195">
        <f>E48+45</f>
        <v>45904</v>
      </c>
      <c r="F49" s="195">
        <v>46001</v>
      </c>
      <c r="G49" s="196">
        <f t="shared" si="19"/>
        <v>97</v>
      </c>
      <c r="H49" s="206">
        <f t="shared" si="28"/>
        <v>45904</v>
      </c>
      <c r="I49" s="206">
        <f t="shared" si="29"/>
        <v>46001</v>
      </c>
      <c r="J49" s="199" t="s">
        <v>17</v>
      </c>
      <c r="K49" s="200">
        <v>1360</v>
      </c>
      <c r="L49" s="201"/>
      <c r="M49" s="201"/>
      <c r="N49" s="198" t="str">
        <f t="shared" si="31"/>
        <v/>
      </c>
      <c r="O49" s="202" t="str">
        <f t="shared" si="32"/>
        <v>-</v>
      </c>
      <c r="P49" s="205">
        <f t="shared" si="33"/>
        <v>0</v>
      </c>
      <c r="Q49" s="207">
        <f t="shared" si="34"/>
        <v>0</v>
      </c>
      <c r="R49" s="204">
        <f t="shared" si="35"/>
        <v>1360</v>
      </c>
      <c r="S49" s="65">
        <f t="shared" si="26"/>
        <v>0</v>
      </c>
      <c r="T49" s="157">
        <f t="shared" si="10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8"/>
      <c r="BP49" s="168"/>
      <c r="BQ49" s="168"/>
      <c r="BR49" s="168"/>
      <c r="BS49" s="168"/>
      <c r="BT49" s="168"/>
      <c r="BU49" s="168"/>
      <c r="BV49" s="168"/>
      <c r="BW49" s="168"/>
      <c r="BX49" s="168"/>
      <c r="BY49" s="168"/>
      <c r="BZ49" s="168"/>
      <c r="CA49" s="168"/>
      <c r="CB49" s="168"/>
      <c r="CC49" s="168"/>
      <c r="CD49" s="168"/>
      <c r="CE49" s="168"/>
      <c r="CF49" s="168"/>
      <c r="CG49" s="168"/>
      <c r="CH49" s="168"/>
      <c r="CI49" s="168"/>
      <c r="CJ49" s="168"/>
      <c r="CK49" s="168"/>
      <c r="CL49" s="168"/>
      <c r="CM49" s="168"/>
      <c r="CN49" s="168"/>
      <c r="CO49" s="168"/>
      <c r="CP49" s="168"/>
      <c r="CQ49" s="168"/>
      <c r="CR49" s="168"/>
      <c r="CS49" s="168"/>
      <c r="CT49" s="168"/>
      <c r="CU49" s="168"/>
      <c r="CV49" s="168"/>
      <c r="CW49" s="168"/>
      <c r="CX49" s="168"/>
      <c r="CY49" s="168"/>
      <c r="CZ49" s="168"/>
      <c r="DA49" s="168"/>
      <c r="DB49" s="168"/>
      <c r="DC49" s="168"/>
      <c r="DD49" s="168"/>
      <c r="DE49" s="168"/>
      <c r="DF49" s="168"/>
    </row>
    <row r="50" spans="2:110" x14ac:dyDescent="0.4">
      <c r="B50" s="472"/>
      <c r="C50" s="60">
        <v>75</v>
      </c>
      <c r="D50" s="226" t="s">
        <v>262</v>
      </c>
      <c r="E50" s="195">
        <v>45889</v>
      </c>
      <c r="F50" s="195">
        <v>46017</v>
      </c>
      <c r="G50" s="196">
        <f t="shared" si="19"/>
        <v>128</v>
      </c>
      <c r="H50" s="206">
        <f t="shared" si="28"/>
        <v>45889</v>
      </c>
      <c r="I50" s="206">
        <f t="shared" si="29"/>
        <v>46017</v>
      </c>
      <c r="J50" s="199" t="s">
        <v>17</v>
      </c>
      <c r="K50" s="200">
        <v>1360</v>
      </c>
      <c r="L50" s="201"/>
      <c r="M50" s="201"/>
      <c r="N50" s="198" t="str">
        <f t="shared" si="31"/>
        <v/>
      </c>
      <c r="O50" s="202" t="str">
        <f t="shared" si="32"/>
        <v>-</v>
      </c>
      <c r="P50" s="205">
        <f t="shared" si="33"/>
        <v>0</v>
      </c>
      <c r="Q50" s="207">
        <f t="shared" si="34"/>
        <v>0</v>
      </c>
      <c r="R50" s="204">
        <f t="shared" si="35"/>
        <v>1360</v>
      </c>
      <c r="S50" s="65">
        <f t="shared" si="26"/>
        <v>0</v>
      </c>
      <c r="T50" s="157">
        <f t="shared" si="10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8"/>
      <c r="BP50" s="168"/>
      <c r="BQ50" s="168"/>
      <c r="BR50" s="168"/>
      <c r="BS50" s="168"/>
      <c r="BT50" s="168"/>
      <c r="BU50" s="168"/>
      <c r="BV50" s="168"/>
      <c r="BW50" s="168"/>
      <c r="BX50" s="168"/>
      <c r="BY50" s="168"/>
      <c r="BZ50" s="168"/>
      <c r="CA50" s="168"/>
      <c r="CB50" s="168"/>
      <c r="CC50" s="168"/>
      <c r="CD50" s="168"/>
      <c r="CE50" s="168"/>
      <c r="CF50" s="168"/>
      <c r="CG50" s="168"/>
      <c r="CH50" s="168"/>
      <c r="CI50" s="168"/>
      <c r="CJ50" s="168"/>
      <c r="CK50" s="168"/>
      <c r="CL50" s="168"/>
      <c r="CM50" s="168"/>
      <c r="CN50" s="168"/>
      <c r="CO50" s="168"/>
      <c r="CP50" s="168"/>
      <c r="CQ50" s="168"/>
      <c r="CR50" s="168"/>
      <c r="CS50" s="168"/>
      <c r="CT50" s="168"/>
      <c r="CU50" s="168"/>
      <c r="CV50" s="168"/>
      <c r="CW50" s="168"/>
      <c r="CX50" s="168"/>
      <c r="CY50" s="168"/>
      <c r="CZ50" s="168"/>
      <c r="DA50" s="168"/>
      <c r="DB50" s="168"/>
      <c r="DC50" s="168"/>
      <c r="DD50" s="168"/>
      <c r="DE50" s="168"/>
      <c r="DF50" s="168"/>
    </row>
    <row r="51" spans="2:110" x14ac:dyDescent="0.4">
      <c r="B51" s="472" t="s">
        <v>180</v>
      </c>
      <c r="C51" s="60">
        <v>76</v>
      </c>
      <c r="D51" s="226" t="s">
        <v>265</v>
      </c>
      <c r="E51" s="195">
        <v>45912</v>
      </c>
      <c r="F51" s="195">
        <v>45982</v>
      </c>
      <c r="G51" s="196">
        <f t="shared" si="19"/>
        <v>70</v>
      </c>
      <c r="H51" s="206">
        <f t="shared" si="28"/>
        <v>45912</v>
      </c>
      <c r="I51" s="206">
        <f t="shared" si="29"/>
        <v>45982</v>
      </c>
      <c r="J51" s="199" t="s">
        <v>107</v>
      </c>
      <c r="K51" s="200">
        <v>74</v>
      </c>
      <c r="L51" s="201"/>
      <c r="M51" s="201"/>
      <c r="N51" s="198" t="str">
        <f t="shared" si="31"/>
        <v/>
      </c>
      <c r="O51" s="202" t="str">
        <f t="shared" si="32"/>
        <v>-</v>
      </c>
      <c r="P51" s="205">
        <f t="shared" si="33"/>
        <v>0</v>
      </c>
      <c r="Q51" s="207">
        <f t="shared" si="34"/>
        <v>0</v>
      </c>
      <c r="R51" s="204">
        <f t="shared" si="35"/>
        <v>74</v>
      </c>
      <c r="S51" s="65">
        <f t="shared" si="26"/>
        <v>0</v>
      </c>
      <c r="T51" s="157">
        <f t="shared" si="10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8"/>
      <c r="BP51" s="168"/>
      <c r="BQ51" s="168"/>
      <c r="BR51" s="168"/>
      <c r="BS51" s="168"/>
      <c r="BT51" s="168"/>
      <c r="BU51" s="168"/>
      <c r="BV51" s="168"/>
      <c r="BW51" s="168"/>
      <c r="BX51" s="168"/>
      <c r="BY51" s="168"/>
      <c r="BZ51" s="168"/>
      <c r="CA51" s="168"/>
      <c r="CB51" s="168"/>
      <c r="CC51" s="168"/>
      <c r="CD51" s="168"/>
      <c r="CE51" s="168"/>
      <c r="CF51" s="168"/>
      <c r="CG51" s="168"/>
      <c r="CH51" s="168"/>
      <c r="CI51" s="168"/>
      <c r="CJ51" s="168"/>
      <c r="CK51" s="168"/>
      <c r="CL51" s="168"/>
      <c r="CM51" s="168"/>
      <c r="CN51" s="168"/>
      <c r="CO51" s="168"/>
      <c r="CP51" s="168"/>
      <c r="CQ51" s="168"/>
      <c r="CR51" s="168"/>
      <c r="CS51" s="168"/>
      <c r="CT51" s="168"/>
      <c r="CU51" s="168"/>
      <c r="CV51" s="168"/>
      <c r="CW51" s="168"/>
      <c r="CX51" s="168"/>
      <c r="CY51" s="168"/>
      <c r="CZ51" s="168"/>
      <c r="DA51" s="168"/>
      <c r="DB51" s="168"/>
      <c r="DC51" s="168"/>
      <c r="DD51" s="168"/>
      <c r="DE51" s="168"/>
      <c r="DF51" s="168"/>
    </row>
    <row r="52" spans="2:110" x14ac:dyDescent="0.4">
      <c r="B52" s="472"/>
      <c r="C52" s="60">
        <v>77</v>
      </c>
      <c r="D52" s="226" t="s">
        <v>181</v>
      </c>
      <c r="E52" s="195">
        <v>45912</v>
      </c>
      <c r="F52" s="195">
        <v>45982</v>
      </c>
      <c r="G52" s="196">
        <f t="shared" si="19"/>
        <v>70</v>
      </c>
      <c r="H52" s="206">
        <f t="shared" si="28"/>
        <v>45912</v>
      </c>
      <c r="I52" s="206">
        <f t="shared" si="29"/>
        <v>45982</v>
      </c>
      <c r="J52" s="199" t="s">
        <v>107</v>
      </c>
      <c r="K52" s="200">
        <v>26</v>
      </c>
      <c r="L52" s="201"/>
      <c r="M52" s="201"/>
      <c r="N52" s="198" t="str">
        <f t="shared" si="31"/>
        <v/>
      </c>
      <c r="O52" s="202" t="str">
        <f t="shared" si="32"/>
        <v>-</v>
      </c>
      <c r="P52" s="205">
        <f t="shared" si="33"/>
        <v>0</v>
      </c>
      <c r="Q52" s="207">
        <f t="shared" si="34"/>
        <v>0</v>
      </c>
      <c r="R52" s="204">
        <f t="shared" si="35"/>
        <v>26</v>
      </c>
      <c r="S52" s="65">
        <f t="shared" si="26"/>
        <v>0</v>
      </c>
      <c r="T52" s="157">
        <f t="shared" si="10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8"/>
      <c r="BP52" s="168"/>
      <c r="BQ52" s="168"/>
      <c r="BR52" s="168"/>
      <c r="BS52" s="168"/>
      <c r="BT52" s="168"/>
      <c r="BU52" s="168"/>
      <c r="BV52" s="168"/>
      <c r="BW52" s="168"/>
      <c r="BX52" s="168"/>
      <c r="BY52" s="168"/>
      <c r="BZ52" s="168"/>
      <c r="CA52" s="168"/>
      <c r="CB52" s="168"/>
      <c r="CC52" s="168"/>
      <c r="CD52" s="168"/>
      <c r="CE52" s="168"/>
      <c r="CF52" s="168"/>
      <c r="CG52" s="168"/>
      <c r="CH52" s="168"/>
      <c r="CI52" s="168"/>
      <c r="CJ52" s="168"/>
      <c r="CK52" s="168"/>
      <c r="CL52" s="168"/>
      <c r="CM52" s="168"/>
      <c r="CN52" s="168"/>
      <c r="CO52" s="168"/>
      <c r="CP52" s="168"/>
      <c r="CQ52" s="168"/>
      <c r="CR52" s="168"/>
      <c r="CS52" s="168"/>
      <c r="CT52" s="168"/>
      <c r="CU52" s="168"/>
      <c r="CV52" s="168"/>
      <c r="CW52" s="168"/>
      <c r="CX52" s="168"/>
      <c r="CY52" s="168"/>
      <c r="CZ52" s="168"/>
      <c r="DA52" s="168"/>
      <c r="DB52" s="168"/>
      <c r="DC52" s="168"/>
      <c r="DD52" s="168"/>
      <c r="DE52" s="168"/>
      <c r="DF52" s="168"/>
    </row>
    <row r="53" spans="2:110" x14ac:dyDescent="0.4">
      <c r="B53" s="472"/>
      <c r="C53" s="60">
        <v>78</v>
      </c>
      <c r="D53" s="226" t="s">
        <v>182</v>
      </c>
      <c r="E53" s="195">
        <v>45919</v>
      </c>
      <c r="F53" s="195">
        <v>45994</v>
      </c>
      <c r="G53" s="196">
        <f t="shared" si="19"/>
        <v>75</v>
      </c>
      <c r="H53" s="206">
        <f t="shared" si="28"/>
        <v>45919</v>
      </c>
      <c r="I53" s="206">
        <f t="shared" si="29"/>
        <v>45994</v>
      </c>
      <c r="J53" s="199" t="s">
        <v>107</v>
      </c>
      <c r="K53" s="200">
        <v>26</v>
      </c>
      <c r="L53" s="201"/>
      <c r="M53" s="201"/>
      <c r="N53" s="198" t="str">
        <f t="shared" si="31"/>
        <v/>
      </c>
      <c r="O53" s="202" t="str">
        <f t="shared" si="32"/>
        <v>-</v>
      </c>
      <c r="P53" s="205">
        <f t="shared" si="33"/>
        <v>0</v>
      </c>
      <c r="Q53" s="207">
        <f t="shared" si="34"/>
        <v>0</v>
      </c>
      <c r="R53" s="204">
        <f t="shared" si="35"/>
        <v>26</v>
      </c>
      <c r="S53" s="65">
        <f t="shared" si="26"/>
        <v>0</v>
      </c>
      <c r="T53" s="157">
        <f t="shared" si="10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8"/>
      <c r="BP53" s="168"/>
      <c r="BQ53" s="168"/>
      <c r="BR53" s="168"/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/>
      <c r="CI53" s="168"/>
      <c r="CJ53" s="168"/>
      <c r="CK53" s="168"/>
      <c r="CL53" s="168"/>
      <c r="CM53" s="168"/>
      <c r="CN53" s="168"/>
      <c r="CO53" s="168"/>
      <c r="CP53" s="168"/>
      <c r="CQ53" s="168"/>
      <c r="CR53" s="168"/>
      <c r="CS53" s="168"/>
      <c r="CT53" s="168"/>
      <c r="CU53" s="168"/>
      <c r="CV53" s="168"/>
      <c r="CW53" s="168"/>
      <c r="CX53" s="168"/>
      <c r="CY53" s="168"/>
      <c r="CZ53" s="168"/>
      <c r="DA53" s="168"/>
      <c r="DB53" s="168"/>
      <c r="DC53" s="168"/>
      <c r="DD53" s="168"/>
      <c r="DE53" s="168"/>
      <c r="DF53" s="168"/>
    </row>
    <row r="54" spans="2:110" x14ac:dyDescent="0.4">
      <c r="B54" s="472"/>
      <c r="C54" s="60">
        <v>79</v>
      </c>
      <c r="D54" s="226" t="s">
        <v>183</v>
      </c>
      <c r="E54" s="195">
        <v>45919</v>
      </c>
      <c r="F54" s="195">
        <v>45959</v>
      </c>
      <c r="G54" s="196">
        <f t="shared" si="19"/>
        <v>40</v>
      </c>
      <c r="H54" s="206">
        <f t="shared" si="28"/>
        <v>45919</v>
      </c>
      <c r="I54" s="206">
        <f t="shared" si="29"/>
        <v>45959</v>
      </c>
      <c r="J54" s="199" t="s">
        <v>107</v>
      </c>
      <c r="K54" s="200">
        <v>26</v>
      </c>
      <c r="L54" s="201"/>
      <c r="M54" s="201"/>
      <c r="N54" s="198" t="str">
        <f t="shared" si="31"/>
        <v/>
      </c>
      <c r="O54" s="202" t="str">
        <f t="shared" si="32"/>
        <v>-</v>
      </c>
      <c r="P54" s="205">
        <f t="shared" si="33"/>
        <v>0</v>
      </c>
      <c r="Q54" s="207">
        <f t="shared" si="34"/>
        <v>0</v>
      </c>
      <c r="R54" s="204">
        <f t="shared" si="35"/>
        <v>26</v>
      </c>
      <c r="S54" s="65">
        <f t="shared" si="26"/>
        <v>0</v>
      </c>
      <c r="T54" s="157">
        <f t="shared" si="10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8"/>
      <c r="BP54" s="168"/>
      <c r="BQ54" s="168"/>
      <c r="BR54" s="168"/>
      <c r="BS54" s="168"/>
      <c r="BT54" s="168"/>
      <c r="BU54" s="168"/>
      <c r="BV54" s="168"/>
      <c r="BW54" s="168"/>
      <c r="BX54" s="168"/>
      <c r="BY54" s="168"/>
      <c r="BZ54" s="168"/>
      <c r="CA54" s="168"/>
      <c r="CB54" s="168"/>
      <c r="CC54" s="168"/>
      <c r="CD54" s="168"/>
      <c r="CE54" s="168"/>
      <c r="CF54" s="168"/>
      <c r="CG54" s="168"/>
      <c r="CH54" s="168"/>
      <c r="CI54" s="168"/>
      <c r="CJ54" s="168"/>
      <c r="CK54" s="168"/>
      <c r="CL54" s="168"/>
      <c r="CM54" s="168"/>
      <c r="CN54" s="168"/>
      <c r="CO54" s="168"/>
      <c r="CP54" s="168"/>
      <c r="CQ54" s="168"/>
      <c r="CR54" s="168"/>
      <c r="CS54" s="168"/>
      <c r="CT54" s="168"/>
      <c r="CU54" s="168"/>
      <c r="CV54" s="168"/>
      <c r="CW54" s="168"/>
      <c r="CX54" s="168"/>
      <c r="CY54" s="168"/>
      <c r="CZ54" s="168"/>
      <c r="DA54" s="168"/>
      <c r="DB54" s="168"/>
      <c r="DC54" s="168"/>
      <c r="DD54" s="168"/>
      <c r="DE54" s="168"/>
      <c r="DF54" s="168"/>
    </row>
    <row r="55" spans="2:110" x14ac:dyDescent="0.4">
      <c r="B55" s="472"/>
      <c r="C55" s="60">
        <v>80</v>
      </c>
      <c r="D55" s="226" t="s">
        <v>184</v>
      </c>
      <c r="E55" s="195">
        <v>45913</v>
      </c>
      <c r="F55" s="195">
        <v>45943</v>
      </c>
      <c r="G55" s="196">
        <f t="shared" si="19"/>
        <v>30</v>
      </c>
      <c r="H55" s="206">
        <f t="shared" si="28"/>
        <v>45913</v>
      </c>
      <c r="I55" s="206">
        <f t="shared" si="29"/>
        <v>45943</v>
      </c>
      <c r="J55" s="199" t="s">
        <v>107</v>
      </c>
      <c r="K55" s="200">
        <v>26</v>
      </c>
      <c r="L55" s="201"/>
      <c r="M55" s="201"/>
      <c r="N55" s="198" t="str">
        <f t="shared" si="31"/>
        <v/>
      </c>
      <c r="O55" s="202" t="str">
        <f t="shared" si="32"/>
        <v>-</v>
      </c>
      <c r="P55" s="205">
        <f t="shared" si="33"/>
        <v>0</v>
      </c>
      <c r="Q55" s="207">
        <f t="shared" si="34"/>
        <v>0</v>
      </c>
      <c r="R55" s="204">
        <f t="shared" si="35"/>
        <v>26</v>
      </c>
      <c r="S55" s="65">
        <f t="shared" si="26"/>
        <v>0</v>
      </c>
      <c r="T55" s="157">
        <f t="shared" ref="T55:T118" si="36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8"/>
      <c r="BP55" s="168"/>
      <c r="BQ55" s="168"/>
      <c r="BR55" s="168"/>
      <c r="BS55" s="168"/>
      <c r="BT55" s="168"/>
      <c r="BU55" s="168"/>
      <c r="BV55" s="168"/>
      <c r="BW55" s="168"/>
      <c r="BX55" s="168"/>
      <c r="BY55" s="168"/>
      <c r="BZ55" s="168"/>
      <c r="CA55" s="168"/>
      <c r="CB55" s="168"/>
      <c r="CC55" s="168"/>
      <c r="CD55" s="168"/>
      <c r="CE55" s="168"/>
      <c r="CF55" s="168"/>
      <c r="CG55" s="168"/>
      <c r="CH55" s="168"/>
      <c r="CI55" s="168"/>
      <c r="CJ55" s="168"/>
      <c r="CK55" s="168"/>
      <c r="CL55" s="168"/>
      <c r="CM55" s="168"/>
      <c r="CN55" s="168"/>
      <c r="CO55" s="168"/>
      <c r="CP55" s="168"/>
      <c r="CQ55" s="168"/>
      <c r="CR55" s="168"/>
      <c r="CS55" s="168"/>
      <c r="CT55" s="168"/>
      <c r="CU55" s="168"/>
      <c r="CV55" s="168"/>
      <c r="CW55" s="168"/>
      <c r="CX55" s="168"/>
      <c r="CY55" s="168"/>
      <c r="CZ55" s="168"/>
      <c r="DA55" s="168"/>
      <c r="DB55" s="168"/>
      <c r="DC55" s="168"/>
      <c r="DD55" s="168"/>
      <c r="DE55" s="168"/>
      <c r="DF55" s="168"/>
    </row>
    <row r="56" spans="2:110" x14ac:dyDescent="0.4">
      <c r="B56" s="472"/>
      <c r="C56" s="60">
        <v>82</v>
      </c>
      <c r="D56" s="226" t="s">
        <v>266</v>
      </c>
      <c r="E56" s="195">
        <v>45912</v>
      </c>
      <c r="F56" s="195">
        <v>45942</v>
      </c>
      <c r="G56" s="196">
        <f t="shared" si="19"/>
        <v>30</v>
      </c>
      <c r="H56" s="206">
        <f t="shared" si="28"/>
        <v>45912</v>
      </c>
      <c r="I56" s="206">
        <f t="shared" si="29"/>
        <v>45942</v>
      </c>
      <c r="J56" s="199" t="s">
        <v>107</v>
      </c>
      <c r="K56" s="200">
        <v>26</v>
      </c>
      <c r="L56" s="201"/>
      <c r="M56" s="201"/>
      <c r="N56" s="198" t="str">
        <f t="shared" si="31"/>
        <v/>
      </c>
      <c r="O56" s="202" t="str">
        <f t="shared" si="32"/>
        <v>-</v>
      </c>
      <c r="P56" s="205">
        <f t="shared" si="33"/>
        <v>0</v>
      </c>
      <c r="Q56" s="207">
        <f t="shared" si="34"/>
        <v>0</v>
      </c>
      <c r="R56" s="204">
        <f t="shared" si="35"/>
        <v>26</v>
      </c>
      <c r="S56" s="65">
        <f t="shared" si="26"/>
        <v>0</v>
      </c>
      <c r="T56" s="157">
        <f t="shared" si="36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  <c r="DA56" s="168"/>
      <c r="DB56" s="168"/>
      <c r="DC56" s="168"/>
      <c r="DD56" s="168"/>
      <c r="DE56" s="168"/>
      <c r="DF56" s="168"/>
    </row>
    <row r="57" spans="2:110" x14ac:dyDescent="0.4">
      <c r="B57" s="472"/>
      <c r="C57" s="60">
        <v>83</v>
      </c>
      <c r="D57" s="226" t="s">
        <v>186</v>
      </c>
      <c r="E57" s="195">
        <v>45940</v>
      </c>
      <c r="F57" s="195">
        <v>45991</v>
      </c>
      <c r="G57" s="196">
        <f t="shared" si="19"/>
        <v>51</v>
      </c>
      <c r="H57" s="206">
        <f t="shared" si="28"/>
        <v>45940</v>
      </c>
      <c r="I57" s="206">
        <f t="shared" si="29"/>
        <v>45991</v>
      </c>
      <c r="J57" s="199" t="s">
        <v>2</v>
      </c>
      <c r="K57" s="200">
        <v>26</v>
      </c>
      <c r="L57" s="201"/>
      <c r="M57" s="201"/>
      <c r="N57" s="198" t="str">
        <f t="shared" si="31"/>
        <v/>
      </c>
      <c r="O57" s="202" t="str">
        <f t="shared" si="32"/>
        <v>-</v>
      </c>
      <c r="P57" s="205">
        <f t="shared" si="33"/>
        <v>0</v>
      </c>
      <c r="Q57" s="207">
        <f t="shared" si="34"/>
        <v>0</v>
      </c>
      <c r="R57" s="204">
        <f t="shared" si="35"/>
        <v>26</v>
      </c>
      <c r="S57" s="65">
        <f t="shared" si="26"/>
        <v>0</v>
      </c>
      <c r="T57" s="157">
        <f t="shared" si="36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8"/>
      <c r="BP57" s="168"/>
      <c r="BQ57" s="168"/>
      <c r="BR57" s="168"/>
      <c r="BS57" s="168"/>
      <c r="BT57" s="168"/>
      <c r="BU57" s="168"/>
      <c r="BV57" s="168"/>
      <c r="BW57" s="168"/>
      <c r="BX57" s="168"/>
      <c r="BY57" s="168"/>
      <c r="BZ57" s="168"/>
      <c r="CA57" s="168"/>
      <c r="CB57" s="168"/>
      <c r="CC57" s="168"/>
      <c r="CD57" s="168"/>
      <c r="CE57" s="168"/>
      <c r="CF57" s="168"/>
      <c r="CG57" s="168"/>
      <c r="CH57" s="168"/>
      <c r="CI57" s="168"/>
      <c r="CJ57" s="168"/>
      <c r="CK57" s="168"/>
      <c r="CL57" s="168"/>
      <c r="CM57" s="168"/>
      <c r="CN57" s="168"/>
      <c r="CO57" s="168"/>
      <c r="CP57" s="168"/>
      <c r="CQ57" s="168"/>
      <c r="CR57" s="168"/>
      <c r="CS57" s="168"/>
      <c r="CT57" s="168"/>
      <c r="CU57" s="168"/>
      <c r="CV57" s="168"/>
      <c r="CW57" s="168"/>
      <c r="CX57" s="168"/>
      <c r="CY57" s="168"/>
      <c r="CZ57" s="168"/>
      <c r="DA57" s="168"/>
      <c r="DB57" s="168"/>
      <c r="DC57" s="168"/>
      <c r="DD57" s="168"/>
      <c r="DE57" s="168"/>
      <c r="DF57" s="168"/>
    </row>
    <row r="58" spans="2:110" x14ac:dyDescent="0.4">
      <c r="B58" s="472"/>
      <c r="C58" s="60">
        <v>84</v>
      </c>
      <c r="D58" s="226" t="s">
        <v>187</v>
      </c>
      <c r="E58" s="195">
        <v>45945</v>
      </c>
      <c r="F58" s="195">
        <v>45996</v>
      </c>
      <c r="G58" s="196">
        <f t="shared" si="19"/>
        <v>51</v>
      </c>
      <c r="H58" s="206">
        <f t="shared" si="28"/>
        <v>45945</v>
      </c>
      <c r="I58" s="206">
        <f t="shared" si="29"/>
        <v>45996</v>
      </c>
      <c r="J58" s="199" t="s">
        <v>2</v>
      </c>
      <c r="K58" s="200">
        <v>26</v>
      </c>
      <c r="L58" s="201"/>
      <c r="M58" s="201"/>
      <c r="N58" s="198" t="str">
        <f t="shared" si="31"/>
        <v/>
      </c>
      <c r="O58" s="202" t="str">
        <f t="shared" si="32"/>
        <v>-</v>
      </c>
      <c r="P58" s="205">
        <f t="shared" si="33"/>
        <v>0</v>
      </c>
      <c r="Q58" s="207">
        <f t="shared" si="34"/>
        <v>0</v>
      </c>
      <c r="R58" s="204">
        <f t="shared" si="35"/>
        <v>26</v>
      </c>
      <c r="S58" s="65">
        <f t="shared" si="26"/>
        <v>0</v>
      </c>
      <c r="T58" s="157">
        <f t="shared" si="36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8"/>
      <c r="BP58" s="168"/>
      <c r="BQ58" s="168"/>
      <c r="BR58" s="168"/>
      <c r="BS58" s="168"/>
      <c r="BT58" s="168"/>
      <c r="BU58" s="168"/>
      <c r="BV58" s="168"/>
      <c r="BW58" s="168"/>
      <c r="BX58" s="168"/>
      <c r="BY58" s="168"/>
      <c r="BZ58" s="168"/>
      <c r="CA58" s="168"/>
      <c r="CB58" s="168"/>
      <c r="CC58" s="168"/>
      <c r="CD58" s="168"/>
      <c r="CE58" s="168"/>
      <c r="CF58" s="168"/>
      <c r="CG58" s="168"/>
      <c r="CH58" s="168"/>
      <c r="CI58" s="168"/>
      <c r="CJ58" s="168"/>
      <c r="CK58" s="168"/>
      <c r="CL58" s="168"/>
      <c r="CM58" s="168"/>
      <c r="CN58" s="168"/>
      <c r="CO58" s="168"/>
      <c r="CP58" s="168"/>
      <c r="CQ58" s="168"/>
      <c r="CR58" s="168"/>
      <c r="CS58" s="168"/>
      <c r="CT58" s="168"/>
      <c r="CU58" s="168"/>
      <c r="CV58" s="168"/>
      <c r="CW58" s="168"/>
      <c r="CX58" s="168"/>
      <c r="CY58" s="168"/>
      <c r="CZ58" s="168"/>
      <c r="DA58" s="168"/>
      <c r="DB58" s="168"/>
      <c r="DC58" s="168"/>
      <c r="DD58" s="168"/>
      <c r="DE58" s="168"/>
      <c r="DF58" s="168"/>
    </row>
    <row r="59" spans="2:110" x14ac:dyDescent="0.4">
      <c r="B59" s="472"/>
      <c r="C59" s="60">
        <v>85</v>
      </c>
      <c r="D59" s="226" t="s">
        <v>188</v>
      </c>
      <c r="E59" s="195">
        <v>45931</v>
      </c>
      <c r="F59" s="195">
        <v>45979</v>
      </c>
      <c r="G59" s="196">
        <f t="shared" si="19"/>
        <v>48</v>
      </c>
      <c r="H59" s="195">
        <f t="shared" si="28"/>
        <v>45931</v>
      </c>
      <c r="I59" s="195">
        <f t="shared" si="29"/>
        <v>45979</v>
      </c>
      <c r="J59" s="199" t="s">
        <v>2</v>
      </c>
      <c r="K59" s="200">
        <v>26</v>
      </c>
      <c r="L59" s="201"/>
      <c r="M59" s="201"/>
      <c r="N59" s="198" t="str">
        <f t="shared" si="31"/>
        <v/>
      </c>
      <c r="O59" s="202" t="str">
        <f t="shared" si="32"/>
        <v>-</v>
      </c>
      <c r="P59" s="205">
        <f t="shared" si="33"/>
        <v>0</v>
      </c>
      <c r="Q59" s="207">
        <f t="shared" si="34"/>
        <v>0</v>
      </c>
      <c r="R59" s="204">
        <f t="shared" si="35"/>
        <v>26</v>
      </c>
      <c r="S59" s="65">
        <f t="shared" si="26"/>
        <v>0</v>
      </c>
      <c r="T59" s="157">
        <f t="shared" si="36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8"/>
      <c r="BP59" s="168"/>
      <c r="BQ59" s="168"/>
      <c r="BR59" s="168"/>
      <c r="BS59" s="168"/>
      <c r="BT59" s="168"/>
      <c r="BU59" s="168"/>
      <c r="BV59" s="168"/>
      <c r="BW59" s="168"/>
      <c r="BX59" s="168"/>
      <c r="BY59" s="168"/>
      <c r="BZ59" s="168"/>
      <c r="CA59" s="168"/>
      <c r="CB59" s="168"/>
      <c r="CC59" s="168"/>
      <c r="CD59" s="168"/>
      <c r="CE59" s="168"/>
      <c r="CF59" s="168"/>
      <c r="CG59" s="168"/>
      <c r="CH59" s="168"/>
      <c r="CI59" s="168"/>
      <c r="CJ59" s="168"/>
      <c r="CK59" s="168"/>
      <c r="CL59" s="168"/>
      <c r="CM59" s="168"/>
      <c r="CN59" s="168"/>
      <c r="CO59" s="168"/>
      <c r="CP59" s="168"/>
      <c r="CQ59" s="168"/>
      <c r="CR59" s="168"/>
      <c r="CS59" s="168"/>
      <c r="CT59" s="168"/>
      <c r="CU59" s="168"/>
      <c r="CV59" s="168"/>
      <c r="CW59" s="168"/>
      <c r="CX59" s="168"/>
      <c r="CY59" s="168"/>
      <c r="CZ59" s="168"/>
      <c r="DA59" s="168"/>
      <c r="DB59" s="168"/>
      <c r="DC59" s="168"/>
      <c r="DD59" s="168"/>
      <c r="DE59" s="168"/>
      <c r="DF59" s="168"/>
    </row>
    <row r="60" spans="2:110" x14ac:dyDescent="0.4">
      <c r="B60" s="472"/>
      <c r="C60" s="60">
        <v>86</v>
      </c>
      <c r="D60" s="226" t="s">
        <v>16</v>
      </c>
      <c r="E60" s="195">
        <v>45935</v>
      </c>
      <c r="F60" s="195">
        <v>46021</v>
      </c>
      <c r="G60" s="196">
        <f t="shared" si="19"/>
        <v>86</v>
      </c>
      <c r="H60" s="195">
        <f t="shared" si="28"/>
        <v>45935</v>
      </c>
      <c r="I60" s="195">
        <f t="shared" si="29"/>
        <v>46021</v>
      </c>
      <c r="J60" s="199" t="s">
        <v>2</v>
      </c>
      <c r="K60" s="200">
        <v>26</v>
      </c>
      <c r="L60" s="201"/>
      <c r="M60" s="201"/>
      <c r="N60" s="198" t="str">
        <f t="shared" si="31"/>
        <v/>
      </c>
      <c r="O60" s="202" t="str">
        <f t="shared" si="32"/>
        <v>-</v>
      </c>
      <c r="P60" s="205">
        <f t="shared" si="33"/>
        <v>0</v>
      </c>
      <c r="Q60" s="207">
        <f t="shared" si="34"/>
        <v>0</v>
      </c>
      <c r="R60" s="204">
        <f t="shared" si="35"/>
        <v>26</v>
      </c>
      <c r="S60" s="65">
        <f t="shared" si="26"/>
        <v>0</v>
      </c>
      <c r="T60" s="157">
        <f t="shared" si="36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8"/>
      <c r="BP60" s="168"/>
      <c r="BQ60" s="168"/>
      <c r="BR60" s="168"/>
      <c r="BS60" s="168"/>
      <c r="BT60" s="168"/>
      <c r="BU60" s="168"/>
      <c r="BV60" s="168"/>
      <c r="BW60" s="168"/>
      <c r="BX60" s="168"/>
      <c r="BY60" s="168"/>
      <c r="BZ60" s="168"/>
      <c r="CA60" s="168"/>
      <c r="CB60" s="168"/>
      <c r="CC60" s="168"/>
      <c r="CD60" s="168"/>
      <c r="CE60" s="168"/>
      <c r="CF60" s="168"/>
      <c r="CG60" s="168"/>
      <c r="CH60" s="168"/>
      <c r="CI60" s="168"/>
      <c r="CJ60" s="168"/>
      <c r="CK60" s="168"/>
      <c r="CL60" s="168"/>
      <c r="CM60" s="168"/>
      <c r="CN60" s="168"/>
      <c r="CO60" s="168"/>
      <c r="CP60" s="168"/>
      <c r="CQ60" s="168"/>
      <c r="CR60" s="168"/>
      <c r="CS60" s="168"/>
      <c r="CT60" s="168"/>
      <c r="CU60" s="168"/>
      <c r="CV60" s="168"/>
      <c r="CW60" s="168"/>
      <c r="CX60" s="168"/>
      <c r="CY60" s="168"/>
      <c r="CZ60" s="168"/>
      <c r="DA60" s="168"/>
      <c r="DB60" s="168"/>
      <c r="DC60" s="168"/>
      <c r="DD60" s="168"/>
      <c r="DE60" s="168"/>
      <c r="DF60" s="168"/>
    </row>
    <row r="61" spans="2:110" x14ac:dyDescent="0.4">
      <c r="B61" s="472"/>
      <c r="C61" s="60">
        <v>87</v>
      </c>
      <c r="D61" s="226" t="s">
        <v>189</v>
      </c>
      <c r="E61" s="195">
        <v>45940</v>
      </c>
      <c r="F61" s="195">
        <v>46021</v>
      </c>
      <c r="G61" s="196">
        <f t="shared" si="19"/>
        <v>81</v>
      </c>
      <c r="H61" s="195">
        <f t="shared" si="28"/>
        <v>45940</v>
      </c>
      <c r="I61" s="195">
        <f t="shared" si="29"/>
        <v>46021</v>
      </c>
      <c r="J61" s="199" t="s">
        <v>2</v>
      </c>
      <c r="K61" s="200">
        <v>26</v>
      </c>
      <c r="L61" s="201"/>
      <c r="M61" s="201"/>
      <c r="N61" s="198" t="str">
        <f t="shared" si="31"/>
        <v/>
      </c>
      <c r="O61" s="202" t="str">
        <f t="shared" si="32"/>
        <v>-</v>
      </c>
      <c r="P61" s="205">
        <f t="shared" si="33"/>
        <v>0</v>
      </c>
      <c r="Q61" s="207">
        <f t="shared" si="34"/>
        <v>0</v>
      </c>
      <c r="R61" s="204">
        <f t="shared" si="35"/>
        <v>26</v>
      </c>
      <c r="S61" s="65">
        <f t="shared" si="26"/>
        <v>0</v>
      </c>
      <c r="T61" s="157">
        <f t="shared" si="36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8"/>
      <c r="BP61" s="168"/>
      <c r="BQ61" s="168"/>
      <c r="BR61" s="168"/>
      <c r="BS61" s="168"/>
      <c r="BT61" s="168"/>
      <c r="BU61" s="168"/>
      <c r="BV61" s="168"/>
      <c r="BW61" s="168"/>
      <c r="BX61" s="168"/>
      <c r="BY61" s="168"/>
      <c r="BZ61" s="168"/>
      <c r="CA61" s="168"/>
      <c r="CB61" s="168"/>
      <c r="CC61" s="168"/>
      <c r="CD61" s="168"/>
      <c r="CE61" s="168"/>
      <c r="CF61" s="168"/>
      <c r="CG61" s="168"/>
      <c r="CH61" s="168"/>
      <c r="CI61" s="168"/>
      <c r="CJ61" s="168"/>
      <c r="CK61" s="168"/>
      <c r="CL61" s="168"/>
      <c r="CM61" s="168"/>
      <c r="CN61" s="168"/>
      <c r="CO61" s="168"/>
      <c r="CP61" s="168"/>
      <c r="CQ61" s="168"/>
      <c r="CR61" s="168"/>
      <c r="CS61" s="168"/>
      <c r="CT61" s="168"/>
      <c r="CU61" s="168"/>
      <c r="CV61" s="168"/>
      <c r="CW61" s="168"/>
      <c r="CX61" s="168"/>
      <c r="CY61" s="168"/>
      <c r="CZ61" s="168"/>
      <c r="DA61" s="168"/>
      <c r="DB61" s="168"/>
      <c r="DC61" s="168"/>
      <c r="DD61" s="168"/>
      <c r="DE61" s="168"/>
      <c r="DF61" s="168"/>
    </row>
    <row r="62" spans="2:110" x14ac:dyDescent="0.4">
      <c r="B62" s="472"/>
      <c r="C62" s="60">
        <v>88</v>
      </c>
      <c r="D62" s="226" t="s">
        <v>179</v>
      </c>
      <c r="E62" s="195">
        <v>45986</v>
      </c>
      <c r="F62" s="195">
        <v>46027</v>
      </c>
      <c r="G62" s="196">
        <f t="shared" si="19"/>
        <v>41</v>
      </c>
      <c r="H62" s="195">
        <f t="shared" ref="H62:H91" si="37">E62</f>
        <v>45986</v>
      </c>
      <c r="I62" s="195">
        <f t="shared" ref="I62:I91" si="38">F62</f>
        <v>46027</v>
      </c>
      <c r="J62" s="199" t="s">
        <v>2</v>
      </c>
      <c r="K62" s="200">
        <v>26</v>
      </c>
      <c r="L62" s="201"/>
      <c r="M62" s="201"/>
      <c r="N62" s="198" t="str">
        <f t="shared" si="31"/>
        <v/>
      </c>
      <c r="O62" s="202" t="str">
        <f t="shared" si="32"/>
        <v>-</v>
      </c>
      <c r="P62" s="205">
        <f t="shared" si="33"/>
        <v>0</v>
      </c>
      <c r="Q62" s="207">
        <f t="shared" si="34"/>
        <v>0</v>
      </c>
      <c r="R62" s="204">
        <f t="shared" si="35"/>
        <v>26</v>
      </c>
      <c r="S62" s="65">
        <f t="shared" si="26"/>
        <v>0</v>
      </c>
      <c r="T62" s="157">
        <f t="shared" si="36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8"/>
      <c r="BP62" s="168"/>
      <c r="BQ62" s="168"/>
      <c r="BR62" s="168"/>
      <c r="BS62" s="168"/>
      <c r="BT62" s="168"/>
      <c r="BU62" s="168"/>
      <c r="BV62" s="168"/>
      <c r="BW62" s="168"/>
      <c r="BX62" s="168"/>
      <c r="BY62" s="168"/>
      <c r="BZ62" s="168"/>
      <c r="CA62" s="168"/>
      <c r="CB62" s="168"/>
      <c r="CC62" s="168"/>
      <c r="CD62" s="168"/>
      <c r="CE62" s="168"/>
      <c r="CF62" s="168"/>
      <c r="CG62" s="168"/>
      <c r="CH62" s="168"/>
      <c r="CI62" s="168"/>
      <c r="CJ62" s="168"/>
      <c r="CK62" s="168"/>
      <c r="CL62" s="168"/>
      <c r="CM62" s="168"/>
      <c r="CN62" s="168"/>
      <c r="CO62" s="168"/>
      <c r="CP62" s="168"/>
      <c r="CQ62" s="168"/>
      <c r="CR62" s="168"/>
      <c r="CS62" s="168"/>
      <c r="CT62" s="168"/>
      <c r="CU62" s="168"/>
      <c r="CV62" s="168"/>
      <c r="CW62" s="168"/>
      <c r="CX62" s="168"/>
      <c r="CY62" s="168"/>
      <c r="CZ62" s="168"/>
      <c r="DA62" s="168"/>
      <c r="DB62" s="168"/>
      <c r="DC62" s="168"/>
      <c r="DD62" s="168"/>
      <c r="DE62" s="168"/>
      <c r="DF62" s="168"/>
    </row>
    <row r="63" spans="2:110" x14ac:dyDescent="0.4">
      <c r="B63" s="472" t="s">
        <v>190</v>
      </c>
      <c r="C63" s="60">
        <v>89</v>
      </c>
      <c r="D63" s="226" t="s">
        <v>191</v>
      </c>
      <c r="E63" s="195">
        <v>45950</v>
      </c>
      <c r="F63" s="195">
        <v>45976</v>
      </c>
      <c r="G63" s="196">
        <f t="shared" si="19"/>
        <v>26</v>
      </c>
      <c r="H63" s="195">
        <f t="shared" si="37"/>
        <v>45950</v>
      </c>
      <c r="I63" s="195">
        <f t="shared" si="38"/>
        <v>45976</v>
      </c>
      <c r="J63" s="199" t="s">
        <v>11</v>
      </c>
      <c r="K63" s="200">
        <v>1</v>
      </c>
      <c r="L63" s="201"/>
      <c r="M63" s="201"/>
      <c r="N63" s="198" t="str">
        <f t="shared" si="31"/>
        <v/>
      </c>
      <c r="O63" s="202" t="str">
        <f t="shared" si="32"/>
        <v>-</v>
      </c>
      <c r="P63" s="205">
        <f t="shared" si="33"/>
        <v>0</v>
      </c>
      <c r="Q63" s="207">
        <f t="shared" si="34"/>
        <v>0</v>
      </c>
      <c r="R63" s="204">
        <f t="shared" si="35"/>
        <v>1</v>
      </c>
      <c r="S63" s="65">
        <f t="shared" si="26"/>
        <v>0</v>
      </c>
      <c r="T63" s="157">
        <f t="shared" si="36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8"/>
      <c r="BP63" s="168"/>
      <c r="BQ63" s="168"/>
      <c r="BR63" s="168"/>
      <c r="BS63" s="168"/>
      <c r="BT63" s="168"/>
      <c r="BU63" s="168"/>
      <c r="BV63" s="168"/>
      <c r="BW63" s="168"/>
      <c r="BX63" s="168"/>
      <c r="BY63" s="168"/>
      <c r="BZ63" s="168"/>
      <c r="CA63" s="168"/>
      <c r="CB63" s="168"/>
      <c r="CC63" s="168"/>
      <c r="CD63" s="168"/>
      <c r="CE63" s="168"/>
      <c r="CF63" s="168"/>
      <c r="CG63" s="168"/>
      <c r="CH63" s="168"/>
      <c r="CI63" s="168"/>
      <c r="CJ63" s="168"/>
      <c r="CK63" s="168"/>
      <c r="CL63" s="168"/>
      <c r="CM63" s="168"/>
      <c r="CN63" s="168"/>
      <c r="CO63" s="168"/>
      <c r="CP63" s="168"/>
      <c r="CQ63" s="168"/>
      <c r="CR63" s="168"/>
      <c r="CS63" s="168"/>
      <c r="CT63" s="168"/>
      <c r="CU63" s="168"/>
      <c r="CV63" s="168"/>
      <c r="CW63" s="168"/>
      <c r="CX63" s="168"/>
      <c r="CY63" s="168"/>
      <c r="CZ63" s="168"/>
      <c r="DA63" s="168"/>
      <c r="DB63" s="168"/>
      <c r="DC63" s="168"/>
      <c r="DD63" s="168"/>
      <c r="DE63" s="168"/>
      <c r="DF63" s="168"/>
    </row>
    <row r="64" spans="2:110" x14ac:dyDescent="0.4">
      <c r="B64" s="472"/>
      <c r="C64" s="60">
        <v>90</v>
      </c>
      <c r="D64" s="226" t="s">
        <v>192</v>
      </c>
      <c r="E64" s="195">
        <v>45919</v>
      </c>
      <c r="F64" s="195">
        <v>45959</v>
      </c>
      <c r="G64" s="196">
        <f t="shared" si="19"/>
        <v>40</v>
      </c>
      <c r="H64" s="195">
        <f t="shared" si="37"/>
        <v>45919</v>
      </c>
      <c r="I64" s="195">
        <f t="shared" si="38"/>
        <v>45959</v>
      </c>
      <c r="J64" s="199" t="s">
        <v>11</v>
      </c>
      <c r="K64" s="200">
        <v>1</v>
      </c>
      <c r="L64" s="201"/>
      <c r="M64" s="201"/>
      <c r="N64" s="198" t="str">
        <f t="shared" si="31"/>
        <v/>
      </c>
      <c r="O64" s="202" t="str">
        <f t="shared" si="32"/>
        <v>-</v>
      </c>
      <c r="P64" s="205">
        <f t="shared" si="33"/>
        <v>0</v>
      </c>
      <c r="Q64" s="207">
        <f t="shared" si="34"/>
        <v>0</v>
      </c>
      <c r="R64" s="204">
        <f t="shared" si="35"/>
        <v>1</v>
      </c>
      <c r="S64" s="65">
        <f t="shared" si="26"/>
        <v>0</v>
      </c>
      <c r="T64" s="157">
        <f t="shared" si="36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8"/>
      <c r="BP64" s="168"/>
      <c r="BQ64" s="168"/>
      <c r="BR64" s="168"/>
      <c r="BS64" s="168"/>
      <c r="BT64" s="168"/>
      <c r="BU64" s="168"/>
      <c r="BV64" s="168"/>
      <c r="BW64" s="168"/>
      <c r="BX64" s="168"/>
      <c r="BY64" s="168"/>
      <c r="BZ64" s="168"/>
      <c r="CA64" s="168"/>
      <c r="CB64" s="168"/>
      <c r="CC64" s="168"/>
      <c r="CD64" s="168"/>
      <c r="CE64" s="168"/>
      <c r="CF64" s="168"/>
      <c r="CG64" s="168"/>
      <c r="CH64" s="168"/>
      <c r="CI64" s="168"/>
      <c r="CJ64" s="168"/>
      <c r="CK64" s="168"/>
      <c r="CL64" s="168"/>
      <c r="CM64" s="168"/>
      <c r="CN64" s="168"/>
      <c r="CO64" s="168"/>
      <c r="CP64" s="168"/>
      <c r="CQ64" s="168"/>
      <c r="CR64" s="168"/>
      <c r="CS64" s="168"/>
      <c r="CT64" s="168"/>
      <c r="CU64" s="168"/>
      <c r="CV64" s="168"/>
      <c r="CW64" s="168"/>
      <c r="CX64" s="168"/>
      <c r="CY64" s="168"/>
      <c r="CZ64" s="168"/>
      <c r="DA64" s="168"/>
      <c r="DB64" s="168"/>
      <c r="DC64" s="168"/>
      <c r="DD64" s="168"/>
      <c r="DE64" s="168"/>
      <c r="DF64" s="168"/>
    </row>
    <row r="65" spans="2:110" x14ac:dyDescent="0.4">
      <c r="B65" s="472"/>
      <c r="C65" s="60">
        <v>91</v>
      </c>
      <c r="D65" s="226" t="s">
        <v>193</v>
      </c>
      <c r="E65" s="195">
        <v>45935</v>
      </c>
      <c r="F65" s="195">
        <v>45971</v>
      </c>
      <c r="G65" s="196">
        <f t="shared" si="19"/>
        <v>36</v>
      </c>
      <c r="H65" s="195">
        <f t="shared" si="37"/>
        <v>45935</v>
      </c>
      <c r="I65" s="195">
        <f t="shared" si="38"/>
        <v>45971</v>
      </c>
      <c r="J65" s="199" t="s">
        <v>11</v>
      </c>
      <c r="K65" s="200">
        <v>1</v>
      </c>
      <c r="L65" s="201"/>
      <c r="M65" s="201"/>
      <c r="N65" s="198" t="str">
        <f t="shared" si="31"/>
        <v/>
      </c>
      <c r="O65" s="202" t="str">
        <f t="shared" si="32"/>
        <v>-</v>
      </c>
      <c r="P65" s="205">
        <f t="shared" si="33"/>
        <v>0</v>
      </c>
      <c r="Q65" s="207">
        <f t="shared" si="34"/>
        <v>0</v>
      </c>
      <c r="R65" s="204">
        <f t="shared" si="35"/>
        <v>1</v>
      </c>
      <c r="S65" s="65">
        <f t="shared" si="26"/>
        <v>0</v>
      </c>
      <c r="T65" s="157">
        <f t="shared" si="36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8"/>
      <c r="BP65" s="168"/>
      <c r="BQ65" s="168"/>
      <c r="BR65" s="168"/>
      <c r="BS65" s="168"/>
      <c r="BT65" s="168"/>
      <c r="BU65" s="168"/>
      <c r="BV65" s="168"/>
      <c r="BW65" s="168"/>
      <c r="BX65" s="168"/>
      <c r="BY65" s="168"/>
      <c r="BZ65" s="168"/>
      <c r="CA65" s="168"/>
      <c r="CB65" s="168"/>
      <c r="CC65" s="168"/>
      <c r="CD65" s="168"/>
      <c r="CE65" s="168"/>
      <c r="CF65" s="168"/>
      <c r="CG65" s="168"/>
      <c r="CH65" s="168"/>
      <c r="CI65" s="168"/>
      <c r="CJ65" s="168"/>
      <c r="CK65" s="168"/>
      <c r="CL65" s="168"/>
      <c r="CM65" s="168"/>
      <c r="CN65" s="168"/>
      <c r="CO65" s="168"/>
      <c r="CP65" s="168"/>
      <c r="CQ65" s="168"/>
      <c r="CR65" s="168"/>
      <c r="CS65" s="168"/>
      <c r="CT65" s="168"/>
      <c r="CU65" s="168"/>
      <c r="CV65" s="168"/>
      <c r="CW65" s="168"/>
      <c r="CX65" s="168"/>
      <c r="CY65" s="168"/>
      <c r="CZ65" s="168"/>
      <c r="DA65" s="168"/>
      <c r="DB65" s="168"/>
      <c r="DC65" s="168"/>
      <c r="DD65" s="168"/>
      <c r="DE65" s="168"/>
      <c r="DF65" s="168"/>
    </row>
    <row r="66" spans="2:110" ht="29" x14ac:dyDescent="0.4">
      <c r="B66" s="472"/>
      <c r="C66" s="60">
        <v>92</v>
      </c>
      <c r="D66" s="226" t="s">
        <v>194</v>
      </c>
      <c r="E66" s="195">
        <v>45996</v>
      </c>
      <c r="F66" s="195">
        <v>46027</v>
      </c>
      <c r="G66" s="196">
        <f t="shared" si="19"/>
        <v>31</v>
      </c>
      <c r="H66" s="195">
        <f t="shared" si="37"/>
        <v>45996</v>
      </c>
      <c r="I66" s="195">
        <f t="shared" si="38"/>
        <v>46027</v>
      </c>
      <c r="J66" s="199" t="s">
        <v>11</v>
      </c>
      <c r="K66" s="200">
        <v>1</v>
      </c>
      <c r="L66" s="201"/>
      <c r="M66" s="201"/>
      <c r="N66" s="198" t="str">
        <f t="shared" si="31"/>
        <v/>
      </c>
      <c r="O66" s="202" t="str">
        <f t="shared" si="32"/>
        <v>-</v>
      </c>
      <c r="P66" s="205">
        <f t="shared" si="33"/>
        <v>0</v>
      </c>
      <c r="Q66" s="207">
        <f t="shared" si="34"/>
        <v>0</v>
      </c>
      <c r="R66" s="204">
        <f t="shared" si="35"/>
        <v>1</v>
      </c>
      <c r="S66" s="65">
        <f t="shared" si="26"/>
        <v>0</v>
      </c>
      <c r="T66" s="157">
        <f t="shared" si="36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8"/>
      <c r="BP66" s="168"/>
      <c r="BQ66" s="168"/>
      <c r="BR66" s="168"/>
      <c r="BS66" s="168"/>
      <c r="BT66" s="168"/>
      <c r="BU66" s="168"/>
      <c r="BV66" s="168"/>
      <c r="BW66" s="168"/>
      <c r="BX66" s="168"/>
      <c r="BY66" s="168"/>
      <c r="BZ66" s="168"/>
      <c r="CA66" s="168"/>
      <c r="CB66" s="168"/>
      <c r="CC66" s="168"/>
      <c r="CD66" s="168"/>
      <c r="CE66" s="168"/>
      <c r="CF66" s="168"/>
      <c r="CG66" s="168"/>
      <c r="CH66" s="168"/>
      <c r="CI66" s="168"/>
      <c r="CJ66" s="168"/>
      <c r="CK66" s="168"/>
      <c r="CL66" s="168"/>
      <c r="CM66" s="168"/>
      <c r="CN66" s="168"/>
      <c r="CO66" s="168"/>
      <c r="CP66" s="168"/>
      <c r="CQ66" s="168"/>
      <c r="CR66" s="168"/>
      <c r="CS66" s="168"/>
      <c r="CT66" s="168"/>
      <c r="CU66" s="168"/>
      <c r="CV66" s="168"/>
      <c r="CW66" s="168"/>
      <c r="CX66" s="168"/>
      <c r="CY66" s="168"/>
      <c r="CZ66" s="168"/>
      <c r="DA66" s="168"/>
      <c r="DB66" s="168"/>
      <c r="DC66" s="168"/>
      <c r="DD66" s="168"/>
      <c r="DE66" s="168"/>
      <c r="DF66" s="168"/>
    </row>
    <row r="67" spans="2:110" x14ac:dyDescent="0.4">
      <c r="B67" s="472"/>
      <c r="C67" s="60">
        <v>93</v>
      </c>
      <c r="D67" s="226" t="s">
        <v>429</v>
      </c>
      <c r="E67" s="195">
        <v>46024</v>
      </c>
      <c r="F67" s="195">
        <v>46042</v>
      </c>
      <c r="G67" s="196">
        <f t="shared" si="19"/>
        <v>18</v>
      </c>
      <c r="H67" s="195">
        <f t="shared" si="37"/>
        <v>46024</v>
      </c>
      <c r="I67" s="195">
        <f t="shared" si="38"/>
        <v>46042</v>
      </c>
      <c r="J67" s="199" t="s">
        <v>11</v>
      </c>
      <c r="K67" s="200">
        <v>1</v>
      </c>
      <c r="L67" s="201"/>
      <c r="M67" s="201"/>
      <c r="N67" s="198" t="str">
        <f t="shared" si="31"/>
        <v/>
      </c>
      <c r="O67" s="202" t="str">
        <f t="shared" si="32"/>
        <v>-</v>
      </c>
      <c r="P67" s="205">
        <f t="shared" si="33"/>
        <v>0</v>
      </c>
      <c r="Q67" s="207">
        <f t="shared" si="34"/>
        <v>0</v>
      </c>
      <c r="R67" s="204">
        <f t="shared" si="35"/>
        <v>1</v>
      </c>
      <c r="S67" s="65">
        <f t="shared" si="26"/>
        <v>0</v>
      </c>
      <c r="T67" s="157">
        <f t="shared" si="36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8"/>
      <c r="BP67" s="168"/>
      <c r="BQ67" s="168"/>
      <c r="BR67" s="168"/>
      <c r="BS67" s="168"/>
      <c r="BT67" s="168"/>
      <c r="BU67" s="168"/>
      <c r="BV67" s="168"/>
      <c r="BW67" s="168"/>
      <c r="BX67" s="168"/>
      <c r="BY67" s="168"/>
      <c r="BZ67" s="168"/>
      <c r="CA67" s="168"/>
      <c r="CB67" s="168"/>
      <c r="CC67" s="168"/>
      <c r="CD67" s="168"/>
      <c r="CE67" s="168"/>
      <c r="CF67" s="168"/>
      <c r="CG67" s="168"/>
      <c r="CH67" s="168"/>
      <c r="CI67" s="168"/>
      <c r="CJ67" s="168"/>
      <c r="CK67" s="168"/>
      <c r="CL67" s="168"/>
      <c r="CM67" s="168"/>
      <c r="CN67" s="168"/>
      <c r="CO67" s="168"/>
      <c r="CP67" s="168"/>
      <c r="CQ67" s="168"/>
      <c r="CR67" s="168"/>
      <c r="CS67" s="168"/>
      <c r="CT67" s="168"/>
      <c r="CU67" s="168"/>
      <c r="CV67" s="168"/>
      <c r="CW67" s="168"/>
      <c r="CX67" s="168"/>
      <c r="CY67" s="168"/>
      <c r="CZ67" s="168"/>
      <c r="DA67" s="168"/>
      <c r="DB67" s="168"/>
      <c r="DC67" s="168"/>
      <c r="DD67" s="168"/>
      <c r="DE67" s="168"/>
      <c r="DF67" s="168"/>
    </row>
    <row r="68" spans="2:110" ht="29" x14ac:dyDescent="0.4">
      <c r="B68" s="472"/>
      <c r="C68" s="60">
        <v>94</v>
      </c>
      <c r="D68" s="226" t="s">
        <v>196</v>
      </c>
      <c r="E68" s="195">
        <v>46016</v>
      </c>
      <c r="F68" s="195">
        <f>E68+8</f>
        <v>46024</v>
      </c>
      <c r="G68" s="196">
        <f t="shared" si="19"/>
        <v>8</v>
      </c>
      <c r="H68" s="195">
        <f t="shared" si="37"/>
        <v>46016</v>
      </c>
      <c r="I68" s="195">
        <f t="shared" si="38"/>
        <v>46024</v>
      </c>
      <c r="J68" s="199" t="s">
        <v>11</v>
      </c>
      <c r="K68" s="200">
        <v>1</v>
      </c>
      <c r="L68" s="201"/>
      <c r="M68" s="201"/>
      <c r="N68" s="198" t="str">
        <f t="shared" si="31"/>
        <v/>
      </c>
      <c r="O68" s="202" t="str">
        <f t="shared" si="32"/>
        <v>-</v>
      </c>
      <c r="P68" s="205">
        <f t="shared" si="33"/>
        <v>0</v>
      </c>
      <c r="Q68" s="207">
        <f t="shared" si="34"/>
        <v>0</v>
      </c>
      <c r="R68" s="204">
        <f t="shared" si="35"/>
        <v>1</v>
      </c>
      <c r="S68" s="65">
        <f t="shared" ref="S68:S99" si="39">SUM(U68:XFD68)</f>
        <v>0</v>
      </c>
      <c r="T68" s="157">
        <f t="shared" si="36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8"/>
      <c r="BP68" s="168"/>
      <c r="BQ68" s="168"/>
      <c r="BR68" s="168"/>
      <c r="BS68" s="168"/>
      <c r="BT68" s="168"/>
      <c r="BU68" s="168"/>
      <c r="BV68" s="168"/>
      <c r="BW68" s="168"/>
      <c r="BX68" s="168"/>
      <c r="BY68" s="168"/>
      <c r="BZ68" s="168"/>
      <c r="CA68" s="168"/>
      <c r="CB68" s="168"/>
      <c r="CC68" s="168"/>
      <c r="CD68" s="168"/>
      <c r="CE68" s="168"/>
      <c r="CF68" s="168"/>
      <c r="CG68" s="168"/>
      <c r="CH68" s="168"/>
      <c r="CI68" s="168"/>
      <c r="CJ68" s="168"/>
      <c r="CK68" s="168"/>
      <c r="CL68" s="168"/>
      <c r="CM68" s="168"/>
      <c r="CN68" s="168"/>
      <c r="CO68" s="168"/>
      <c r="CP68" s="168"/>
      <c r="CQ68" s="168"/>
      <c r="CR68" s="168"/>
      <c r="CS68" s="168"/>
      <c r="CT68" s="168"/>
      <c r="CU68" s="168"/>
      <c r="CV68" s="168"/>
      <c r="CW68" s="168"/>
      <c r="CX68" s="168"/>
      <c r="CY68" s="168"/>
      <c r="CZ68" s="168"/>
      <c r="DA68" s="168"/>
      <c r="DB68" s="168"/>
      <c r="DC68" s="168"/>
      <c r="DD68" s="168"/>
      <c r="DE68" s="168"/>
      <c r="DF68" s="168"/>
    </row>
    <row r="69" spans="2:110" ht="29" x14ac:dyDescent="0.4">
      <c r="B69" s="472"/>
      <c r="C69" s="60">
        <v>95</v>
      </c>
      <c r="D69" s="226" t="s">
        <v>197</v>
      </c>
      <c r="E69" s="195">
        <v>46011</v>
      </c>
      <c r="F69" s="195">
        <f>E69+8</f>
        <v>46019</v>
      </c>
      <c r="G69" s="196">
        <f t="shared" si="19"/>
        <v>8</v>
      </c>
      <c r="H69" s="195">
        <f t="shared" si="37"/>
        <v>46011</v>
      </c>
      <c r="I69" s="195">
        <f t="shared" si="38"/>
        <v>46019</v>
      </c>
      <c r="J69" s="199" t="s">
        <v>11</v>
      </c>
      <c r="K69" s="200">
        <v>1</v>
      </c>
      <c r="L69" s="201"/>
      <c r="M69" s="201"/>
      <c r="N69" s="198" t="str">
        <f t="shared" si="31"/>
        <v/>
      </c>
      <c r="O69" s="202" t="str">
        <f t="shared" si="32"/>
        <v>-</v>
      </c>
      <c r="P69" s="205">
        <f t="shared" si="33"/>
        <v>0</v>
      </c>
      <c r="Q69" s="207">
        <f t="shared" si="34"/>
        <v>0</v>
      </c>
      <c r="R69" s="204">
        <f t="shared" si="35"/>
        <v>1</v>
      </c>
      <c r="S69" s="65">
        <f t="shared" si="39"/>
        <v>0</v>
      </c>
      <c r="T69" s="157">
        <f t="shared" si="36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8"/>
      <c r="BP69" s="168"/>
      <c r="BQ69" s="168"/>
      <c r="BR69" s="168"/>
      <c r="BS69" s="168"/>
      <c r="BT69" s="168"/>
      <c r="BU69" s="168"/>
      <c r="BV69" s="168"/>
      <c r="BW69" s="168"/>
      <c r="BX69" s="168"/>
      <c r="BY69" s="168"/>
      <c r="BZ69" s="168"/>
      <c r="CA69" s="168"/>
      <c r="CB69" s="168"/>
      <c r="CC69" s="168"/>
      <c r="CD69" s="168"/>
      <c r="CE69" s="168"/>
      <c r="CF69" s="168"/>
      <c r="CG69" s="168"/>
      <c r="CH69" s="168"/>
      <c r="CI69" s="168"/>
      <c r="CJ69" s="168"/>
      <c r="CK69" s="168"/>
      <c r="CL69" s="168"/>
      <c r="CM69" s="168"/>
      <c r="CN69" s="168"/>
      <c r="CO69" s="168"/>
      <c r="CP69" s="168"/>
      <c r="CQ69" s="168"/>
      <c r="CR69" s="168"/>
      <c r="CS69" s="168"/>
      <c r="CT69" s="168"/>
      <c r="CU69" s="168"/>
      <c r="CV69" s="168"/>
      <c r="CW69" s="168"/>
      <c r="CX69" s="168"/>
      <c r="CY69" s="168"/>
      <c r="CZ69" s="168"/>
      <c r="DA69" s="168"/>
      <c r="DB69" s="168"/>
      <c r="DC69" s="168"/>
      <c r="DD69" s="168"/>
      <c r="DE69" s="168"/>
      <c r="DF69" s="168"/>
    </row>
    <row r="70" spans="2:110" x14ac:dyDescent="0.4">
      <c r="B70" s="472"/>
      <c r="C70" s="60">
        <v>96</v>
      </c>
      <c r="D70" s="226" t="s">
        <v>198</v>
      </c>
      <c r="E70" s="195">
        <f>F69</f>
        <v>46019</v>
      </c>
      <c r="F70" s="195">
        <f>E70+8</f>
        <v>46027</v>
      </c>
      <c r="G70" s="196">
        <f t="shared" si="19"/>
        <v>8</v>
      </c>
      <c r="H70" s="195">
        <f t="shared" si="37"/>
        <v>46019</v>
      </c>
      <c r="I70" s="195">
        <f t="shared" si="38"/>
        <v>46027</v>
      </c>
      <c r="J70" s="199" t="s">
        <v>11</v>
      </c>
      <c r="K70" s="200">
        <v>1</v>
      </c>
      <c r="L70" s="201"/>
      <c r="M70" s="201"/>
      <c r="N70" s="198" t="str">
        <f t="shared" si="31"/>
        <v/>
      </c>
      <c r="O70" s="202" t="str">
        <f t="shared" si="32"/>
        <v>-</v>
      </c>
      <c r="P70" s="205">
        <f t="shared" si="33"/>
        <v>0</v>
      </c>
      <c r="Q70" s="207">
        <f t="shared" si="34"/>
        <v>0</v>
      </c>
      <c r="R70" s="204">
        <f t="shared" si="35"/>
        <v>1</v>
      </c>
      <c r="S70" s="65">
        <f t="shared" si="39"/>
        <v>0</v>
      </c>
      <c r="T70" s="157">
        <f t="shared" si="36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8"/>
      <c r="BP70" s="168"/>
      <c r="BQ70" s="168"/>
      <c r="BR70" s="168"/>
      <c r="BS70" s="168"/>
      <c r="BT70" s="168"/>
      <c r="BU70" s="168"/>
      <c r="BV70" s="168"/>
      <c r="BW70" s="168"/>
      <c r="BX70" s="168"/>
      <c r="BY70" s="168"/>
      <c r="BZ70" s="168"/>
      <c r="CA70" s="168"/>
      <c r="CB70" s="168"/>
      <c r="CC70" s="168"/>
      <c r="CD70" s="168"/>
      <c r="CE70" s="168"/>
      <c r="CF70" s="168"/>
      <c r="CG70" s="168"/>
      <c r="CH70" s="168"/>
      <c r="CI70" s="168"/>
      <c r="CJ70" s="168"/>
      <c r="CK70" s="168"/>
      <c r="CL70" s="168"/>
      <c r="CM70" s="168"/>
      <c r="CN70" s="168"/>
      <c r="CO70" s="168"/>
      <c r="CP70" s="168"/>
      <c r="CQ70" s="168"/>
      <c r="CR70" s="168"/>
      <c r="CS70" s="168"/>
      <c r="CT70" s="168"/>
      <c r="CU70" s="168"/>
      <c r="CV70" s="168"/>
      <c r="CW70" s="168"/>
      <c r="CX70" s="168"/>
      <c r="CY70" s="168"/>
      <c r="CZ70" s="168"/>
      <c r="DA70" s="168"/>
      <c r="DB70" s="168"/>
      <c r="DC70" s="168"/>
      <c r="DD70" s="168"/>
      <c r="DE70" s="168"/>
      <c r="DF70" s="168"/>
    </row>
    <row r="71" spans="2:110" x14ac:dyDescent="0.4">
      <c r="B71" s="472"/>
      <c r="C71" s="60">
        <v>97</v>
      </c>
      <c r="D71" s="226" t="s">
        <v>199</v>
      </c>
      <c r="E71" s="195">
        <v>46016</v>
      </c>
      <c r="F71" s="195">
        <v>46027</v>
      </c>
      <c r="G71" s="196">
        <f t="shared" si="19"/>
        <v>11</v>
      </c>
      <c r="H71" s="195">
        <f t="shared" si="37"/>
        <v>46016</v>
      </c>
      <c r="I71" s="195">
        <f t="shared" si="38"/>
        <v>46027</v>
      </c>
      <c r="J71" s="199" t="s">
        <v>11</v>
      </c>
      <c r="K71" s="200">
        <v>1</v>
      </c>
      <c r="L71" s="201"/>
      <c r="M71" s="201"/>
      <c r="N71" s="198" t="str">
        <f t="shared" si="31"/>
        <v/>
      </c>
      <c r="O71" s="202" t="str">
        <f t="shared" si="32"/>
        <v>-</v>
      </c>
      <c r="P71" s="205">
        <f t="shared" si="33"/>
        <v>0</v>
      </c>
      <c r="Q71" s="207">
        <f t="shared" si="34"/>
        <v>0</v>
      </c>
      <c r="R71" s="204">
        <f t="shared" si="35"/>
        <v>1</v>
      </c>
      <c r="S71" s="65">
        <f t="shared" si="39"/>
        <v>0</v>
      </c>
      <c r="T71" s="157">
        <f t="shared" si="36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8"/>
      <c r="BP71" s="168"/>
      <c r="BQ71" s="168"/>
      <c r="BR71" s="168"/>
      <c r="BS71" s="168"/>
      <c r="BT71" s="168"/>
      <c r="BU71" s="168"/>
      <c r="BV71" s="168"/>
      <c r="BW71" s="168"/>
      <c r="BX71" s="168"/>
      <c r="BY71" s="168"/>
      <c r="BZ71" s="168"/>
      <c r="CA71" s="168"/>
      <c r="CB71" s="168"/>
      <c r="CC71" s="168"/>
      <c r="CD71" s="168"/>
      <c r="CE71" s="168"/>
      <c r="CF71" s="168"/>
      <c r="CG71" s="168"/>
      <c r="CH71" s="168"/>
      <c r="CI71" s="168"/>
      <c r="CJ71" s="168"/>
      <c r="CK71" s="168"/>
      <c r="CL71" s="168"/>
      <c r="CM71" s="168"/>
      <c r="CN71" s="168"/>
      <c r="CO71" s="168"/>
      <c r="CP71" s="168"/>
      <c r="CQ71" s="168"/>
      <c r="CR71" s="168"/>
      <c r="CS71" s="168"/>
      <c r="CT71" s="168"/>
      <c r="CU71" s="168"/>
      <c r="CV71" s="168"/>
      <c r="CW71" s="168"/>
      <c r="CX71" s="168"/>
      <c r="CY71" s="168"/>
      <c r="CZ71" s="168"/>
      <c r="DA71" s="168"/>
      <c r="DB71" s="168"/>
      <c r="DC71" s="168"/>
      <c r="DD71" s="168"/>
      <c r="DE71" s="168"/>
      <c r="DF71" s="168"/>
    </row>
    <row r="72" spans="2:110" x14ac:dyDescent="0.4">
      <c r="B72" s="472"/>
      <c r="C72" s="60">
        <v>98</v>
      </c>
      <c r="D72" s="226" t="s">
        <v>200</v>
      </c>
      <c r="E72" s="195">
        <f>F75</f>
        <v>46029</v>
      </c>
      <c r="F72" s="195">
        <f>E72+2</f>
        <v>46031</v>
      </c>
      <c r="G72" s="196">
        <f t="shared" si="19"/>
        <v>2</v>
      </c>
      <c r="H72" s="195">
        <f t="shared" si="37"/>
        <v>46029</v>
      </c>
      <c r="I72" s="195">
        <f t="shared" si="38"/>
        <v>46031</v>
      </c>
      <c r="J72" s="199" t="s">
        <v>11</v>
      </c>
      <c r="K72" s="200">
        <v>1</v>
      </c>
      <c r="L72" s="201"/>
      <c r="M72" s="201"/>
      <c r="N72" s="198" t="str">
        <f t="shared" si="31"/>
        <v/>
      </c>
      <c r="O72" s="202" t="str">
        <f t="shared" si="32"/>
        <v>-</v>
      </c>
      <c r="P72" s="205">
        <f t="shared" si="33"/>
        <v>0</v>
      </c>
      <c r="Q72" s="207">
        <f t="shared" si="34"/>
        <v>0</v>
      </c>
      <c r="R72" s="204">
        <f t="shared" si="35"/>
        <v>1</v>
      </c>
      <c r="S72" s="65">
        <f t="shared" si="39"/>
        <v>0</v>
      </c>
      <c r="T72" s="157">
        <f t="shared" si="36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8"/>
      <c r="BP72" s="168"/>
      <c r="BQ72" s="168"/>
      <c r="BR72" s="168"/>
      <c r="BS72" s="168"/>
      <c r="BT72" s="168"/>
      <c r="BU72" s="168"/>
      <c r="BV72" s="168"/>
      <c r="BW72" s="168"/>
      <c r="BX72" s="168"/>
      <c r="BY72" s="168"/>
      <c r="BZ72" s="168"/>
      <c r="CA72" s="168"/>
      <c r="CB72" s="168"/>
      <c r="CC72" s="168"/>
      <c r="CD72" s="168"/>
      <c r="CE72" s="168"/>
      <c r="CF72" s="168"/>
      <c r="CG72" s="168"/>
      <c r="CH72" s="168"/>
      <c r="CI72" s="168"/>
      <c r="CJ72" s="168"/>
      <c r="CK72" s="168"/>
      <c r="CL72" s="168"/>
      <c r="CM72" s="168"/>
      <c r="CN72" s="168"/>
      <c r="CO72" s="168"/>
      <c r="CP72" s="168"/>
      <c r="CQ72" s="168"/>
      <c r="CR72" s="168"/>
      <c r="CS72" s="168"/>
      <c r="CT72" s="168"/>
      <c r="CU72" s="168"/>
      <c r="CV72" s="168"/>
      <c r="CW72" s="168"/>
      <c r="CX72" s="168"/>
      <c r="CY72" s="168"/>
      <c r="CZ72" s="168"/>
      <c r="DA72" s="168"/>
      <c r="DB72" s="168"/>
      <c r="DC72" s="168"/>
      <c r="DD72" s="168"/>
      <c r="DE72" s="168"/>
      <c r="DF72" s="168"/>
    </row>
    <row r="73" spans="2:110" x14ac:dyDescent="0.4">
      <c r="B73" s="472"/>
      <c r="C73" s="60">
        <v>99</v>
      </c>
      <c r="D73" s="226" t="s">
        <v>186</v>
      </c>
      <c r="E73" s="195">
        <v>45966</v>
      </c>
      <c r="F73" s="195">
        <v>45996</v>
      </c>
      <c r="G73" s="196">
        <f t="shared" si="19"/>
        <v>30</v>
      </c>
      <c r="H73" s="195">
        <f t="shared" si="37"/>
        <v>45966</v>
      </c>
      <c r="I73" s="195">
        <f t="shared" si="38"/>
        <v>45996</v>
      </c>
      <c r="J73" s="199" t="s">
        <v>11</v>
      </c>
      <c r="K73" s="200">
        <v>1</v>
      </c>
      <c r="L73" s="201"/>
      <c r="M73" s="201"/>
      <c r="N73" s="198" t="str">
        <f t="shared" si="31"/>
        <v/>
      </c>
      <c r="O73" s="202" t="str">
        <f t="shared" si="32"/>
        <v>-</v>
      </c>
      <c r="P73" s="205">
        <f t="shared" si="33"/>
        <v>0</v>
      </c>
      <c r="Q73" s="207">
        <f t="shared" si="34"/>
        <v>0</v>
      </c>
      <c r="R73" s="204">
        <f t="shared" si="35"/>
        <v>1</v>
      </c>
      <c r="S73" s="65">
        <f t="shared" si="39"/>
        <v>0</v>
      </c>
      <c r="T73" s="157">
        <f t="shared" si="36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8"/>
      <c r="BP73" s="168"/>
      <c r="BQ73" s="168"/>
      <c r="BR73" s="168"/>
      <c r="BS73" s="168"/>
      <c r="BT73" s="168"/>
      <c r="BU73" s="168"/>
      <c r="BV73" s="168"/>
      <c r="BW73" s="168"/>
      <c r="BX73" s="168"/>
      <c r="BY73" s="168"/>
      <c r="BZ73" s="168"/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  <c r="CO73" s="168"/>
      <c r="CP73" s="168"/>
      <c r="CQ73" s="168"/>
      <c r="CR73" s="168"/>
      <c r="CS73" s="168"/>
      <c r="CT73" s="168"/>
      <c r="CU73" s="168"/>
      <c r="CV73" s="168"/>
      <c r="CW73" s="168"/>
      <c r="CX73" s="168"/>
      <c r="CY73" s="168"/>
      <c r="CZ73" s="168"/>
      <c r="DA73" s="168"/>
      <c r="DB73" s="168"/>
      <c r="DC73" s="168"/>
      <c r="DD73" s="168"/>
      <c r="DE73" s="168"/>
      <c r="DF73" s="168"/>
    </row>
    <row r="74" spans="2:110" x14ac:dyDescent="0.4">
      <c r="B74" s="472"/>
      <c r="C74" s="60">
        <v>100</v>
      </c>
      <c r="D74" s="226" t="s">
        <v>179</v>
      </c>
      <c r="E74" s="195">
        <v>46016</v>
      </c>
      <c r="F74" s="195">
        <f>E74+12</f>
        <v>46028</v>
      </c>
      <c r="G74" s="196">
        <f t="shared" si="19"/>
        <v>12</v>
      </c>
      <c r="H74" s="195">
        <f t="shared" si="37"/>
        <v>46016</v>
      </c>
      <c r="I74" s="195">
        <f t="shared" si="38"/>
        <v>46028</v>
      </c>
      <c r="J74" s="199" t="s">
        <v>11</v>
      </c>
      <c r="K74" s="200">
        <v>1</v>
      </c>
      <c r="L74" s="201"/>
      <c r="M74" s="201"/>
      <c r="N74" s="198" t="str">
        <f t="shared" ref="N74:N104" si="40">IF(OR(M74="",L74=""),"",INT(M74-L74+1))</f>
        <v/>
      </c>
      <c r="O74" s="202" t="str">
        <f t="shared" ref="O74:O104" si="41">IFERROR(K74/N74,"-")</f>
        <v>-</v>
      </c>
      <c r="P74" s="205">
        <f t="shared" ref="P74:P104" si="42">IFERROR(SUMIF($U$2:$AT$2,"&lt;="&amp;$D$1,U74:BN74)/K74,"-")</f>
        <v>0</v>
      </c>
      <c r="Q74" s="207">
        <f t="shared" ref="Q74:Q104" si="43">SUMIF($U$2:$AT$2,"&lt;="&amp;$D$1,U74:AT74)</f>
        <v>0</v>
      </c>
      <c r="R74" s="204">
        <f t="shared" ref="R74:R104" si="44">K74-Q74</f>
        <v>1</v>
      </c>
      <c r="S74" s="65">
        <f t="shared" si="39"/>
        <v>0</v>
      </c>
      <c r="T74" s="157">
        <f t="shared" si="36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8"/>
      <c r="BP74" s="168"/>
      <c r="BQ74" s="168"/>
      <c r="BR74" s="168"/>
      <c r="BS74" s="168"/>
      <c r="BT74" s="168"/>
      <c r="BU74" s="168"/>
      <c r="BV74" s="168"/>
      <c r="BW74" s="168"/>
      <c r="BX74" s="168"/>
      <c r="BY74" s="168"/>
      <c r="BZ74" s="168"/>
      <c r="CA74" s="168"/>
      <c r="CB74" s="168"/>
      <c r="CC74" s="168"/>
      <c r="CD74" s="168"/>
      <c r="CE74" s="168"/>
      <c r="CF74" s="168"/>
      <c r="CG74" s="168"/>
      <c r="CH74" s="168"/>
      <c r="CI74" s="168"/>
      <c r="CJ74" s="168"/>
      <c r="CK74" s="168"/>
      <c r="CL74" s="168"/>
      <c r="CM74" s="168"/>
      <c r="CN74" s="168"/>
      <c r="CO74" s="168"/>
      <c r="CP74" s="168"/>
      <c r="CQ74" s="168"/>
      <c r="CR74" s="168"/>
      <c r="CS74" s="168"/>
      <c r="CT74" s="168"/>
      <c r="CU74" s="168"/>
      <c r="CV74" s="168"/>
      <c r="CW74" s="168"/>
      <c r="CX74" s="168"/>
      <c r="CY74" s="168"/>
      <c r="CZ74" s="168"/>
      <c r="DA74" s="168"/>
      <c r="DB74" s="168"/>
      <c r="DC74" s="168"/>
      <c r="DD74" s="168"/>
      <c r="DE74" s="168"/>
      <c r="DF74" s="168"/>
    </row>
    <row r="75" spans="2:110" x14ac:dyDescent="0.4">
      <c r="B75" s="472"/>
      <c r="C75" s="60">
        <v>101</v>
      </c>
      <c r="D75" s="226" t="s">
        <v>201</v>
      </c>
      <c r="E75" s="195">
        <f>E74+1</f>
        <v>46017</v>
      </c>
      <c r="F75" s="195">
        <f>F74+1</f>
        <v>46029</v>
      </c>
      <c r="G75" s="196">
        <f t="shared" si="19"/>
        <v>12</v>
      </c>
      <c r="H75" s="195">
        <f t="shared" si="37"/>
        <v>46017</v>
      </c>
      <c r="I75" s="195">
        <f t="shared" si="38"/>
        <v>46029</v>
      </c>
      <c r="J75" s="199" t="s">
        <v>11</v>
      </c>
      <c r="K75" s="200">
        <v>1</v>
      </c>
      <c r="L75" s="201"/>
      <c r="M75" s="201"/>
      <c r="N75" s="198" t="str">
        <f t="shared" si="40"/>
        <v/>
      </c>
      <c r="O75" s="202" t="str">
        <f t="shared" si="41"/>
        <v>-</v>
      </c>
      <c r="P75" s="205">
        <f t="shared" si="42"/>
        <v>0</v>
      </c>
      <c r="Q75" s="207">
        <f t="shared" si="43"/>
        <v>0</v>
      </c>
      <c r="R75" s="204">
        <f t="shared" si="44"/>
        <v>1</v>
      </c>
      <c r="S75" s="65">
        <f t="shared" si="39"/>
        <v>0</v>
      </c>
      <c r="T75" s="157">
        <f t="shared" si="36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8"/>
      <c r="BP75" s="168"/>
      <c r="BQ75" s="168"/>
      <c r="BR75" s="168"/>
      <c r="BS75" s="168"/>
      <c r="BT75" s="168"/>
      <c r="BU75" s="168"/>
      <c r="BV75" s="168"/>
      <c r="BW75" s="168"/>
      <c r="BX75" s="168"/>
      <c r="BY75" s="168"/>
      <c r="BZ75" s="168"/>
      <c r="CA75" s="168"/>
      <c r="CB75" s="168"/>
      <c r="CC75" s="168"/>
      <c r="CD75" s="168"/>
      <c r="CE75" s="168"/>
      <c r="CF75" s="168"/>
      <c r="CG75" s="168"/>
      <c r="CH75" s="168"/>
      <c r="CI75" s="168"/>
      <c r="CJ75" s="168"/>
      <c r="CK75" s="168"/>
      <c r="CL75" s="168"/>
      <c r="CM75" s="168"/>
      <c r="CN75" s="168"/>
      <c r="CO75" s="168"/>
      <c r="CP75" s="168"/>
      <c r="CQ75" s="168"/>
      <c r="CR75" s="168"/>
      <c r="CS75" s="168"/>
      <c r="CT75" s="168"/>
      <c r="CU75" s="168"/>
      <c r="CV75" s="168"/>
      <c r="CW75" s="168"/>
      <c r="CX75" s="168"/>
      <c r="CY75" s="168"/>
      <c r="CZ75" s="168"/>
      <c r="DA75" s="168"/>
      <c r="DB75" s="168"/>
      <c r="DC75" s="168"/>
      <c r="DD75" s="168"/>
      <c r="DE75" s="168"/>
      <c r="DF75" s="168"/>
    </row>
    <row r="76" spans="2:110" x14ac:dyDescent="0.4">
      <c r="B76" s="472" t="s">
        <v>202</v>
      </c>
      <c r="C76" s="60">
        <v>102</v>
      </c>
      <c r="D76" s="226" t="s">
        <v>203</v>
      </c>
      <c r="E76" s="195">
        <v>45924</v>
      </c>
      <c r="F76" s="195">
        <v>45950</v>
      </c>
      <c r="G76" s="196">
        <f t="shared" si="19"/>
        <v>26</v>
      </c>
      <c r="H76" s="195">
        <f t="shared" si="37"/>
        <v>45924</v>
      </c>
      <c r="I76" s="195">
        <f t="shared" si="38"/>
        <v>45950</v>
      </c>
      <c r="J76" s="199" t="s">
        <v>2</v>
      </c>
      <c r="K76" s="200">
        <v>26</v>
      </c>
      <c r="L76" s="201"/>
      <c r="M76" s="201"/>
      <c r="N76" s="198" t="str">
        <f t="shared" si="40"/>
        <v/>
      </c>
      <c r="O76" s="202" t="str">
        <f t="shared" si="41"/>
        <v>-</v>
      </c>
      <c r="P76" s="205">
        <f t="shared" si="42"/>
        <v>0</v>
      </c>
      <c r="Q76" s="207">
        <f t="shared" si="43"/>
        <v>0</v>
      </c>
      <c r="R76" s="204">
        <f t="shared" si="44"/>
        <v>26</v>
      </c>
      <c r="S76" s="65">
        <f t="shared" si="39"/>
        <v>0</v>
      </c>
      <c r="T76" s="157">
        <f t="shared" si="36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8"/>
      <c r="BP76" s="168"/>
      <c r="BQ76" s="168"/>
      <c r="BR76" s="168"/>
      <c r="BS76" s="168"/>
      <c r="BT76" s="168"/>
      <c r="BU76" s="168"/>
      <c r="BV76" s="168"/>
      <c r="BW76" s="168"/>
      <c r="BX76" s="168"/>
      <c r="BY76" s="168"/>
      <c r="BZ76" s="168"/>
      <c r="CA76" s="168"/>
      <c r="CB76" s="168"/>
      <c r="CC76" s="168"/>
      <c r="CD76" s="168"/>
      <c r="CE76" s="168"/>
      <c r="CF76" s="168"/>
      <c r="CG76" s="168"/>
      <c r="CH76" s="168"/>
      <c r="CI76" s="168"/>
      <c r="CJ76" s="168"/>
      <c r="CK76" s="168"/>
      <c r="CL76" s="168"/>
      <c r="CM76" s="168"/>
      <c r="CN76" s="168"/>
      <c r="CO76" s="168"/>
      <c r="CP76" s="168"/>
      <c r="CQ76" s="168"/>
      <c r="CR76" s="168"/>
      <c r="CS76" s="168"/>
      <c r="CT76" s="168"/>
      <c r="CU76" s="168"/>
      <c r="CV76" s="168"/>
      <c r="CW76" s="168"/>
      <c r="CX76" s="168"/>
      <c r="CY76" s="168"/>
      <c r="CZ76" s="168"/>
      <c r="DA76" s="168"/>
      <c r="DB76" s="168"/>
      <c r="DC76" s="168"/>
      <c r="DD76" s="168"/>
      <c r="DE76" s="168"/>
      <c r="DF76" s="168"/>
    </row>
    <row r="77" spans="2:110" x14ac:dyDescent="0.4">
      <c r="B77" s="472"/>
      <c r="C77" s="60">
        <v>103</v>
      </c>
      <c r="D77" s="226" t="s">
        <v>205</v>
      </c>
      <c r="E77" s="195">
        <f>E76+5</f>
        <v>45929</v>
      </c>
      <c r="F77" s="195">
        <v>45981</v>
      </c>
      <c r="G77" s="196">
        <f t="shared" si="19"/>
        <v>52</v>
      </c>
      <c r="H77" s="195">
        <f t="shared" si="37"/>
        <v>45929</v>
      </c>
      <c r="I77" s="195">
        <f t="shared" si="38"/>
        <v>45981</v>
      </c>
      <c r="J77" s="199" t="s">
        <v>2</v>
      </c>
      <c r="K77" s="200">
        <v>26</v>
      </c>
      <c r="L77" s="201"/>
      <c r="M77" s="201"/>
      <c r="N77" s="198" t="str">
        <f t="shared" si="40"/>
        <v/>
      </c>
      <c r="O77" s="202" t="str">
        <f t="shared" si="41"/>
        <v>-</v>
      </c>
      <c r="P77" s="205">
        <f t="shared" si="42"/>
        <v>0</v>
      </c>
      <c r="Q77" s="207">
        <f t="shared" si="43"/>
        <v>0</v>
      </c>
      <c r="R77" s="204">
        <f t="shared" si="44"/>
        <v>26</v>
      </c>
      <c r="S77" s="65">
        <f t="shared" si="39"/>
        <v>0</v>
      </c>
      <c r="T77" s="157">
        <f t="shared" si="36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8"/>
      <c r="BP77" s="168"/>
      <c r="BQ77" s="168"/>
      <c r="BR77" s="168"/>
      <c r="BS77" s="168"/>
      <c r="BT77" s="168"/>
      <c r="BU77" s="168"/>
      <c r="BV77" s="168"/>
      <c r="BW77" s="168"/>
      <c r="BX77" s="168"/>
      <c r="BY77" s="168"/>
      <c r="BZ77" s="168"/>
      <c r="CA77" s="168"/>
      <c r="CB77" s="168"/>
      <c r="CC77" s="168"/>
      <c r="CD77" s="168"/>
      <c r="CE77" s="168"/>
      <c r="CF77" s="168"/>
      <c r="CG77" s="168"/>
      <c r="CH77" s="168"/>
      <c r="CI77" s="168"/>
      <c r="CJ77" s="168"/>
      <c r="CK77" s="168"/>
      <c r="CL77" s="168"/>
      <c r="CM77" s="168"/>
      <c r="CN77" s="168"/>
      <c r="CO77" s="168"/>
      <c r="CP77" s="168"/>
      <c r="CQ77" s="168"/>
      <c r="CR77" s="168"/>
      <c r="CS77" s="168"/>
      <c r="CT77" s="168"/>
      <c r="CU77" s="168"/>
      <c r="CV77" s="168"/>
      <c r="CW77" s="168"/>
      <c r="CX77" s="168"/>
      <c r="CY77" s="168"/>
      <c r="CZ77" s="168"/>
      <c r="DA77" s="168"/>
      <c r="DB77" s="168"/>
      <c r="DC77" s="168"/>
      <c r="DD77" s="168"/>
      <c r="DE77" s="168"/>
      <c r="DF77" s="168"/>
    </row>
    <row r="78" spans="2:110" x14ac:dyDescent="0.4">
      <c r="B78" s="472"/>
      <c r="C78" s="60">
        <v>104</v>
      </c>
      <c r="D78" s="226" t="s">
        <v>206</v>
      </c>
      <c r="E78" s="195">
        <f>E77+2</f>
        <v>45931</v>
      </c>
      <c r="F78" s="195">
        <f>F77+2</f>
        <v>45983</v>
      </c>
      <c r="G78" s="196">
        <f t="shared" si="19"/>
        <v>52</v>
      </c>
      <c r="H78" s="195">
        <f t="shared" si="37"/>
        <v>45931</v>
      </c>
      <c r="I78" s="195">
        <f t="shared" si="38"/>
        <v>45983</v>
      </c>
      <c r="J78" s="199" t="s">
        <v>2</v>
      </c>
      <c r="K78" s="200">
        <v>26</v>
      </c>
      <c r="L78" s="201"/>
      <c r="M78" s="201"/>
      <c r="N78" s="198" t="str">
        <f t="shared" si="40"/>
        <v/>
      </c>
      <c r="O78" s="202" t="str">
        <f t="shared" si="41"/>
        <v>-</v>
      </c>
      <c r="P78" s="205">
        <f t="shared" si="42"/>
        <v>0</v>
      </c>
      <c r="Q78" s="207">
        <f t="shared" si="43"/>
        <v>0</v>
      </c>
      <c r="R78" s="204">
        <f t="shared" si="44"/>
        <v>26</v>
      </c>
      <c r="S78" s="65">
        <f t="shared" si="39"/>
        <v>0</v>
      </c>
      <c r="T78" s="157">
        <f t="shared" si="36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8"/>
      <c r="BP78" s="168"/>
      <c r="BQ78" s="168"/>
      <c r="BR78" s="168"/>
      <c r="BS78" s="168"/>
      <c r="BT78" s="168"/>
      <c r="BU78" s="168"/>
      <c r="BV78" s="168"/>
      <c r="BW78" s="168"/>
      <c r="BX78" s="168"/>
      <c r="BY78" s="168"/>
      <c r="BZ78" s="168"/>
      <c r="CA78" s="168"/>
      <c r="CB78" s="168"/>
      <c r="CC78" s="168"/>
      <c r="CD78" s="168"/>
      <c r="CE78" s="168"/>
      <c r="CF78" s="168"/>
      <c r="CG78" s="168"/>
      <c r="CH78" s="168"/>
      <c r="CI78" s="168"/>
      <c r="CJ78" s="168"/>
      <c r="CK78" s="168"/>
      <c r="CL78" s="168"/>
      <c r="CM78" s="168"/>
      <c r="CN78" s="168"/>
      <c r="CO78" s="168"/>
      <c r="CP78" s="168"/>
      <c r="CQ78" s="168"/>
      <c r="CR78" s="168"/>
      <c r="CS78" s="168"/>
      <c r="CT78" s="168"/>
      <c r="CU78" s="168"/>
      <c r="CV78" s="168"/>
      <c r="CW78" s="168"/>
      <c r="CX78" s="168"/>
      <c r="CY78" s="168"/>
      <c r="CZ78" s="168"/>
      <c r="DA78" s="168"/>
      <c r="DB78" s="168"/>
      <c r="DC78" s="168"/>
      <c r="DD78" s="168"/>
      <c r="DE78" s="168"/>
      <c r="DF78" s="168"/>
    </row>
    <row r="79" spans="2:110" x14ac:dyDescent="0.4">
      <c r="B79" s="472" t="s">
        <v>207</v>
      </c>
      <c r="C79" s="60">
        <v>105</v>
      </c>
      <c r="D79" s="226" t="s">
        <v>208</v>
      </c>
      <c r="E79" s="195">
        <v>45889</v>
      </c>
      <c r="F79" s="195">
        <v>46047</v>
      </c>
      <c r="G79" s="196">
        <f t="shared" si="19"/>
        <v>158</v>
      </c>
      <c r="H79" s="195">
        <f t="shared" si="37"/>
        <v>45889</v>
      </c>
      <c r="I79" s="195">
        <f t="shared" si="38"/>
        <v>46047</v>
      </c>
      <c r="J79" s="199" t="s">
        <v>2</v>
      </c>
      <c r="K79" s="200">
        <v>26</v>
      </c>
      <c r="L79" s="201"/>
      <c r="M79" s="201"/>
      <c r="N79" s="198" t="str">
        <f t="shared" si="40"/>
        <v/>
      </c>
      <c r="O79" s="202" t="str">
        <f t="shared" si="41"/>
        <v>-</v>
      </c>
      <c r="P79" s="205">
        <f t="shared" si="42"/>
        <v>0</v>
      </c>
      <c r="Q79" s="207">
        <f t="shared" si="43"/>
        <v>0</v>
      </c>
      <c r="R79" s="204">
        <f t="shared" si="44"/>
        <v>26</v>
      </c>
      <c r="S79" s="65">
        <f t="shared" si="39"/>
        <v>0</v>
      </c>
      <c r="T79" s="157">
        <f t="shared" si="36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8"/>
      <c r="BP79" s="168"/>
      <c r="BQ79" s="168"/>
      <c r="BR79" s="168"/>
      <c r="BS79" s="168"/>
      <c r="BT79" s="168"/>
      <c r="BU79" s="168"/>
      <c r="BV79" s="168"/>
      <c r="BW79" s="168"/>
      <c r="BX79" s="168"/>
      <c r="BY79" s="168"/>
      <c r="BZ79" s="168"/>
      <c r="CA79" s="168"/>
      <c r="CB79" s="168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  <c r="CO79" s="168"/>
      <c r="CP79" s="168"/>
      <c r="CQ79" s="168"/>
      <c r="CR79" s="168"/>
      <c r="CS79" s="168"/>
      <c r="CT79" s="168"/>
      <c r="CU79" s="168"/>
      <c r="CV79" s="168"/>
      <c r="CW79" s="168"/>
      <c r="CX79" s="168"/>
      <c r="CY79" s="168"/>
      <c r="CZ79" s="168"/>
      <c r="DA79" s="168"/>
      <c r="DB79" s="168"/>
      <c r="DC79" s="168"/>
      <c r="DD79" s="168"/>
      <c r="DE79" s="168"/>
      <c r="DF79" s="168"/>
    </row>
    <row r="80" spans="2:110" x14ac:dyDescent="0.4">
      <c r="B80" s="472"/>
      <c r="C80" s="60">
        <v>106</v>
      </c>
      <c r="D80" s="226" t="s">
        <v>209</v>
      </c>
      <c r="E80" s="195">
        <f>E79</f>
        <v>45889</v>
      </c>
      <c r="F80" s="195">
        <f>F79</f>
        <v>46047</v>
      </c>
      <c r="G80" s="196">
        <f t="shared" si="19"/>
        <v>158</v>
      </c>
      <c r="H80" s="195">
        <f t="shared" si="37"/>
        <v>45889</v>
      </c>
      <c r="I80" s="195">
        <f t="shared" si="38"/>
        <v>46047</v>
      </c>
      <c r="J80" s="199" t="s">
        <v>2</v>
      </c>
      <c r="K80" s="200">
        <v>26</v>
      </c>
      <c r="L80" s="201"/>
      <c r="M80" s="201"/>
      <c r="N80" s="198" t="str">
        <f t="shared" si="40"/>
        <v/>
      </c>
      <c r="O80" s="202" t="str">
        <f t="shared" si="41"/>
        <v>-</v>
      </c>
      <c r="P80" s="205">
        <f t="shared" si="42"/>
        <v>0</v>
      </c>
      <c r="Q80" s="207">
        <f t="shared" si="43"/>
        <v>0</v>
      </c>
      <c r="R80" s="204">
        <f t="shared" si="44"/>
        <v>26</v>
      </c>
      <c r="S80" s="65">
        <f t="shared" si="39"/>
        <v>0</v>
      </c>
      <c r="T80" s="157">
        <f t="shared" si="36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8"/>
      <c r="BP80" s="168"/>
      <c r="BQ80" s="168"/>
      <c r="BR80" s="168"/>
      <c r="BS80" s="168"/>
      <c r="BT80" s="168"/>
      <c r="BU80" s="168"/>
      <c r="BV80" s="168"/>
      <c r="BW80" s="168"/>
      <c r="BX80" s="168"/>
      <c r="BY80" s="168"/>
      <c r="BZ80" s="168"/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8"/>
      <c r="CT80" s="168"/>
      <c r="CU80" s="168"/>
      <c r="CV80" s="168"/>
      <c r="CW80" s="168"/>
      <c r="CX80" s="168"/>
      <c r="CY80" s="168"/>
      <c r="CZ80" s="168"/>
      <c r="DA80" s="168"/>
      <c r="DB80" s="168"/>
      <c r="DC80" s="168"/>
      <c r="DD80" s="168"/>
      <c r="DE80" s="168"/>
      <c r="DF80" s="168"/>
    </row>
    <row r="81" spans="2:110" ht="29" x14ac:dyDescent="0.4">
      <c r="B81" s="472"/>
      <c r="C81" s="60">
        <v>107</v>
      </c>
      <c r="D81" s="226" t="s">
        <v>210</v>
      </c>
      <c r="E81" s="195">
        <f>E80</f>
        <v>45889</v>
      </c>
      <c r="F81" s="195">
        <f>F80</f>
        <v>46047</v>
      </c>
      <c r="G81" s="196">
        <f t="shared" si="19"/>
        <v>158</v>
      </c>
      <c r="H81" s="195">
        <f t="shared" si="37"/>
        <v>45889</v>
      </c>
      <c r="I81" s="195">
        <f t="shared" si="38"/>
        <v>46047</v>
      </c>
      <c r="J81" s="199" t="s">
        <v>2</v>
      </c>
      <c r="K81" s="200">
        <v>26</v>
      </c>
      <c r="L81" s="201"/>
      <c r="M81" s="201"/>
      <c r="N81" s="198" t="str">
        <f t="shared" si="40"/>
        <v/>
      </c>
      <c r="O81" s="202" t="str">
        <f t="shared" si="41"/>
        <v>-</v>
      </c>
      <c r="P81" s="205">
        <f t="shared" si="42"/>
        <v>0</v>
      </c>
      <c r="Q81" s="207">
        <f t="shared" si="43"/>
        <v>0</v>
      </c>
      <c r="R81" s="204">
        <f t="shared" si="44"/>
        <v>26</v>
      </c>
      <c r="S81" s="65">
        <f t="shared" si="39"/>
        <v>0</v>
      </c>
      <c r="T81" s="157">
        <f t="shared" si="36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8"/>
      <c r="BP81" s="168"/>
      <c r="BQ81" s="168"/>
      <c r="BR81" s="168"/>
      <c r="BS81" s="168"/>
      <c r="BT81" s="168"/>
      <c r="BU81" s="168"/>
      <c r="BV81" s="168"/>
      <c r="BW81" s="168"/>
      <c r="BX81" s="168"/>
      <c r="BY81" s="168"/>
      <c r="BZ81" s="168"/>
      <c r="CA81" s="168"/>
      <c r="CB81" s="168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  <c r="CO81" s="168"/>
      <c r="CP81" s="168"/>
      <c r="CQ81" s="168"/>
      <c r="CR81" s="168"/>
      <c r="CS81" s="168"/>
      <c r="CT81" s="168"/>
      <c r="CU81" s="168"/>
      <c r="CV81" s="168"/>
      <c r="CW81" s="168"/>
      <c r="CX81" s="168"/>
      <c r="CY81" s="168"/>
      <c r="CZ81" s="168"/>
      <c r="DA81" s="168"/>
      <c r="DB81" s="168"/>
      <c r="DC81" s="168"/>
      <c r="DD81" s="168"/>
      <c r="DE81" s="168"/>
      <c r="DF81" s="168"/>
    </row>
    <row r="82" spans="2:110" ht="29" x14ac:dyDescent="0.4">
      <c r="B82" s="472" t="s">
        <v>211</v>
      </c>
      <c r="C82" s="60">
        <v>108</v>
      </c>
      <c r="D82" s="226" t="s">
        <v>212</v>
      </c>
      <c r="E82" s="195">
        <v>45950</v>
      </c>
      <c r="F82" s="195">
        <f>F81</f>
        <v>46047</v>
      </c>
      <c r="G82" s="196">
        <f t="shared" si="19"/>
        <v>97</v>
      </c>
      <c r="H82" s="195">
        <f t="shared" si="37"/>
        <v>45950</v>
      </c>
      <c r="I82" s="195">
        <f t="shared" si="38"/>
        <v>46047</v>
      </c>
      <c r="J82" s="199" t="s">
        <v>2</v>
      </c>
      <c r="K82" s="200">
        <v>26</v>
      </c>
      <c r="L82" s="201"/>
      <c r="M82" s="201"/>
      <c r="N82" s="198" t="str">
        <f t="shared" si="40"/>
        <v/>
      </c>
      <c r="O82" s="202" t="str">
        <f t="shared" si="41"/>
        <v>-</v>
      </c>
      <c r="P82" s="205">
        <f t="shared" si="42"/>
        <v>0</v>
      </c>
      <c r="Q82" s="207">
        <f t="shared" si="43"/>
        <v>0</v>
      </c>
      <c r="R82" s="204">
        <f t="shared" si="44"/>
        <v>26</v>
      </c>
      <c r="S82" s="65">
        <f t="shared" si="39"/>
        <v>0</v>
      </c>
      <c r="T82" s="157">
        <f t="shared" si="36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8"/>
      <c r="BP82" s="168"/>
      <c r="BQ82" s="168"/>
      <c r="BR82" s="168"/>
      <c r="BS82" s="168"/>
      <c r="BT82" s="168"/>
      <c r="BU82" s="168"/>
      <c r="BV82" s="168"/>
      <c r="BW82" s="168"/>
      <c r="BX82" s="168"/>
      <c r="BY82" s="168"/>
      <c r="BZ82" s="168"/>
      <c r="CA82" s="168"/>
      <c r="CB82" s="168"/>
      <c r="CC82" s="168"/>
      <c r="CD82" s="168"/>
      <c r="CE82" s="168"/>
      <c r="CF82" s="168"/>
      <c r="CG82" s="168"/>
      <c r="CH82" s="168"/>
      <c r="CI82" s="168"/>
      <c r="CJ82" s="168"/>
      <c r="CK82" s="168"/>
      <c r="CL82" s="168"/>
      <c r="CM82" s="168"/>
      <c r="CN82" s="168"/>
      <c r="CO82" s="168"/>
      <c r="CP82" s="168"/>
      <c r="CQ82" s="168"/>
      <c r="CR82" s="168"/>
      <c r="CS82" s="168"/>
      <c r="CT82" s="168"/>
      <c r="CU82" s="168"/>
      <c r="CV82" s="168"/>
      <c r="CW82" s="168"/>
      <c r="CX82" s="168"/>
      <c r="CY82" s="168"/>
      <c r="CZ82" s="168"/>
      <c r="DA82" s="168"/>
      <c r="DB82" s="168"/>
      <c r="DC82" s="168"/>
      <c r="DD82" s="168"/>
      <c r="DE82" s="168"/>
      <c r="DF82" s="168"/>
    </row>
    <row r="83" spans="2:110" x14ac:dyDescent="0.4">
      <c r="B83" s="472"/>
      <c r="C83" s="60">
        <v>109</v>
      </c>
      <c r="D83" s="226" t="s">
        <v>213</v>
      </c>
      <c r="E83" s="195">
        <v>45971</v>
      </c>
      <c r="F83" s="195">
        <v>46011</v>
      </c>
      <c r="G83" s="196">
        <f t="shared" si="19"/>
        <v>40</v>
      </c>
      <c r="H83" s="195">
        <f t="shared" si="37"/>
        <v>45971</v>
      </c>
      <c r="I83" s="195">
        <f t="shared" si="38"/>
        <v>46011</v>
      </c>
      <c r="J83" s="199" t="s">
        <v>2</v>
      </c>
      <c r="K83" s="200">
        <v>26</v>
      </c>
      <c r="L83" s="201"/>
      <c r="M83" s="201"/>
      <c r="N83" s="198" t="str">
        <f t="shared" si="40"/>
        <v/>
      </c>
      <c r="O83" s="202" t="str">
        <f t="shared" si="41"/>
        <v>-</v>
      </c>
      <c r="P83" s="205">
        <f t="shared" si="42"/>
        <v>0</v>
      </c>
      <c r="Q83" s="207">
        <f t="shared" si="43"/>
        <v>0</v>
      </c>
      <c r="R83" s="204">
        <f t="shared" si="44"/>
        <v>26</v>
      </c>
      <c r="S83" s="65">
        <f t="shared" si="39"/>
        <v>0</v>
      </c>
      <c r="T83" s="157">
        <f t="shared" si="36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8"/>
      <c r="BP83" s="168"/>
      <c r="BQ83" s="168"/>
      <c r="BR83" s="168"/>
      <c r="BS83" s="168"/>
      <c r="BT83" s="168"/>
      <c r="BU83" s="168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168"/>
      <c r="CQ83" s="168"/>
      <c r="CR83" s="168"/>
      <c r="CS83" s="168"/>
      <c r="CT83" s="168"/>
      <c r="CU83" s="168"/>
      <c r="CV83" s="168"/>
      <c r="CW83" s="168"/>
      <c r="CX83" s="168"/>
      <c r="CY83" s="168"/>
      <c r="CZ83" s="168"/>
      <c r="DA83" s="168"/>
      <c r="DB83" s="168"/>
      <c r="DC83" s="168"/>
      <c r="DD83" s="168"/>
      <c r="DE83" s="168"/>
      <c r="DF83" s="168"/>
    </row>
    <row r="84" spans="2:110" x14ac:dyDescent="0.4">
      <c r="B84" s="472"/>
      <c r="C84" s="60">
        <v>110</v>
      </c>
      <c r="D84" s="226" t="s">
        <v>214</v>
      </c>
      <c r="E84" s="195">
        <v>45971</v>
      </c>
      <c r="F84" s="195">
        <v>46011</v>
      </c>
      <c r="G84" s="196">
        <f t="shared" si="19"/>
        <v>40</v>
      </c>
      <c r="H84" s="195">
        <f t="shared" si="37"/>
        <v>45971</v>
      </c>
      <c r="I84" s="195">
        <f t="shared" si="38"/>
        <v>46011</v>
      </c>
      <c r="J84" s="199" t="s">
        <v>2</v>
      </c>
      <c r="K84" s="200">
        <v>26</v>
      </c>
      <c r="L84" s="201"/>
      <c r="M84" s="201"/>
      <c r="N84" s="198" t="str">
        <f t="shared" si="40"/>
        <v/>
      </c>
      <c r="O84" s="202" t="str">
        <f t="shared" si="41"/>
        <v>-</v>
      </c>
      <c r="P84" s="205">
        <f t="shared" si="42"/>
        <v>0</v>
      </c>
      <c r="Q84" s="207">
        <f t="shared" si="43"/>
        <v>0</v>
      </c>
      <c r="R84" s="204">
        <f t="shared" si="44"/>
        <v>26</v>
      </c>
      <c r="S84" s="65">
        <f t="shared" si="39"/>
        <v>0</v>
      </c>
      <c r="T84" s="157">
        <f t="shared" si="36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8"/>
      <c r="BP84" s="168"/>
      <c r="BQ84" s="168"/>
      <c r="BR84" s="168"/>
      <c r="BS84" s="168"/>
      <c r="BT84" s="168"/>
      <c r="BU84" s="168"/>
      <c r="BV84" s="168"/>
      <c r="BW84" s="168"/>
      <c r="BX84" s="168"/>
      <c r="BY84" s="168"/>
      <c r="BZ84" s="168"/>
      <c r="CA84" s="168"/>
      <c r="CB84" s="168"/>
      <c r="CC84" s="168"/>
      <c r="CD84" s="168"/>
      <c r="CE84" s="168"/>
      <c r="CF84" s="168"/>
      <c r="CG84" s="168"/>
      <c r="CH84" s="168"/>
      <c r="CI84" s="168"/>
      <c r="CJ84" s="168"/>
      <c r="CK84" s="168"/>
      <c r="CL84" s="168"/>
      <c r="CM84" s="168"/>
      <c r="CN84" s="168"/>
      <c r="CO84" s="168"/>
      <c r="CP84" s="168"/>
      <c r="CQ84" s="168"/>
      <c r="CR84" s="168"/>
      <c r="CS84" s="168"/>
      <c r="CT84" s="168"/>
      <c r="CU84" s="168"/>
      <c r="CV84" s="168"/>
      <c r="CW84" s="168"/>
      <c r="CX84" s="168"/>
      <c r="CY84" s="168"/>
      <c r="CZ84" s="168"/>
      <c r="DA84" s="168"/>
      <c r="DB84" s="168"/>
      <c r="DC84" s="168"/>
      <c r="DD84" s="168"/>
      <c r="DE84" s="168"/>
      <c r="DF84" s="168"/>
    </row>
    <row r="85" spans="2:110" x14ac:dyDescent="0.4">
      <c r="B85" s="472"/>
      <c r="C85" s="60">
        <v>111</v>
      </c>
      <c r="D85" s="226" t="s">
        <v>215</v>
      </c>
      <c r="E85" s="195">
        <v>45971</v>
      </c>
      <c r="F85" s="195">
        <v>46011</v>
      </c>
      <c r="G85" s="196">
        <f t="shared" si="19"/>
        <v>40</v>
      </c>
      <c r="H85" s="195">
        <f t="shared" si="37"/>
        <v>45971</v>
      </c>
      <c r="I85" s="195">
        <f t="shared" si="38"/>
        <v>46011</v>
      </c>
      <c r="J85" s="199" t="s">
        <v>2</v>
      </c>
      <c r="K85" s="200">
        <v>26</v>
      </c>
      <c r="L85" s="201"/>
      <c r="M85" s="201"/>
      <c r="N85" s="198" t="str">
        <f t="shared" si="40"/>
        <v/>
      </c>
      <c r="O85" s="202" t="str">
        <f t="shared" si="41"/>
        <v>-</v>
      </c>
      <c r="P85" s="205">
        <f t="shared" si="42"/>
        <v>0</v>
      </c>
      <c r="Q85" s="207">
        <f t="shared" si="43"/>
        <v>0</v>
      </c>
      <c r="R85" s="204">
        <f t="shared" si="44"/>
        <v>26</v>
      </c>
      <c r="S85" s="65">
        <f t="shared" si="39"/>
        <v>0</v>
      </c>
      <c r="T85" s="157">
        <f t="shared" si="36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8"/>
      <c r="BP85" s="168"/>
      <c r="BQ85" s="168"/>
      <c r="BR85" s="168"/>
      <c r="BS85" s="168"/>
      <c r="BT85" s="168"/>
      <c r="BU85" s="168"/>
      <c r="BV85" s="168"/>
      <c r="BW85" s="168"/>
      <c r="BX85" s="168"/>
      <c r="BY85" s="168"/>
      <c r="BZ85" s="168"/>
      <c r="CA85" s="168"/>
      <c r="CB85" s="168"/>
      <c r="CC85" s="168"/>
      <c r="CD85" s="168"/>
      <c r="CE85" s="168"/>
      <c r="CF85" s="168"/>
      <c r="CG85" s="168"/>
      <c r="CH85" s="168"/>
      <c r="CI85" s="168"/>
      <c r="CJ85" s="168"/>
      <c r="CK85" s="168"/>
      <c r="CL85" s="168"/>
      <c r="CM85" s="168"/>
      <c r="CN85" s="168"/>
      <c r="CO85" s="168"/>
      <c r="CP85" s="168"/>
      <c r="CQ85" s="168"/>
      <c r="CR85" s="168"/>
      <c r="CS85" s="168"/>
      <c r="CT85" s="168"/>
      <c r="CU85" s="168"/>
      <c r="CV85" s="168"/>
      <c r="CW85" s="168"/>
      <c r="CX85" s="168"/>
      <c r="CY85" s="168"/>
      <c r="CZ85" s="168"/>
      <c r="DA85" s="168"/>
      <c r="DB85" s="168"/>
      <c r="DC85" s="168"/>
      <c r="DD85" s="168"/>
      <c r="DE85" s="168"/>
      <c r="DF85" s="168"/>
    </row>
    <row r="86" spans="2:110" x14ac:dyDescent="0.4">
      <c r="B86" s="472"/>
      <c r="C86" s="60">
        <v>112</v>
      </c>
      <c r="D86" s="226" t="s">
        <v>216</v>
      </c>
      <c r="E86" s="195">
        <v>45971</v>
      </c>
      <c r="F86" s="195">
        <v>46011</v>
      </c>
      <c r="G86" s="196">
        <f t="shared" si="19"/>
        <v>40</v>
      </c>
      <c r="H86" s="195">
        <f t="shared" si="37"/>
        <v>45971</v>
      </c>
      <c r="I86" s="195">
        <f t="shared" si="38"/>
        <v>46011</v>
      </c>
      <c r="J86" s="199" t="s">
        <v>2</v>
      </c>
      <c r="K86" s="200">
        <v>26</v>
      </c>
      <c r="L86" s="201"/>
      <c r="M86" s="201"/>
      <c r="N86" s="198" t="str">
        <f t="shared" si="40"/>
        <v/>
      </c>
      <c r="O86" s="202" t="str">
        <f t="shared" si="41"/>
        <v>-</v>
      </c>
      <c r="P86" s="205">
        <f t="shared" si="42"/>
        <v>0</v>
      </c>
      <c r="Q86" s="207">
        <f t="shared" si="43"/>
        <v>0</v>
      </c>
      <c r="R86" s="204">
        <f t="shared" si="44"/>
        <v>26</v>
      </c>
      <c r="S86" s="65">
        <f t="shared" si="39"/>
        <v>0</v>
      </c>
      <c r="T86" s="157">
        <f t="shared" si="36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8"/>
      <c r="BP86" s="168"/>
      <c r="BQ86" s="168"/>
      <c r="BR86" s="168"/>
      <c r="BS86" s="168"/>
      <c r="BT86" s="168"/>
      <c r="BU86" s="168"/>
      <c r="BV86" s="168"/>
      <c r="BW86" s="168"/>
      <c r="BX86" s="168"/>
      <c r="BY86" s="168"/>
      <c r="BZ86" s="168"/>
      <c r="CA86" s="168"/>
      <c r="CB86" s="168"/>
      <c r="CC86" s="168"/>
      <c r="CD86" s="168"/>
      <c r="CE86" s="168"/>
      <c r="CF86" s="168"/>
      <c r="CG86" s="168"/>
      <c r="CH86" s="168"/>
      <c r="CI86" s="168"/>
      <c r="CJ86" s="168"/>
      <c r="CK86" s="168"/>
      <c r="CL86" s="168"/>
      <c r="CM86" s="168"/>
      <c r="CN86" s="168"/>
      <c r="CO86" s="168"/>
      <c r="CP86" s="168"/>
      <c r="CQ86" s="168"/>
      <c r="CR86" s="168"/>
      <c r="CS86" s="168"/>
      <c r="CT86" s="168"/>
      <c r="CU86" s="168"/>
      <c r="CV86" s="168"/>
      <c r="CW86" s="168"/>
      <c r="CX86" s="168"/>
      <c r="CY86" s="168"/>
      <c r="CZ86" s="168"/>
      <c r="DA86" s="168"/>
      <c r="DB86" s="168"/>
      <c r="DC86" s="168"/>
      <c r="DD86" s="168"/>
      <c r="DE86" s="168"/>
      <c r="DF86" s="168"/>
    </row>
    <row r="87" spans="2:110" x14ac:dyDescent="0.4">
      <c r="B87" s="472"/>
      <c r="C87" s="60">
        <v>113</v>
      </c>
      <c r="D87" s="226" t="s">
        <v>217</v>
      </c>
      <c r="E87" s="195">
        <v>45971</v>
      </c>
      <c r="F87" s="195">
        <v>46011</v>
      </c>
      <c r="G87" s="196">
        <f t="shared" si="19"/>
        <v>40</v>
      </c>
      <c r="H87" s="195">
        <f t="shared" si="37"/>
        <v>45971</v>
      </c>
      <c r="I87" s="195">
        <f t="shared" si="38"/>
        <v>46011</v>
      </c>
      <c r="J87" s="199" t="s">
        <v>2</v>
      </c>
      <c r="K87" s="200">
        <v>26</v>
      </c>
      <c r="L87" s="201"/>
      <c r="M87" s="201"/>
      <c r="N87" s="198" t="str">
        <f t="shared" si="40"/>
        <v/>
      </c>
      <c r="O87" s="202" t="str">
        <f t="shared" si="41"/>
        <v>-</v>
      </c>
      <c r="P87" s="205">
        <f t="shared" si="42"/>
        <v>0</v>
      </c>
      <c r="Q87" s="207">
        <f t="shared" si="43"/>
        <v>0</v>
      </c>
      <c r="R87" s="204">
        <f t="shared" si="44"/>
        <v>26</v>
      </c>
      <c r="S87" s="65">
        <f t="shared" si="39"/>
        <v>0</v>
      </c>
      <c r="T87" s="157">
        <f t="shared" si="36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8"/>
      <c r="BP87" s="168"/>
      <c r="BQ87" s="168"/>
      <c r="BR87" s="168"/>
      <c r="BS87" s="168"/>
      <c r="BT87" s="168"/>
      <c r="BU87" s="168"/>
      <c r="BV87" s="168"/>
      <c r="BW87" s="168"/>
      <c r="BX87" s="168"/>
      <c r="BY87" s="168"/>
      <c r="BZ87" s="168"/>
      <c r="CA87" s="168"/>
      <c r="CB87" s="168"/>
      <c r="CC87" s="168"/>
      <c r="CD87" s="168"/>
      <c r="CE87" s="168"/>
      <c r="CF87" s="168"/>
      <c r="CG87" s="168"/>
      <c r="CH87" s="168"/>
      <c r="CI87" s="168"/>
      <c r="CJ87" s="168"/>
      <c r="CK87" s="168"/>
      <c r="CL87" s="168"/>
      <c r="CM87" s="168"/>
      <c r="CN87" s="168"/>
      <c r="CO87" s="168"/>
      <c r="CP87" s="168"/>
      <c r="CQ87" s="168"/>
      <c r="CR87" s="168"/>
      <c r="CS87" s="168"/>
      <c r="CT87" s="168"/>
      <c r="CU87" s="168"/>
      <c r="CV87" s="168"/>
      <c r="CW87" s="168"/>
      <c r="CX87" s="168"/>
      <c r="CY87" s="168"/>
      <c r="CZ87" s="168"/>
      <c r="DA87" s="168"/>
      <c r="DB87" s="168"/>
      <c r="DC87" s="168"/>
      <c r="DD87" s="168"/>
      <c r="DE87" s="168"/>
      <c r="DF87" s="168"/>
    </row>
    <row r="88" spans="2:110" x14ac:dyDescent="0.4">
      <c r="B88" s="472"/>
      <c r="C88" s="60">
        <v>114</v>
      </c>
      <c r="D88" s="226" t="s">
        <v>218</v>
      </c>
      <c r="E88" s="195">
        <v>45971</v>
      </c>
      <c r="F88" s="195">
        <v>46011</v>
      </c>
      <c r="G88" s="196">
        <f t="shared" si="19"/>
        <v>40</v>
      </c>
      <c r="H88" s="195">
        <f t="shared" si="37"/>
        <v>45971</v>
      </c>
      <c r="I88" s="195">
        <f t="shared" si="38"/>
        <v>46011</v>
      </c>
      <c r="J88" s="199" t="s">
        <v>2</v>
      </c>
      <c r="K88" s="200">
        <v>26</v>
      </c>
      <c r="L88" s="201"/>
      <c r="M88" s="201"/>
      <c r="N88" s="198" t="str">
        <f t="shared" si="40"/>
        <v/>
      </c>
      <c r="O88" s="202" t="str">
        <f t="shared" si="41"/>
        <v>-</v>
      </c>
      <c r="P88" s="205">
        <f t="shared" si="42"/>
        <v>0</v>
      </c>
      <c r="Q88" s="207">
        <f t="shared" si="43"/>
        <v>0</v>
      </c>
      <c r="R88" s="204">
        <f t="shared" si="44"/>
        <v>26</v>
      </c>
      <c r="S88" s="65">
        <f t="shared" si="39"/>
        <v>0</v>
      </c>
      <c r="T88" s="157">
        <f t="shared" si="36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8"/>
      <c r="BP88" s="168"/>
      <c r="BQ88" s="168"/>
      <c r="BR88" s="168"/>
      <c r="BS88" s="168"/>
      <c r="BT88" s="168"/>
      <c r="BU88" s="168"/>
      <c r="BV88" s="168"/>
      <c r="BW88" s="168"/>
      <c r="BX88" s="168"/>
      <c r="BY88" s="168"/>
      <c r="BZ88" s="168"/>
      <c r="CA88" s="168"/>
      <c r="CB88" s="168"/>
      <c r="CC88" s="168"/>
      <c r="CD88" s="168"/>
      <c r="CE88" s="168"/>
      <c r="CF88" s="168"/>
      <c r="CG88" s="168"/>
      <c r="CH88" s="168"/>
      <c r="CI88" s="168"/>
      <c r="CJ88" s="168"/>
      <c r="CK88" s="168"/>
      <c r="CL88" s="168"/>
      <c r="CM88" s="168"/>
      <c r="CN88" s="168"/>
      <c r="CO88" s="168"/>
      <c r="CP88" s="168"/>
      <c r="CQ88" s="168"/>
      <c r="CR88" s="168"/>
      <c r="CS88" s="168"/>
      <c r="CT88" s="168"/>
      <c r="CU88" s="168"/>
      <c r="CV88" s="168"/>
      <c r="CW88" s="168"/>
      <c r="CX88" s="168"/>
      <c r="CY88" s="168"/>
      <c r="CZ88" s="168"/>
      <c r="DA88" s="168"/>
      <c r="DB88" s="168"/>
      <c r="DC88" s="168"/>
      <c r="DD88" s="168"/>
      <c r="DE88" s="168"/>
      <c r="DF88" s="168"/>
    </row>
    <row r="89" spans="2:110" x14ac:dyDescent="0.4">
      <c r="B89" s="472" t="s">
        <v>219</v>
      </c>
      <c r="C89" s="60">
        <v>115</v>
      </c>
      <c r="D89" s="226" t="s">
        <v>220</v>
      </c>
      <c r="E89" s="195">
        <f>E68+2</f>
        <v>46018</v>
      </c>
      <c r="F89" s="195">
        <f>F68+2</f>
        <v>46026</v>
      </c>
      <c r="G89" s="196">
        <f t="shared" si="19"/>
        <v>8</v>
      </c>
      <c r="H89" s="195">
        <f t="shared" si="37"/>
        <v>46018</v>
      </c>
      <c r="I89" s="195">
        <f t="shared" si="38"/>
        <v>46026</v>
      </c>
      <c r="J89" s="199" t="s">
        <v>11</v>
      </c>
      <c r="K89" s="200">
        <v>1</v>
      </c>
      <c r="L89" s="201"/>
      <c r="M89" s="201"/>
      <c r="N89" s="198" t="str">
        <f t="shared" si="40"/>
        <v/>
      </c>
      <c r="O89" s="202" t="str">
        <f t="shared" si="41"/>
        <v>-</v>
      </c>
      <c r="P89" s="205">
        <f t="shared" si="42"/>
        <v>0</v>
      </c>
      <c r="Q89" s="207">
        <f t="shared" si="43"/>
        <v>0</v>
      </c>
      <c r="R89" s="204">
        <f t="shared" si="44"/>
        <v>1</v>
      </c>
      <c r="S89" s="65">
        <f t="shared" si="39"/>
        <v>0</v>
      </c>
      <c r="T89" s="157">
        <f t="shared" si="36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8"/>
      <c r="BP89" s="168"/>
      <c r="BQ89" s="168"/>
      <c r="BR89" s="168"/>
      <c r="BS89" s="168"/>
      <c r="BT89" s="168"/>
      <c r="BU89" s="168"/>
      <c r="BV89" s="168"/>
      <c r="BW89" s="168"/>
      <c r="BX89" s="168"/>
      <c r="BY89" s="168"/>
      <c r="BZ89" s="168"/>
      <c r="CA89" s="168"/>
      <c r="CB89" s="168"/>
      <c r="CC89" s="168"/>
      <c r="CD89" s="168"/>
      <c r="CE89" s="168"/>
      <c r="CF89" s="168"/>
      <c r="CG89" s="168"/>
      <c r="CH89" s="168"/>
      <c r="CI89" s="168"/>
      <c r="CJ89" s="168"/>
      <c r="CK89" s="168"/>
      <c r="CL89" s="168"/>
      <c r="CM89" s="168"/>
      <c r="CN89" s="168"/>
      <c r="CO89" s="168"/>
      <c r="CP89" s="168"/>
      <c r="CQ89" s="168"/>
      <c r="CR89" s="168"/>
      <c r="CS89" s="168"/>
      <c r="CT89" s="168"/>
      <c r="CU89" s="168"/>
      <c r="CV89" s="168"/>
      <c r="CW89" s="168"/>
      <c r="CX89" s="168"/>
      <c r="CY89" s="168"/>
      <c r="CZ89" s="168"/>
      <c r="DA89" s="168"/>
      <c r="DB89" s="168"/>
      <c r="DC89" s="168"/>
      <c r="DD89" s="168"/>
      <c r="DE89" s="168"/>
      <c r="DF89" s="168"/>
    </row>
    <row r="90" spans="2:110" ht="29" x14ac:dyDescent="0.4">
      <c r="B90" s="472"/>
      <c r="C90" s="60">
        <v>116</v>
      </c>
      <c r="D90" s="226" t="s">
        <v>221</v>
      </c>
      <c r="E90" s="195">
        <f>E89</f>
        <v>46018</v>
      </c>
      <c r="F90" s="195">
        <f>F89</f>
        <v>46026</v>
      </c>
      <c r="G90" s="196">
        <f t="shared" si="19"/>
        <v>8</v>
      </c>
      <c r="H90" s="195">
        <f t="shared" si="37"/>
        <v>46018</v>
      </c>
      <c r="I90" s="195">
        <f t="shared" si="38"/>
        <v>46026</v>
      </c>
      <c r="J90" s="199" t="s">
        <v>11</v>
      </c>
      <c r="K90" s="200">
        <v>1</v>
      </c>
      <c r="L90" s="201"/>
      <c r="M90" s="201"/>
      <c r="N90" s="198" t="str">
        <f t="shared" si="40"/>
        <v/>
      </c>
      <c r="O90" s="202" t="str">
        <f t="shared" si="41"/>
        <v>-</v>
      </c>
      <c r="P90" s="205">
        <f t="shared" si="42"/>
        <v>0</v>
      </c>
      <c r="Q90" s="207">
        <f t="shared" si="43"/>
        <v>0</v>
      </c>
      <c r="R90" s="204">
        <f t="shared" si="44"/>
        <v>1</v>
      </c>
      <c r="S90" s="65">
        <f t="shared" si="39"/>
        <v>0</v>
      </c>
      <c r="T90" s="157">
        <f t="shared" si="36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8"/>
      <c r="BP90" s="168"/>
      <c r="BQ90" s="168"/>
      <c r="BR90" s="168"/>
      <c r="BS90" s="168"/>
      <c r="BT90" s="168"/>
      <c r="BU90" s="168"/>
      <c r="BV90" s="168"/>
      <c r="BW90" s="168"/>
      <c r="BX90" s="168"/>
      <c r="BY90" s="168"/>
      <c r="BZ90" s="168"/>
      <c r="CA90" s="168"/>
      <c r="CB90" s="168"/>
      <c r="CC90" s="168"/>
      <c r="CD90" s="168"/>
      <c r="CE90" s="168"/>
      <c r="CF90" s="168"/>
      <c r="CG90" s="168"/>
      <c r="CH90" s="168"/>
      <c r="CI90" s="168"/>
      <c r="CJ90" s="168"/>
      <c r="CK90" s="168"/>
      <c r="CL90" s="168"/>
      <c r="CM90" s="168"/>
      <c r="CN90" s="168"/>
      <c r="CO90" s="168"/>
      <c r="CP90" s="168"/>
      <c r="CQ90" s="168"/>
      <c r="CR90" s="168"/>
      <c r="CS90" s="168"/>
      <c r="CT90" s="168"/>
      <c r="CU90" s="168"/>
      <c r="CV90" s="168"/>
      <c r="CW90" s="168"/>
      <c r="CX90" s="168"/>
      <c r="CY90" s="168"/>
      <c r="CZ90" s="168"/>
      <c r="DA90" s="168"/>
      <c r="DB90" s="168"/>
      <c r="DC90" s="168"/>
      <c r="DD90" s="168"/>
      <c r="DE90" s="168"/>
      <c r="DF90" s="168"/>
    </row>
    <row r="91" spans="2:110" x14ac:dyDescent="0.4">
      <c r="B91" s="472"/>
      <c r="C91" s="60">
        <v>117</v>
      </c>
      <c r="D91" s="226" t="s">
        <v>222</v>
      </c>
      <c r="E91" s="195">
        <f>E90</f>
        <v>46018</v>
      </c>
      <c r="F91" s="195">
        <f>F90</f>
        <v>46026</v>
      </c>
      <c r="G91" s="196">
        <f t="shared" si="19"/>
        <v>8</v>
      </c>
      <c r="H91" s="195">
        <f t="shared" si="37"/>
        <v>46018</v>
      </c>
      <c r="I91" s="195">
        <f t="shared" si="38"/>
        <v>46026</v>
      </c>
      <c r="J91" s="199" t="s">
        <v>11</v>
      </c>
      <c r="K91" s="200">
        <v>1</v>
      </c>
      <c r="L91" s="201"/>
      <c r="M91" s="201"/>
      <c r="N91" s="198" t="str">
        <f t="shared" si="40"/>
        <v/>
      </c>
      <c r="O91" s="202" t="str">
        <f t="shared" si="41"/>
        <v>-</v>
      </c>
      <c r="P91" s="205">
        <f t="shared" si="42"/>
        <v>0</v>
      </c>
      <c r="Q91" s="207">
        <f t="shared" si="43"/>
        <v>0</v>
      </c>
      <c r="R91" s="204">
        <f t="shared" si="44"/>
        <v>1</v>
      </c>
      <c r="S91" s="65">
        <f t="shared" si="39"/>
        <v>0</v>
      </c>
      <c r="T91" s="157">
        <f t="shared" si="36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8"/>
      <c r="BP91" s="168"/>
      <c r="BQ91" s="168"/>
      <c r="BR91" s="168"/>
      <c r="BS91" s="168"/>
      <c r="BT91" s="168"/>
      <c r="BU91" s="168"/>
      <c r="BV91" s="168"/>
      <c r="BW91" s="168"/>
      <c r="BX91" s="168"/>
      <c r="BY91" s="168"/>
      <c r="BZ91" s="168"/>
      <c r="CA91" s="168"/>
      <c r="CB91" s="168"/>
      <c r="CC91" s="168"/>
      <c r="CD91" s="168"/>
      <c r="CE91" s="168"/>
      <c r="CF91" s="168"/>
      <c r="CG91" s="168"/>
      <c r="CH91" s="168"/>
      <c r="CI91" s="168"/>
      <c r="CJ91" s="168"/>
      <c r="CK91" s="168"/>
      <c r="CL91" s="168"/>
      <c r="CM91" s="168"/>
      <c r="CN91" s="168"/>
      <c r="CO91" s="168"/>
      <c r="CP91" s="168"/>
      <c r="CQ91" s="168"/>
      <c r="CR91" s="168"/>
      <c r="CS91" s="168"/>
      <c r="CT91" s="168"/>
      <c r="CU91" s="168"/>
      <c r="CV91" s="168"/>
      <c r="CW91" s="168"/>
      <c r="CX91" s="168"/>
      <c r="CY91" s="168"/>
      <c r="CZ91" s="168"/>
      <c r="DA91" s="168"/>
      <c r="DB91" s="168"/>
      <c r="DC91" s="168"/>
      <c r="DD91" s="168"/>
      <c r="DE91" s="168"/>
      <c r="DF91" s="168"/>
    </row>
    <row r="92" spans="2:110" x14ac:dyDescent="0.4">
      <c r="B92" s="472"/>
      <c r="C92" s="60">
        <v>118</v>
      </c>
      <c r="D92" s="226" t="s">
        <v>217</v>
      </c>
      <c r="E92" s="195">
        <v>45919</v>
      </c>
      <c r="F92" s="195">
        <v>46009</v>
      </c>
      <c r="G92" s="196">
        <f t="shared" ref="G92:G120" si="45">F92-E92</f>
        <v>90</v>
      </c>
      <c r="H92" s="195">
        <f>E92</f>
        <v>45919</v>
      </c>
      <c r="I92" s="195">
        <f>F92</f>
        <v>46009</v>
      </c>
      <c r="J92" s="199" t="s">
        <v>11</v>
      </c>
      <c r="K92" s="200">
        <v>1</v>
      </c>
      <c r="L92" s="201"/>
      <c r="M92" s="201"/>
      <c r="N92" s="198" t="str">
        <f t="shared" si="40"/>
        <v/>
      </c>
      <c r="O92" s="202" t="str">
        <f t="shared" si="41"/>
        <v>-</v>
      </c>
      <c r="P92" s="205">
        <f t="shared" si="42"/>
        <v>0</v>
      </c>
      <c r="Q92" s="207">
        <f t="shared" si="43"/>
        <v>0</v>
      </c>
      <c r="R92" s="204">
        <f t="shared" si="44"/>
        <v>1</v>
      </c>
      <c r="S92" s="65">
        <f t="shared" si="39"/>
        <v>0</v>
      </c>
      <c r="T92" s="157">
        <f t="shared" si="36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8"/>
      <c r="BP92" s="168"/>
      <c r="BQ92" s="168"/>
      <c r="BR92" s="168"/>
      <c r="BS92" s="168"/>
      <c r="BT92" s="168"/>
      <c r="BU92" s="168"/>
      <c r="BV92" s="168"/>
      <c r="BW92" s="168"/>
      <c r="BX92" s="168"/>
      <c r="BY92" s="168"/>
      <c r="BZ92" s="168"/>
      <c r="CA92" s="168"/>
      <c r="CB92" s="168"/>
      <c r="CC92" s="168"/>
      <c r="CD92" s="168"/>
      <c r="CE92" s="168"/>
      <c r="CF92" s="168"/>
      <c r="CG92" s="168"/>
      <c r="CH92" s="168"/>
      <c r="CI92" s="168"/>
      <c r="CJ92" s="168"/>
      <c r="CK92" s="168"/>
      <c r="CL92" s="168"/>
      <c r="CM92" s="168"/>
      <c r="CN92" s="168"/>
      <c r="CO92" s="168"/>
      <c r="CP92" s="168"/>
      <c r="CQ92" s="168"/>
      <c r="CR92" s="168"/>
      <c r="CS92" s="168"/>
      <c r="CT92" s="168"/>
      <c r="CU92" s="168"/>
      <c r="CV92" s="168"/>
      <c r="CW92" s="168"/>
      <c r="CX92" s="168"/>
      <c r="CY92" s="168"/>
      <c r="CZ92" s="168"/>
      <c r="DA92" s="168"/>
      <c r="DB92" s="168"/>
      <c r="DC92" s="168"/>
      <c r="DD92" s="168"/>
      <c r="DE92" s="168"/>
      <c r="DF92" s="168"/>
    </row>
    <row r="93" spans="2:110" x14ac:dyDescent="0.4">
      <c r="B93" s="472"/>
      <c r="C93" s="60">
        <v>119</v>
      </c>
      <c r="D93" s="226" t="s">
        <v>218</v>
      </c>
      <c r="E93" s="195">
        <v>45919</v>
      </c>
      <c r="F93" s="195">
        <v>46011</v>
      </c>
      <c r="G93" s="196">
        <f t="shared" si="45"/>
        <v>92</v>
      </c>
      <c r="H93" s="195">
        <f t="shared" ref="H93:H120" si="46">E93</f>
        <v>45919</v>
      </c>
      <c r="I93" s="195">
        <f t="shared" ref="I93:I120" si="47">F93</f>
        <v>46011</v>
      </c>
      <c r="J93" s="199" t="s">
        <v>11</v>
      </c>
      <c r="K93" s="200">
        <v>1</v>
      </c>
      <c r="L93" s="201"/>
      <c r="M93" s="201"/>
      <c r="N93" s="198" t="str">
        <f t="shared" si="40"/>
        <v/>
      </c>
      <c r="O93" s="202" t="str">
        <f t="shared" si="41"/>
        <v>-</v>
      </c>
      <c r="P93" s="205">
        <f t="shared" si="42"/>
        <v>0</v>
      </c>
      <c r="Q93" s="207">
        <f t="shared" si="43"/>
        <v>0</v>
      </c>
      <c r="R93" s="204">
        <f t="shared" si="44"/>
        <v>1</v>
      </c>
      <c r="S93" s="65">
        <f t="shared" si="39"/>
        <v>0</v>
      </c>
      <c r="T93" s="157">
        <f t="shared" si="36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8"/>
      <c r="BP93" s="168"/>
      <c r="BQ93" s="168"/>
      <c r="BR93" s="168"/>
      <c r="BS93" s="168"/>
      <c r="BT93" s="168"/>
      <c r="BU93" s="168"/>
      <c r="BV93" s="168"/>
      <c r="BW93" s="168"/>
      <c r="BX93" s="168"/>
      <c r="BY93" s="168"/>
      <c r="BZ93" s="168"/>
      <c r="CA93" s="168"/>
      <c r="CB93" s="168"/>
      <c r="CC93" s="168"/>
      <c r="CD93" s="168"/>
      <c r="CE93" s="168"/>
      <c r="CF93" s="168"/>
      <c r="CG93" s="168"/>
      <c r="CH93" s="168"/>
      <c r="CI93" s="168"/>
      <c r="CJ93" s="168"/>
      <c r="CK93" s="168"/>
      <c r="CL93" s="168"/>
      <c r="CM93" s="168"/>
      <c r="CN93" s="168"/>
      <c r="CO93" s="168"/>
      <c r="CP93" s="168"/>
      <c r="CQ93" s="168"/>
      <c r="CR93" s="168"/>
      <c r="CS93" s="168"/>
      <c r="CT93" s="168"/>
      <c r="CU93" s="168"/>
      <c r="CV93" s="168"/>
      <c r="CW93" s="168"/>
      <c r="CX93" s="168"/>
      <c r="CY93" s="168"/>
      <c r="CZ93" s="168"/>
      <c r="DA93" s="168"/>
      <c r="DB93" s="168"/>
      <c r="DC93" s="168"/>
      <c r="DD93" s="168"/>
      <c r="DE93" s="168"/>
      <c r="DF93" s="168"/>
    </row>
    <row r="94" spans="2:110" x14ac:dyDescent="0.4">
      <c r="B94" s="472" t="s">
        <v>223</v>
      </c>
      <c r="C94" s="60">
        <v>120</v>
      </c>
      <c r="D94" s="226" t="s">
        <v>224</v>
      </c>
      <c r="E94" s="195">
        <v>45940</v>
      </c>
      <c r="F94" s="195">
        <v>46006</v>
      </c>
      <c r="G94" s="196">
        <f t="shared" si="45"/>
        <v>66</v>
      </c>
      <c r="H94" s="195">
        <f t="shared" si="46"/>
        <v>45940</v>
      </c>
      <c r="I94" s="195">
        <f t="shared" si="47"/>
        <v>46006</v>
      </c>
      <c r="J94" s="199" t="s">
        <v>2</v>
      </c>
      <c r="K94" s="200">
        <v>26</v>
      </c>
      <c r="L94" s="201"/>
      <c r="M94" s="201"/>
      <c r="N94" s="198" t="str">
        <f t="shared" si="40"/>
        <v/>
      </c>
      <c r="O94" s="202" t="str">
        <f t="shared" si="41"/>
        <v>-</v>
      </c>
      <c r="P94" s="205">
        <f t="shared" si="42"/>
        <v>0</v>
      </c>
      <c r="Q94" s="207">
        <f t="shared" si="43"/>
        <v>0</v>
      </c>
      <c r="R94" s="204">
        <f t="shared" si="44"/>
        <v>26</v>
      </c>
      <c r="S94" s="65">
        <f t="shared" si="39"/>
        <v>0</v>
      </c>
      <c r="T94" s="157">
        <f t="shared" si="36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8"/>
      <c r="BP94" s="168"/>
      <c r="BQ94" s="168"/>
      <c r="BR94" s="168"/>
      <c r="BS94" s="168"/>
      <c r="BT94" s="168"/>
      <c r="BU94" s="168"/>
      <c r="BV94" s="168"/>
      <c r="BW94" s="168"/>
      <c r="BX94" s="168"/>
      <c r="BY94" s="168"/>
      <c r="BZ94" s="168"/>
      <c r="CA94" s="168"/>
      <c r="CB94" s="168"/>
      <c r="CC94" s="168"/>
      <c r="CD94" s="168"/>
      <c r="CE94" s="168"/>
      <c r="CF94" s="168"/>
      <c r="CG94" s="168"/>
      <c r="CH94" s="168"/>
      <c r="CI94" s="168"/>
      <c r="CJ94" s="168"/>
      <c r="CK94" s="168"/>
      <c r="CL94" s="168"/>
      <c r="CM94" s="168"/>
      <c r="CN94" s="168"/>
      <c r="CO94" s="168"/>
      <c r="CP94" s="168"/>
      <c r="CQ94" s="168"/>
      <c r="CR94" s="168"/>
      <c r="CS94" s="168"/>
      <c r="CT94" s="168"/>
      <c r="CU94" s="168"/>
      <c r="CV94" s="168"/>
      <c r="CW94" s="168"/>
      <c r="CX94" s="168"/>
      <c r="CY94" s="168"/>
      <c r="CZ94" s="168"/>
      <c r="DA94" s="168"/>
      <c r="DB94" s="168"/>
      <c r="DC94" s="168"/>
      <c r="DD94" s="168"/>
      <c r="DE94" s="168"/>
      <c r="DF94" s="168"/>
    </row>
    <row r="95" spans="2:110" x14ac:dyDescent="0.4">
      <c r="B95" s="472"/>
      <c r="C95" s="60">
        <v>121</v>
      </c>
      <c r="D95" s="226" t="s">
        <v>225</v>
      </c>
      <c r="E95" s="195">
        <v>45992</v>
      </c>
      <c r="F95" s="195">
        <v>46011</v>
      </c>
      <c r="G95" s="196">
        <f t="shared" si="45"/>
        <v>19</v>
      </c>
      <c r="H95" s="195">
        <f t="shared" si="46"/>
        <v>45992</v>
      </c>
      <c r="I95" s="195">
        <f t="shared" si="47"/>
        <v>46011</v>
      </c>
      <c r="J95" s="199" t="s">
        <v>2</v>
      </c>
      <c r="K95" s="200">
        <v>26</v>
      </c>
      <c r="L95" s="201"/>
      <c r="M95" s="201"/>
      <c r="N95" s="198" t="str">
        <f t="shared" si="40"/>
        <v/>
      </c>
      <c r="O95" s="202" t="str">
        <f t="shared" si="41"/>
        <v>-</v>
      </c>
      <c r="P95" s="205">
        <f t="shared" si="42"/>
        <v>0</v>
      </c>
      <c r="Q95" s="207">
        <f t="shared" si="43"/>
        <v>0</v>
      </c>
      <c r="R95" s="204">
        <f t="shared" si="44"/>
        <v>26</v>
      </c>
      <c r="S95" s="65">
        <f t="shared" si="39"/>
        <v>0</v>
      </c>
      <c r="T95" s="157">
        <f t="shared" si="36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8"/>
      <c r="BP95" s="168"/>
      <c r="BQ95" s="168"/>
      <c r="BR95" s="168"/>
      <c r="BS95" s="168"/>
      <c r="BT95" s="168"/>
      <c r="BU95" s="168"/>
      <c r="BV95" s="168"/>
      <c r="BW95" s="168"/>
      <c r="BX95" s="168"/>
      <c r="BY95" s="168"/>
      <c r="BZ95" s="168"/>
      <c r="CA95" s="168"/>
      <c r="CB95" s="168"/>
      <c r="CC95" s="168"/>
      <c r="CD95" s="168"/>
      <c r="CE95" s="168"/>
      <c r="CF95" s="168"/>
      <c r="CG95" s="168"/>
      <c r="CH95" s="168"/>
      <c r="CI95" s="168"/>
      <c r="CJ95" s="168"/>
      <c r="CK95" s="168"/>
      <c r="CL95" s="168"/>
      <c r="CM95" s="168"/>
      <c r="CN95" s="168"/>
      <c r="CO95" s="168"/>
      <c r="CP95" s="168"/>
      <c r="CQ95" s="168"/>
      <c r="CR95" s="168"/>
      <c r="CS95" s="168"/>
      <c r="CT95" s="168"/>
      <c r="CU95" s="168"/>
      <c r="CV95" s="168"/>
      <c r="CW95" s="168"/>
      <c r="CX95" s="168"/>
      <c r="CY95" s="168"/>
      <c r="CZ95" s="168"/>
      <c r="DA95" s="168"/>
      <c r="DB95" s="168"/>
      <c r="DC95" s="168"/>
      <c r="DD95" s="168"/>
      <c r="DE95" s="168"/>
      <c r="DF95" s="168"/>
    </row>
    <row r="96" spans="2:110" x14ac:dyDescent="0.4">
      <c r="B96" s="472"/>
      <c r="C96" s="60">
        <v>122</v>
      </c>
      <c r="D96" s="226" t="s">
        <v>429</v>
      </c>
      <c r="E96" s="195">
        <v>45962</v>
      </c>
      <c r="F96" s="195">
        <v>45996</v>
      </c>
      <c r="G96" s="196">
        <f t="shared" si="45"/>
        <v>34</v>
      </c>
      <c r="H96" s="195">
        <f t="shared" si="46"/>
        <v>45962</v>
      </c>
      <c r="I96" s="195">
        <f t="shared" si="47"/>
        <v>45996</v>
      </c>
      <c r="J96" s="199" t="s">
        <v>2</v>
      </c>
      <c r="K96" s="200">
        <v>26</v>
      </c>
      <c r="L96" s="201"/>
      <c r="M96" s="201"/>
      <c r="N96" s="198" t="str">
        <f t="shared" si="40"/>
        <v/>
      </c>
      <c r="O96" s="202" t="str">
        <f t="shared" si="41"/>
        <v>-</v>
      </c>
      <c r="P96" s="205">
        <f t="shared" si="42"/>
        <v>0</v>
      </c>
      <c r="Q96" s="207">
        <f t="shared" si="43"/>
        <v>0</v>
      </c>
      <c r="R96" s="204">
        <f t="shared" si="44"/>
        <v>26</v>
      </c>
      <c r="S96" s="65">
        <f t="shared" si="39"/>
        <v>0</v>
      </c>
      <c r="T96" s="157">
        <f t="shared" si="36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  <c r="DA96" s="168"/>
      <c r="DB96" s="168"/>
      <c r="DC96" s="168"/>
      <c r="DD96" s="168"/>
      <c r="DE96" s="168"/>
      <c r="DF96" s="168"/>
    </row>
    <row r="97" spans="2:110" x14ac:dyDescent="0.4">
      <c r="B97" s="486" t="s">
        <v>226</v>
      </c>
      <c r="C97" s="60">
        <v>123</v>
      </c>
      <c r="D97" s="226" t="s">
        <v>227</v>
      </c>
      <c r="E97" s="195">
        <v>45986</v>
      </c>
      <c r="F97" s="195">
        <v>46016</v>
      </c>
      <c r="G97" s="196">
        <f t="shared" si="45"/>
        <v>30</v>
      </c>
      <c r="H97" s="195">
        <f t="shared" si="46"/>
        <v>45986</v>
      </c>
      <c r="I97" s="195">
        <f t="shared" si="47"/>
        <v>46016</v>
      </c>
      <c r="J97" s="199" t="s">
        <v>2</v>
      </c>
      <c r="K97" s="200">
        <v>26</v>
      </c>
      <c r="L97" s="201"/>
      <c r="M97" s="201"/>
      <c r="N97" s="198" t="str">
        <f t="shared" si="40"/>
        <v/>
      </c>
      <c r="O97" s="202" t="str">
        <f t="shared" si="41"/>
        <v>-</v>
      </c>
      <c r="P97" s="205">
        <f t="shared" si="42"/>
        <v>0</v>
      </c>
      <c r="Q97" s="207">
        <f t="shared" si="43"/>
        <v>0</v>
      </c>
      <c r="R97" s="204">
        <f t="shared" si="44"/>
        <v>26</v>
      </c>
      <c r="S97" s="65">
        <f t="shared" si="39"/>
        <v>0</v>
      </c>
      <c r="T97" s="157">
        <f t="shared" si="36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8"/>
      <c r="BP97" s="168"/>
      <c r="BQ97" s="168"/>
      <c r="BR97" s="168"/>
      <c r="BS97" s="168"/>
      <c r="BT97" s="168"/>
      <c r="BU97" s="168"/>
      <c r="BV97" s="168"/>
      <c r="BW97" s="168"/>
      <c r="BX97" s="168"/>
      <c r="BY97" s="168"/>
      <c r="BZ97" s="168"/>
      <c r="CA97" s="168"/>
      <c r="CB97" s="168"/>
      <c r="CC97" s="168"/>
      <c r="CD97" s="168"/>
      <c r="CE97" s="168"/>
      <c r="CF97" s="168"/>
      <c r="CG97" s="168"/>
      <c r="CH97" s="168"/>
      <c r="CI97" s="168"/>
      <c r="CJ97" s="168"/>
      <c r="CK97" s="168"/>
      <c r="CL97" s="168"/>
      <c r="CM97" s="168"/>
      <c r="CN97" s="168"/>
      <c r="CO97" s="168"/>
      <c r="CP97" s="168"/>
      <c r="CQ97" s="168"/>
      <c r="CR97" s="168"/>
      <c r="CS97" s="168"/>
      <c r="CT97" s="168"/>
      <c r="CU97" s="168"/>
      <c r="CV97" s="168"/>
      <c r="CW97" s="168"/>
      <c r="CX97" s="168"/>
      <c r="CY97" s="168"/>
      <c r="CZ97" s="168"/>
      <c r="DA97" s="168"/>
      <c r="DB97" s="168"/>
      <c r="DC97" s="168"/>
      <c r="DD97" s="168"/>
      <c r="DE97" s="168"/>
      <c r="DF97" s="168"/>
    </row>
    <row r="98" spans="2:110" x14ac:dyDescent="0.4">
      <c r="B98" s="486"/>
      <c r="C98" s="60">
        <v>124</v>
      </c>
      <c r="D98" s="226" t="s">
        <v>228</v>
      </c>
      <c r="E98" s="195">
        <v>45984</v>
      </c>
      <c r="F98" s="195">
        <v>46008</v>
      </c>
      <c r="G98" s="196">
        <f t="shared" si="45"/>
        <v>24</v>
      </c>
      <c r="H98" s="195">
        <f t="shared" si="46"/>
        <v>45984</v>
      </c>
      <c r="I98" s="195">
        <f t="shared" si="47"/>
        <v>46008</v>
      </c>
      <c r="J98" s="199" t="s">
        <v>2</v>
      </c>
      <c r="K98" s="200">
        <v>26</v>
      </c>
      <c r="L98" s="201"/>
      <c r="M98" s="201"/>
      <c r="N98" s="198" t="str">
        <f t="shared" si="40"/>
        <v/>
      </c>
      <c r="O98" s="202" t="str">
        <f t="shared" si="41"/>
        <v>-</v>
      </c>
      <c r="P98" s="205">
        <f t="shared" si="42"/>
        <v>0</v>
      </c>
      <c r="Q98" s="207">
        <f t="shared" si="43"/>
        <v>0</v>
      </c>
      <c r="R98" s="204">
        <f t="shared" si="44"/>
        <v>26</v>
      </c>
      <c r="S98" s="65">
        <f t="shared" si="39"/>
        <v>0</v>
      </c>
      <c r="T98" s="157">
        <f t="shared" si="36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8"/>
      <c r="BP98" s="168"/>
      <c r="BQ98" s="168"/>
      <c r="BR98" s="168"/>
      <c r="BS98" s="168"/>
      <c r="BT98" s="168"/>
      <c r="BU98" s="168"/>
      <c r="BV98" s="168"/>
      <c r="BW98" s="168"/>
      <c r="BX98" s="168"/>
      <c r="BY98" s="168"/>
      <c r="BZ98" s="168"/>
      <c r="CA98" s="168"/>
      <c r="CB98" s="168"/>
      <c r="CC98" s="168"/>
      <c r="CD98" s="168"/>
      <c r="CE98" s="168"/>
      <c r="CF98" s="168"/>
      <c r="CG98" s="168"/>
      <c r="CH98" s="168"/>
      <c r="CI98" s="168"/>
      <c r="CJ98" s="168"/>
      <c r="CK98" s="168"/>
      <c r="CL98" s="168"/>
      <c r="CM98" s="168"/>
      <c r="CN98" s="168"/>
      <c r="CO98" s="168"/>
      <c r="CP98" s="168"/>
      <c r="CQ98" s="168"/>
      <c r="CR98" s="168"/>
      <c r="CS98" s="168"/>
      <c r="CT98" s="168"/>
      <c r="CU98" s="168"/>
      <c r="CV98" s="168"/>
      <c r="CW98" s="168"/>
      <c r="CX98" s="168"/>
      <c r="CY98" s="168"/>
      <c r="CZ98" s="168"/>
      <c r="DA98" s="168"/>
      <c r="DB98" s="168"/>
      <c r="DC98" s="168"/>
      <c r="DD98" s="168"/>
      <c r="DE98" s="168"/>
      <c r="DF98" s="168"/>
    </row>
    <row r="99" spans="2:110" x14ac:dyDescent="0.4">
      <c r="B99" s="486"/>
      <c r="C99" s="60">
        <v>125</v>
      </c>
      <c r="D99" s="226" t="s">
        <v>433</v>
      </c>
      <c r="E99" s="195">
        <v>45988</v>
      </c>
      <c r="F99" s="195">
        <v>46007</v>
      </c>
      <c r="G99" s="196">
        <f t="shared" si="45"/>
        <v>19</v>
      </c>
      <c r="H99" s="195">
        <f t="shared" si="46"/>
        <v>45988</v>
      </c>
      <c r="I99" s="195">
        <f t="shared" si="47"/>
        <v>46007</v>
      </c>
      <c r="J99" s="199" t="s">
        <v>2</v>
      </c>
      <c r="K99" s="200">
        <v>26</v>
      </c>
      <c r="L99" s="201"/>
      <c r="M99" s="201"/>
      <c r="N99" s="198" t="str">
        <f t="shared" si="40"/>
        <v/>
      </c>
      <c r="O99" s="202" t="str">
        <f t="shared" si="41"/>
        <v>-</v>
      </c>
      <c r="P99" s="205">
        <f t="shared" si="42"/>
        <v>0</v>
      </c>
      <c r="Q99" s="207">
        <f t="shared" si="43"/>
        <v>0</v>
      </c>
      <c r="R99" s="204">
        <f t="shared" si="44"/>
        <v>26</v>
      </c>
      <c r="S99" s="65">
        <f t="shared" si="39"/>
        <v>0</v>
      </c>
      <c r="T99" s="157">
        <f t="shared" si="36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8"/>
      <c r="BP99" s="168"/>
      <c r="BQ99" s="168"/>
      <c r="BR99" s="168"/>
      <c r="BS99" s="168"/>
      <c r="BT99" s="168"/>
      <c r="BU99" s="168"/>
      <c r="BV99" s="168"/>
      <c r="BW99" s="168"/>
      <c r="BX99" s="168"/>
      <c r="BY99" s="168"/>
      <c r="BZ99" s="168"/>
      <c r="CA99" s="168"/>
      <c r="CB99" s="168"/>
      <c r="CC99" s="168"/>
      <c r="CD99" s="168"/>
      <c r="CE99" s="168"/>
      <c r="CF99" s="168"/>
      <c r="CG99" s="168"/>
      <c r="CH99" s="168"/>
      <c r="CI99" s="168"/>
      <c r="CJ99" s="168"/>
      <c r="CK99" s="168"/>
      <c r="CL99" s="168"/>
      <c r="CM99" s="168"/>
      <c r="CN99" s="168"/>
      <c r="CO99" s="168"/>
      <c r="CP99" s="168"/>
      <c r="CQ99" s="168"/>
      <c r="CR99" s="168"/>
      <c r="CS99" s="168"/>
      <c r="CT99" s="168"/>
      <c r="CU99" s="168"/>
      <c r="CV99" s="168"/>
      <c r="CW99" s="168"/>
      <c r="CX99" s="168"/>
      <c r="CY99" s="168"/>
      <c r="CZ99" s="168"/>
      <c r="DA99" s="168"/>
      <c r="DB99" s="168"/>
      <c r="DC99" s="168"/>
      <c r="DD99" s="168"/>
      <c r="DE99" s="168"/>
      <c r="DF99" s="168"/>
    </row>
    <row r="100" spans="2:110" x14ac:dyDescent="0.4">
      <c r="B100" s="486"/>
      <c r="C100" s="60">
        <v>127</v>
      </c>
      <c r="D100" s="226" t="s">
        <v>231</v>
      </c>
      <c r="E100" s="195">
        <v>45978</v>
      </c>
      <c r="F100" s="195">
        <v>45984</v>
      </c>
      <c r="G100" s="196">
        <f t="shared" si="45"/>
        <v>6</v>
      </c>
      <c r="H100" s="195">
        <f t="shared" si="46"/>
        <v>45978</v>
      </c>
      <c r="I100" s="195">
        <f t="shared" si="47"/>
        <v>45984</v>
      </c>
      <c r="J100" s="199" t="s">
        <v>2</v>
      </c>
      <c r="K100" s="200">
        <v>26</v>
      </c>
      <c r="L100" s="201"/>
      <c r="M100" s="201"/>
      <c r="N100" s="198" t="str">
        <f t="shared" si="40"/>
        <v/>
      </c>
      <c r="O100" s="202" t="str">
        <f t="shared" si="41"/>
        <v>-</v>
      </c>
      <c r="P100" s="205">
        <f t="shared" si="42"/>
        <v>0</v>
      </c>
      <c r="Q100" s="207">
        <f t="shared" si="43"/>
        <v>0</v>
      </c>
      <c r="R100" s="204">
        <f t="shared" si="44"/>
        <v>26</v>
      </c>
      <c r="S100" s="65">
        <f t="shared" ref="S100:S120" si="48">SUM(U100:XFD100)</f>
        <v>0</v>
      </c>
      <c r="T100" s="157">
        <f t="shared" si="36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8"/>
      <c r="BP100" s="168"/>
      <c r="BQ100" s="168"/>
      <c r="BR100" s="168"/>
      <c r="BS100" s="168"/>
      <c r="BT100" s="168"/>
      <c r="BU100" s="168"/>
      <c r="BV100" s="168"/>
      <c r="BW100" s="168"/>
      <c r="BX100" s="168"/>
      <c r="BY100" s="168"/>
      <c r="BZ100" s="168"/>
      <c r="CA100" s="168"/>
      <c r="CB100" s="168"/>
      <c r="CC100" s="168"/>
      <c r="CD100" s="168"/>
      <c r="CE100" s="168"/>
      <c r="CF100" s="168"/>
      <c r="CG100" s="168"/>
      <c r="CH100" s="168"/>
      <c r="CI100" s="168"/>
      <c r="CJ100" s="168"/>
      <c r="CK100" s="168"/>
      <c r="CL100" s="168"/>
      <c r="CM100" s="168"/>
      <c r="CN100" s="168"/>
      <c r="CO100" s="168"/>
      <c r="CP100" s="168"/>
      <c r="CQ100" s="168"/>
      <c r="CR100" s="168"/>
      <c r="CS100" s="168"/>
      <c r="CT100" s="168"/>
      <c r="CU100" s="168"/>
      <c r="CV100" s="168"/>
      <c r="CW100" s="168"/>
      <c r="CX100" s="168"/>
      <c r="CY100" s="168"/>
      <c r="CZ100" s="168"/>
      <c r="DA100" s="168"/>
      <c r="DB100" s="168"/>
      <c r="DC100" s="168"/>
      <c r="DD100" s="168"/>
      <c r="DE100" s="168"/>
      <c r="DF100" s="168"/>
    </row>
    <row r="101" spans="2:110" x14ac:dyDescent="0.4">
      <c r="B101" s="486"/>
      <c r="C101" s="60">
        <v>128</v>
      </c>
      <c r="D101" s="226" t="s">
        <v>434</v>
      </c>
      <c r="E101" s="195">
        <v>45985</v>
      </c>
      <c r="F101" s="195">
        <v>45989</v>
      </c>
      <c r="G101" s="196">
        <f t="shared" si="45"/>
        <v>4</v>
      </c>
      <c r="H101" s="195">
        <f t="shared" si="46"/>
        <v>45985</v>
      </c>
      <c r="I101" s="195">
        <f t="shared" si="47"/>
        <v>45989</v>
      </c>
      <c r="J101" s="199" t="s">
        <v>2</v>
      </c>
      <c r="K101" s="200">
        <v>26</v>
      </c>
      <c r="L101" s="201"/>
      <c r="M101" s="201"/>
      <c r="N101" s="198" t="str">
        <f t="shared" si="40"/>
        <v/>
      </c>
      <c r="O101" s="202" t="str">
        <f t="shared" si="41"/>
        <v>-</v>
      </c>
      <c r="P101" s="205">
        <f t="shared" si="42"/>
        <v>0</v>
      </c>
      <c r="Q101" s="207">
        <f t="shared" si="43"/>
        <v>0</v>
      </c>
      <c r="R101" s="204">
        <f t="shared" si="44"/>
        <v>26</v>
      </c>
      <c r="S101" s="65">
        <f t="shared" si="48"/>
        <v>0</v>
      </c>
      <c r="T101" s="157">
        <f t="shared" si="36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8"/>
      <c r="BP101" s="168"/>
      <c r="BQ101" s="168"/>
      <c r="BR101" s="168"/>
      <c r="BS101" s="168"/>
      <c r="BT101" s="168"/>
      <c r="BU101" s="168"/>
      <c r="BV101" s="168"/>
      <c r="BW101" s="168"/>
      <c r="BX101" s="168"/>
      <c r="BY101" s="168"/>
      <c r="BZ101" s="168"/>
      <c r="CA101" s="168"/>
      <c r="CB101" s="168"/>
      <c r="CC101" s="168"/>
      <c r="CD101" s="168"/>
      <c r="CE101" s="168"/>
      <c r="CF101" s="168"/>
      <c r="CG101" s="168"/>
      <c r="CH101" s="168"/>
      <c r="CI101" s="168"/>
      <c r="CJ101" s="168"/>
      <c r="CK101" s="168"/>
      <c r="CL101" s="168"/>
      <c r="CM101" s="168"/>
      <c r="CN101" s="168"/>
      <c r="CO101" s="168"/>
      <c r="CP101" s="168"/>
      <c r="CQ101" s="168"/>
      <c r="CR101" s="168"/>
      <c r="CS101" s="168"/>
      <c r="CT101" s="168"/>
      <c r="CU101" s="168"/>
      <c r="CV101" s="168"/>
      <c r="CW101" s="168"/>
      <c r="CX101" s="168"/>
      <c r="CY101" s="168"/>
      <c r="CZ101" s="168"/>
      <c r="DA101" s="168"/>
      <c r="DB101" s="168"/>
      <c r="DC101" s="168"/>
      <c r="DD101" s="168"/>
      <c r="DE101" s="168"/>
      <c r="DF101" s="168"/>
    </row>
    <row r="102" spans="2:110" x14ac:dyDescent="0.4">
      <c r="B102" s="486"/>
      <c r="C102" s="60">
        <v>129</v>
      </c>
      <c r="D102" s="226" t="s">
        <v>435</v>
      </c>
      <c r="E102" s="195">
        <v>45985</v>
      </c>
      <c r="F102" s="195">
        <v>45992</v>
      </c>
      <c r="G102" s="196">
        <f t="shared" si="45"/>
        <v>7</v>
      </c>
      <c r="H102" s="195">
        <f t="shared" si="46"/>
        <v>45985</v>
      </c>
      <c r="I102" s="195">
        <f t="shared" si="47"/>
        <v>45992</v>
      </c>
      <c r="J102" s="199" t="s">
        <v>2</v>
      </c>
      <c r="K102" s="200">
        <v>26</v>
      </c>
      <c r="L102" s="201"/>
      <c r="M102" s="201"/>
      <c r="N102" s="198" t="str">
        <f t="shared" si="40"/>
        <v/>
      </c>
      <c r="O102" s="202" t="str">
        <f t="shared" si="41"/>
        <v>-</v>
      </c>
      <c r="P102" s="205">
        <f t="shared" si="42"/>
        <v>0</v>
      </c>
      <c r="Q102" s="207">
        <f t="shared" si="43"/>
        <v>0</v>
      </c>
      <c r="R102" s="204">
        <f t="shared" si="44"/>
        <v>26</v>
      </c>
      <c r="S102" s="65">
        <f t="shared" si="48"/>
        <v>0</v>
      </c>
      <c r="T102" s="157">
        <f t="shared" si="36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8"/>
      <c r="BP102" s="168"/>
      <c r="BQ102" s="168"/>
      <c r="BR102" s="168"/>
      <c r="BS102" s="168"/>
      <c r="BT102" s="168"/>
      <c r="BU102" s="168"/>
      <c r="BV102" s="168"/>
      <c r="BW102" s="168"/>
      <c r="BX102" s="168"/>
      <c r="BY102" s="168"/>
      <c r="BZ102" s="168"/>
      <c r="CA102" s="168"/>
      <c r="CB102" s="168"/>
      <c r="CC102" s="168"/>
      <c r="CD102" s="168"/>
      <c r="CE102" s="168"/>
      <c r="CF102" s="168"/>
      <c r="CG102" s="168"/>
      <c r="CH102" s="168"/>
      <c r="CI102" s="168"/>
      <c r="CJ102" s="168"/>
      <c r="CK102" s="168"/>
      <c r="CL102" s="168"/>
      <c r="CM102" s="168"/>
      <c r="CN102" s="168"/>
      <c r="CO102" s="168"/>
      <c r="CP102" s="168"/>
      <c r="CQ102" s="168"/>
      <c r="CR102" s="168"/>
      <c r="CS102" s="168"/>
      <c r="CT102" s="168"/>
      <c r="CU102" s="168"/>
      <c r="CV102" s="168"/>
      <c r="CW102" s="168"/>
      <c r="CX102" s="168"/>
      <c r="CY102" s="168"/>
      <c r="CZ102" s="168"/>
      <c r="DA102" s="168"/>
      <c r="DB102" s="168"/>
      <c r="DC102" s="168"/>
      <c r="DD102" s="168"/>
      <c r="DE102" s="168"/>
      <c r="DF102" s="168"/>
    </row>
    <row r="103" spans="2:110" x14ac:dyDescent="0.4">
      <c r="B103" s="486"/>
      <c r="C103" s="60">
        <v>130</v>
      </c>
      <c r="D103" s="226" t="s">
        <v>234</v>
      </c>
      <c r="E103" s="195">
        <v>45988</v>
      </c>
      <c r="F103" s="195">
        <v>46017</v>
      </c>
      <c r="G103" s="196">
        <f t="shared" si="45"/>
        <v>29</v>
      </c>
      <c r="H103" s="195">
        <f t="shared" si="46"/>
        <v>45988</v>
      </c>
      <c r="I103" s="195">
        <f t="shared" si="47"/>
        <v>46017</v>
      </c>
      <c r="J103" s="199" t="s">
        <v>2</v>
      </c>
      <c r="K103" s="200">
        <v>26</v>
      </c>
      <c r="L103" s="201"/>
      <c r="M103" s="201"/>
      <c r="N103" s="198" t="str">
        <f t="shared" si="40"/>
        <v/>
      </c>
      <c r="O103" s="202" t="str">
        <f t="shared" si="41"/>
        <v>-</v>
      </c>
      <c r="P103" s="205">
        <f t="shared" si="42"/>
        <v>0</v>
      </c>
      <c r="Q103" s="207">
        <f t="shared" si="43"/>
        <v>0</v>
      </c>
      <c r="R103" s="204">
        <f t="shared" si="44"/>
        <v>26</v>
      </c>
      <c r="S103" s="65">
        <f t="shared" si="48"/>
        <v>0</v>
      </c>
      <c r="T103" s="157">
        <f t="shared" si="36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8"/>
      <c r="BP103" s="168"/>
      <c r="BQ103" s="168"/>
      <c r="BR103" s="168"/>
      <c r="BS103" s="168"/>
      <c r="BT103" s="168"/>
      <c r="BU103" s="168"/>
      <c r="BV103" s="168"/>
      <c r="BW103" s="168"/>
      <c r="BX103" s="168"/>
      <c r="BY103" s="168"/>
      <c r="BZ103" s="168"/>
      <c r="CA103" s="168"/>
      <c r="CB103" s="168"/>
      <c r="CC103" s="168"/>
      <c r="CD103" s="168"/>
      <c r="CE103" s="168"/>
      <c r="CF103" s="168"/>
      <c r="CG103" s="168"/>
      <c r="CH103" s="168"/>
      <c r="CI103" s="168"/>
      <c r="CJ103" s="168"/>
      <c r="CK103" s="168"/>
      <c r="CL103" s="168"/>
      <c r="CM103" s="168"/>
      <c r="CN103" s="168"/>
      <c r="CO103" s="168"/>
      <c r="CP103" s="168"/>
      <c r="CQ103" s="168"/>
      <c r="CR103" s="168"/>
      <c r="CS103" s="168"/>
      <c r="CT103" s="168"/>
      <c r="CU103" s="168"/>
      <c r="CV103" s="168"/>
      <c r="CW103" s="168"/>
      <c r="CX103" s="168"/>
      <c r="CY103" s="168"/>
      <c r="CZ103" s="168"/>
      <c r="DA103" s="168"/>
      <c r="DB103" s="168"/>
      <c r="DC103" s="168"/>
      <c r="DD103" s="168"/>
      <c r="DE103" s="168"/>
      <c r="DF103" s="168"/>
    </row>
    <row r="104" spans="2:110" x14ac:dyDescent="0.4">
      <c r="B104" s="486"/>
      <c r="C104" s="60">
        <v>131</v>
      </c>
      <c r="D104" s="226" t="s">
        <v>430</v>
      </c>
      <c r="E104" s="195">
        <v>45997</v>
      </c>
      <c r="F104" s="195">
        <v>46028</v>
      </c>
      <c r="G104" s="196">
        <f t="shared" si="45"/>
        <v>31</v>
      </c>
      <c r="H104" s="195">
        <f t="shared" si="46"/>
        <v>45997</v>
      </c>
      <c r="I104" s="195">
        <f t="shared" si="47"/>
        <v>46028</v>
      </c>
      <c r="J104" s="199" t="s">
        <v>2</v>
      </c>
      <c r="K104" s="200">
        <v>26</v>
      </c>
      <c r="L104" s="201"/>
      <c r="M104" s="201"/>
      <c r="N104" s="198" t="str">
        <f t="shared" si="40"/>
        <v/>
      </c>
      <c r="O104" s="202" t="str">
        <f t="shared" si="41"/>
        <v>-</v>
      </c>
      <c r="P104" s="205">
        <f t="shared" si="42"/>
        <v>0</v>
      </c>
      <c r="Q104" s="207">
        <f t="shared" si="43"/>
        <v>0</v>
      </c>
      <c r="R104" s="204">
        <f t="shared" si="44"/>
        <v>26</v>
      </c>
      <c r="S104" s="65">
        <f t="shared" si="48"/>
        <v>0</v>
      </c>
      <c r="T104" s="157">
        <f t="shared" si="36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8"/>
      <c r="BP104" s="168"/>
      <c r="BQ104" s="168"/>
      <c r="BR104" s="168"/>
      <c r="BS104" s="168"/>
      <c r="BT104" s="168"/>
      <c r="BU104" s="168"/>
      <c r="BV104" s="168"/>
      <c r="BW104" s="168"/>
      <c r="BX104" s="168"/>
      <c r="BY104" s="168"/>
      <c r="BZ104" s="168"/>
      <c r="CA104" s="168"/>
      <c r="CB104" s="168"/>
      <c r="CC104" s="168"/>
      <c r="CD104" s="168"/>
      <c r="CE104" s="168"/>
      <c r="CF104" s="168"/>
      <c r="CG104" s="168"/>
      <c r="CH104" s="168"/>
      <c r="CI104" s="168"/>
      <c r="CJ104" s="168"/>
      <c r="CK104" s="168"/>
      <c r="CL104" s="168"/>
      <c r="CM104" s="168"/>
      <c r="CN104" s="168"/>
      <c r="CO104" s="168"/>
      <c r="CP104" s="168"/>
      <c r="CQ104" s="168"/>
      <c r="CR104" s="168"/>
      <c r="CS104" s="168"/>
      <c r="CT104" s="168"/>
      <c r="CU104" s="168"/>
      <c r="CV104" s="168"/>
      <c r="CW104" s="168"/>
      <c r="CX104" s="168"/>
      <c r="CY104" s="168"/>
      <c r="CZ104" s="168"/>
      <c r="DA104" s="168"/>
      <c r="DB104" s="168"/>
      <c r="DC104" s="168"/>
      <c r="DD104" s="168"/>
      <c r="DE104" s="168"/>
      <c r="DF104" s="168"/>
    </row>
    <row r="105" spans="2:110" x14ac:dyDescent="0.4">
      <c r="B105" s="486"/>
      <c r="C105" s="60">
        <v>132</v>
      </c>
      <c r="D105" s="226" t="s">
        <v>236</v>
      </c>
      <c r="E105" s="195">
        <v>46006</v>
      </c>
      <c r="F105" s="195">
        <v>46004</v>
      </c>
      <c r="G105" s="196">
        <f t="shared" si="45"/>
        <v>-2</v>
      </c>
      <c r="H105" s="195">
        <f t="shared" si="46"/>
        <v>46006</v>
      </c>
      <c r="I105" s="195">
        <f t="shared" si="47"/>
        <v>46004</v>
      </c>
      <c r="J105" s="199" t="s">
        <v>2</v>
      </c>
      <c r="K105" s="200">
        <v>26</v>
      </c>
      <c r="L105" s="201"/>
      <c r="M105" s="201"/>
      <c r="N105" s="198" t="str">
        <f t="shared" ref="N105:N120" si="49">IF(OR(M105="",L105=""),"",INT(M105-L105+1))</f>
        <v/>
      </c>
      <c r="O105" s="202" t="str">
        <f t="shared" ref="O105:O120" si="50">IFERROR(K105/N105,"-")</f>
        <v>-</v>
      </c>
      <c r="P105" s="205">
        <f t="shared" ref="P105:P120" si="51">IFERROR(SUMIF($U$2:$AT$2,"&lt;="&amp;$D$1,U105:BN105)/K105,"-")</f>
        <v>0</v>
      </c>
      <c r="Q105" s="207">
        <f t="shared" ref="Q105:Q120" si="52">SUMIF($U$2:$AT$2,"&lt;="&amp;$D$1,U105:AT105)</f>
        <v>0</v>
      </c>
      <c r="R105" s="204">
        <f t="shared" ref="R105:R115" si="53">K105-Q105</f>
        <v>26</v>
      </c>
      <c r="S105" s="65">
        <f t="shared" si="48"/>
        <v>0</v>
      </c>
      <c r="T105" s="157">
        <f t="shared" si="36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8"/>
      <c r="BP105" s="168"/>
      <c r="BQ105" s="168"/>
      <c r="BR105" s="168"/>
      <c r="BS105" s="168"/>
      <c r="BT105" s="168"/>
      <c r="BU105" s="168"/>
      <c r="BV105" s="168"/>
      <c r="BW105" s="168"/>
      <c r="BX105" s="168"/>
      <c r="BY105" s="168"/>
      <c r="BZ105" s="168"/>
      <c r="CA105" s="168"/>
      <c r="CB105" s="168"/>
      <c r="CC105" s="168"/>
      <c r="CD105" s="168"/>
      <c r="CE105" s="168"/>
      <c r="CF105" s="168"/>
      <c r="CG105" s="168"/>
      <c r="CH105" s="168"/>
      <c r="CI105" s="168"/>
      <c r="CJ105" s="168"/>
      <c r="CK105" s="168"/>
      <c r="CL105" s="168"/>
      <c r="CM105" s="168"/>
      <c r="CN105" s="168"/>
      <c r="CO105" s="168"/>
      <c r="CP105" s="168"/>
      <c r="CQ105" s="168"/>
      <c r="CR105" s="168"/>
      <c r="CS105" s="168"/>
      <c r="CT105" s="168"/>
      <c r="CU105" s="168"/>
      <c r="CV105" s="168"/>
      <c r="CW105" s="168"/>
      <c r="CX105" s="168"/>
      <c r="CY105" s="168"/>
      <c r="CZ105" s="168"/>
      <c r="DA105" s="168"/>
      <c r="DB105" s="168"/>
      <c r="DC105" s="168"/>
      <c r="DD105" s="168"/>
      <c r="DE105" s="168"/>
      <c r="DF105" s="168"/>
    </row>
    <row r="106" spans="2:110" x14ac:dyDescent="0.4">
      <c r="B106" s="486"/>
      <c r="C106" s="60">
        <v>133</v>
      </c>
      <c r="D106" s="226" t="s">
        <v>237</v>
      </c>
      <c r="E106" s="195">
        <v>46016</v>
      </c>
      <c r="F106" s="195">
        <v>46032</v>
      </c>
      <c r="G106" s="196">
        <f t="shared" si="45"/>
        <v>16</v>
      </c>
      <c r="H106" s="195">
        <f t="shared" si="46"/>
        <v>46016</v>
      </c>
      <c r="I106" s="195">
        <f t="shared" si="47"/>
        <v>46032</v>
      </c>
      <c r="J106" s="199" t="s">
        <v>2</v>
      </c>
      <c r="K106" s="200">
        <v>26</v>
      </c>
      <c r="L106" s="201"/>
      <c r="M106" s="201"/>
      <c r="N106" s="198" t="str">
        <f t="shared" si="49"/>
        <v/>
      </c>
      <c r="O106" s="202" t="str">
        <f t="shared" si="50"/>
        <v>-</v>
      </c>
      <c r="P106" s="205">
        <f t="shared" si="51"/>
        <v>0</v>
      </c>
      <c r="Q106" s="207">
        <f t="shared" si="52"/>
        <v>0</v>
      </c>
      <c r="R106" s="204">
        <f t="shared" si="53"/>
        <v>26</v>
      </c>
      <c r="S106" s="65">
        <f t="shared" si="48"/>
        <v>0</v>
      </c>
      <c r="T106" s="157">
        <f t="shared" si="36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8"/>
      <c r="BP106" s="168"/>
      <c r="BQ106" s="168"/>
      <c r="BR106" s="168"/>
      <c r="BS106" s="168"/>
      <c r="BT106" s="168"/>
      <c r="BU106" s="168"/>
      <c r="BV106" s="168"/>
      <c r="BW106" s="168"/>
      <c r="BX106" s="168"/>
      <c r="BY106" s="168"/>
      <c r="BZ106" s="168"/>
      <c r="CA106" s="168"/>
      <c r="CB106" s="168"/>
      <c r="CC106" s="168"/>
      <c r="CD106" s="168"/>
      <c r="CE106" s="168"/>
      <c r="CF106" s="168"/>
      <c r="CG106" s="168"/>
      <c r="CH106" s="168"/>
      <c r="CI106" s="168"/>
      <c r="CJ106" s="168"/>
      <c r="CK106" s="168"/>
      <c r="CL106" s="168"/>
      <c r="CM106" s="168"/>
      <c r="CN106" s="168"/>
      <c r="CO106" s="168"/>
      <c r="CP106" s="168"/>
      <c r="CQ106" s="168"/>
      <c r="CR106" s="168"/>
      <c r="CS106" s="168"/>
      <c r="CT106" s="168"/>
      <c r="CU106" s="168"/>
      <c r="CV106" s="168"/>
      <c r="CW106" s="168"/>
      <c r="CX106" s="168"/>
      <c r="CY106" s="168"/>
      <c r="CZ106" s="168"/>
      <c r="DA106" s="168"/>
      <c r="DB106" s="168"/>
      <c r="DC106" s="168"/>
      <c r="DD106" s="168"/>
      <c r="DE106" s="168"/>
      <c r="DF106" s="168"/>
    </row>
    <row r="107" spans="2:110" x14ac:dyDescent="0.4">
      <c r="B107" s="486" t="s">
        <v>238</v>
      </c>
      <c r="C107" s="60">
        <v>134</v>
      </c>
      <c r="D107" s="226" t="s">
        <v>239</v>
      </c>
      <c r="E107" s="195">
        <v>45914</v>
      </c>
      <c r="F107" s="195">
        <v>45966</v>
      </c>
      <c r="G107" s="196">
        <f t="shared" si="45"/>
        <v>52</v>
      </c>
      <c r="H107" s="195">
        <f t="shared" si="46"/>
        <v>45914</v>
      </c>
      <c r="I107" s="195">
        <f t="shared" si="47"/>
        <v>45966</v>
      </c>
      <c r="J107" s="209" t="s">
        <v>13</v>
      </c>
      <c r="K107" s="200">
        <v>1173</v>
      </c>
      <c r="L107" s="201"/>
      <c r="M107" s="201"/>
      <c r="N107" s="198" t="str">
        <f t="shared" si="49"/>
        <v/>
      </c>
      <c r="O107" s="202" t="str">
        <f t="shared" si="50"/>
        <v>-</v>
      </c>
      <c r="P107" s="205">
        <f t="shared" si="51"/>
        <v>0</v>
      </c>
      <c r="Q107" s="207">
        <f t="shared" si="52"/>
        <v>0</v>
      </c>
      <c r="R107" s="204">
        <f t="shared" si="53"/>
        <v>1173</v>
      </c>
      <c r="S107" s="65">
        <f t="shared" si="48"/>
        <v>0</v>
      </c>
      <c r="T107" s="157">
        <f t="shared" si="36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8"/>
      <c r="BP107" s="168"/>
      <c r="BQ107" s="168"/>
      <c r="BR107" s="168"/>
      <c r="BS107" s="168"/>
      <c r="BT107" s="168"/>
      <c r="BU107" s="168"/>
      <c r="BV107" s="168"/>
      <c r="BW107" s="168"/>
      <c r="BX107" s="168"/>
      <c r="BY107" s="168"/>
      <c r="BZ107" s="168"/>
      <c r="CA107" s="168"/>
      <c r="CB107" s="168"/>
      <c r="CC107" s="168"/>
      <c r="CD107" s="168"/>
      <c r="CE107" s="168"/>
      <c r="CF107" s="168"/>
      <c r="CG107" s="168"/>
      <c r="CH107" s="168"/>
      <c r="CI107" s="168"/>
      <c r="CJ107" s="168"/>
      <c r="CK107" s="168"/>
      <c r="CL107" s="168"/>
      <c r="CM107" s="168"/>
      <c r="CN107" s="168"/>
      <c r="CO107" s="168"/>
      <c r="CP107" s="168"/>
      <c r="CQ107" s="168"/>
      <c r="CR107" s="168"/>
      <c r="CS107" s="168"/>
      <c r="CT107" s="168"/>
      <c r="CU107" s="168"/>
      <c r="CV107" s="168"/>
      <c r="CW107" s="168"/>
      <c r="CX107" s="168"/>
      <c r="CY107" s="168"/>
      <c r="CZ107" s="168"/>
      <c r="DA107" s="168"/>
      <c r="DB107" s="168"/>
      <c r="DC107" s="168"/>
      <c r="DD107" s="168"/>
      <c r="DE107" s="168"/>
      <c r="DF107" s="168"/>
    </row>
    <row r="108" spans="2:110" x14ac:dyDescent="0.4">
      <c r="B108" s="486"/>
      <c r="C108" s="60">
        <v>135</v>
      </c>
      <c r="D108" s="226" t="s">
        <v>240</v>
      </c>
      <c r="E108" s="195">
        <v>45935</v>
      </c>
      <c r="F108" s="195">
        <v>45974</v>
      </c>
      <c r="G108" s="196">
        <f t="shared" si="45"/>
        <v>39</v>
      </c>
      <c r="H108" s="195">
        <f t="shared" si="46"/>
        <v>45935</v>
      </c>
      <c r="I108" s="195">
        <f t="shared" si="47"/>
        <v>45974</v>
      </c>
      <c r="J108" s="209" t="s">
        <v>13</v>
      </c>
      <c r="K108" s="200">
        <v>1173</v>
      </c>
      <c r="L108" s="201"/>
      <c r="M108" s="201"/>
      <c r="N108" s="198" t="str">
        <f t="shared" si="49"/>
        <v/>
      </c>
      <c r="O108" s="202" t="str">
        <f t="shared" si="50"/>
        <v>-</v>
      </c>
      <c r="P108" s="205">
        <f t="shared" si="51"/>
        <v>0</v>
      </c>
      <c r="Q108" s="207">
        <f t="shared" si="52"/>
        <v>0</v>
      </c>
      <c r="R108" s="204">
        <f t="shared" si="53"/>
        <v>1173</v>
      </c>
      <c r="S108" s="65">
        <f t="shared" si="48"/>
        <v>0</v>
      </c>
      <c r="T108" s="157">
        <f t="shared" si="36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8"/>
      <c r="BP108" s="168"/>
      <c r="BQ108" s="168"/>
      <c r="BR108" s="168"/>
      <c r="BS108" s="168"/>
      <c r="BT108" s="168"/>
      <c r="BU108" s="168"/>
      <c r="BV108" s="168"/>
      <c r="BW108" s="168"/>
      <c r="BX108" s="168"/>
      <c r="BY108" s="168"/>
      <c r="BZ108" s="168"/>
      <c r="CA108" s="168"/>
      <c r="CB108" s="168"/>
      <c r="CC108" s="168"/>
      <c r="CD108" s="168"/>
      <c r="CE108" s="168"/>
      <c r="CF108" s="168"/>
      <c r="CG108" s="168"/>
      <c r="CH108" s="168"/>
      <c r="CI108" s="168"/>
      <c r="CJ108" s="168"/>
      <c r="CK108" s="168"/>
      <c r="CL108" s="168"/>
      <c r="CM108" s="168"/>
      <c r="CN108" s="168"/>
      <c r="CO108" s="168"/>
      <c r="CP108" s="168"/>
      <c r="CQ108" s="168"/>
      <c r="CR108" s="168"/>
      <c r="CS108" s="168"/>
      <c r="CT108" s="168"/>
      <c r="CU108" s="168"/>
      <c r="CV108" s="168"/>
      <c r="CW108" s="168"/>
      <c r="CX108" s="168"/>
      <c r="CY108" s="168"/>
      <c r="CZ108" s="168"/>
      <c r="DA108" s="168"/>
      <c r="DB108" s="168"/>
      <c r="DC108" s="168"/>
      <c r="DD108" s="168"/>
      <c r="DE108" s="168"/>
      <c r="DF108" s="168"/>
    </row>
    <row r="109" spans="2:110" x14ac:dyDescent="0.4">
      <c r="B109" s="486"/>
      <c r="C109" s="60">
        <v>136</v>
      </c>
      <c r="D109" s="226" t="s">
        <v>241</v>
      </c>
      <c r="E109" s="195">
        <v>45976</v>
      </c>
      <c r="F109" s="195">
        <v>45996</v>
      </c>
      <c r="G109" s="196">
        <f t="shared" si="45"/>
        <v>20</v>
      </c>
      <c r="H109" s="195">
        <f t="shared" si="46"/>
        <v>45976</v>
      </c>
      <c r="I109" s="195">
        <f t="shared" si="47"/>
        <v>45996</v>
      </c>
      <c r="J109" s="209" t="s">
        <v>13</v>
      </c>
      <c r="K109" s="200">
        <v>1173</v>
      </c>
      <c r="L109" s="201"/>
      <c r="M109" s="201"/>
      <c r="N109" s="198" t="str">
        <f t="shared" si="49"/>
        <v/>
      </c>
      <c r="O109" s="202" t="str">
        <f t="shared" si="50"/>
        <v>-</v>
      </c>
      <c r="P109" s="205">
        <f t="shared" si="51"/>
        <v>0</v>
      </c>
      <c r="Q109" s="207">
        <f t="shared" si="52"/>
        <v>0</v>
      </c>
      <c r="R109" s="204">
        <f t="shared" si="53"/>
        <v>1173</v>
      </c>
      <c r="S109" s="65">
        <f t="shared" si="48"/>
        <v>0</v>
      </c>
      <c r="T109" s="157">
        <f t="shared" si="36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8"/>
      <c r="BP109" s="168"/>
      <c r="BQ109" s="168"/>
      <c r="BR109" s="168"/>
      <c r="BS109" s="168"/>
      <c r="BT109" s="168"/>
      <c r="BU109" s="168"/>
      <c r="BV109" s="168"/>
      <c r="BW109" s="168"/>
      <c r="BX109" s="168"/>
      <c r="BY109" s="168"/>
      <c r="BZ109" s="168"/>
      <c r="CA109" s="168"/>
      <c r="CB109" s="168"/>
      <c r="CC109" s="168"/>
      <c r="CD109" s="168"/>
      <c r="CE109" s="168"/>
      <c r="CF109" s="168"/>
      <c r="CG109" s="168"/>
      <c r="CH109" s="168"/>
      <c r="CI109" s="168"/>
      <c r="CJ109" s="168"/>
      <c r="CK109" s="168"/>
      <c r="CL109" s="168"/>
      <c r="CM109" s="168"/>
      <c r="CN109" s="168"/>
      <c r="CO109" s="168"/>
      <c r="CP109" s="168"/>
      <c r="CQ109" s="168"/>
      <c r="CR109" s="168"/>
      <c r="CS109" s="168"/>
      <c r="CT109" s="168"/>
      <c r="CU109" s="168"/>
      <c r="CV109" s="168"/>
      <c r="CW109" s="168"/>
      <c r="CX109" s="168"/>
      <c r="CY109" s="168"/>
      <c r="CZ109" s="168"/>
      <c r="DA109" s="168"/>
      <c r="DB109" s="168"/>
      <c r="DC109" s="168"/>
      <c r="DD109" s="168"/>
      <c r="DE109" s="168"/>
      <c r="DF109" s="168"/>
    </row>
    <row r="110" spans="2:110" x14ac:dyDescent="0.4">
      <c r="B110" s="486"/>
      <c r="C110" s="60">
        <v>137</v>
      </c>
      <c r="D110" s="226" t="s">
        <v>242</v>
      </c>
      <c r="E110" s="195">
        <v>45979</v>
      </c>
      <c r="F110" s="195">
        <v>46001</v>
      </c>
      <c r="G110" s="196">
        <f t="shared" si="45"/>
        <v>22</v>
      </c>
      <c r="H110" s="195">
        <f t="shared" si="46"/>
        <v>45979</v>
      </c>
      <c r="I110" s="195">
        <f t="shared" si="47"/>
        <v>46001</v>
      </c>
      <c r="J110" s="209" t="s">
        <v>13</v>
      </c>
      <c r="K110" s="200">
        <v>1173</v>
      </c>
      <c r="L110" s="201"/>
      <c r="M110" s="201"/>
      <c r="N110" s="198" t="str">
        <f t="shared" si="49"/>
        <v/>
      </c>
      <c r="O110" s="202" t="str">
        <f t="shared" si="50"/>
        <v>-</v>
      </c>
      <c r="P110" s="205">
        <f t="shared" si="51"/>
        <v>0</v>
      </c>
      <c r="Q110" s="207">
        <f t="shared" si="52"/>
        <v>0</v>
      </c>
      <c r="R110" s="204">
        <f t="shared" si="53"/>
        <v>1173</v>
      </c>
      <c r="S110" s="65">
        <f t="shared" si="48"/>
        <v>0</v>
      </c>
      <c r="T110" s="157">
        <f t="shared" si="36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8"/>
      <c r="BP110" s="168"/>
      <c r="BQ110" s="168"/>
      <c r="BR110" s="168"/>
      <c r="BS110" s="168"/>
      <c r="BT110" s="168"/>
      <c r="BU110" s="168"/>
      <c r="BV110" s="168"/>
      <c r="BW110" s="168"/>
      <c r="BX110" s="168"/>
      <c r="BY110" s="168"/>
      <c r="BZ110" s="168"/>
      <c r="CA110" s="168"/>
      <c r="CB110" s="168"/>
      <c r="CC110" s="168"/>
      <c r="CD110" s="168"/>
      <c r="CE110" s="168"/>
      <c r="CF110" s="168"/>
      <c r="CG110" s="168"/>
      <c r="CH110" s="168"/>
      <c r="CI110" s="168"/>
      <c r="CJ110" s="168"/>
      <c r="CK110" s="168"/>
      <c r="CL110" s="168"/>
      <c r="CM110" s="168"/>
      <c r="CN110" s="168"/>
      <c r="CO110" s="168"/>
      <c r="CP110" s="168"/>
      <c r="CQ110" s="168"/>
      <c r="CR110" s="168"/>
      <c r="CS110" s="168"/>
      <c r="CT110" s="168"/>
      <c r="CU110" s="168"/>
      <c r="CV110" s="168"/>
      <c r="CW110" s="168"/>
      <c r="CX110" s="168"/>
      <c r="CY110" s="168"/>
      <c r="CZ110" s="168"/>
      <c r="DA110" s="168"/>
      <c r="DB110" s="168"/>
      <c r="DC110" s="168"/>
      <c r="DD110" s="168"/>
      <c r="DE110" s="168"/>
      <c r="DF110" s="168"/>
    </row>
    <row r="111" spans="2:110" x14ac:dyDescent="0.4">
      <c r="B111" s="486"/>
      <c r="C111" s="60">
        <v>138</v>
      </c>
      <c r="D111" s="226" t="s">
        <v>243</v>
      </c>
      <c r="E111" s="195">
        <v>45986</v>
      </c>
      <c r="F111" s="195">
        <v>45981</v>
      </c>
      <c r="G111" s="196">
        <f t="shared" si="45"/>
        <v>-5</v>
      </c>
      <c r="H111" s="195">
        <f t="shared" si="46"/>
        <v>45986</v>
      </c>
      <c r="I111" s="195">
        <f t="shared" si="47"/>
        <v>45981</v>
      </c>
      <c r="J111" s="209" t="s">
        <v>13</v>
      </c>
      <c r="K111" s="200">
        <v>1173</v>
      </c>
      <c r="L111" s="201"/>
      <c r="M111" s="201"/>
      <c r="N111" s="198" t="str">
        <f t="shared" si="49"/>
        <v/>
      </c>
      <c r="O111" s="202" t="str">
        <f t="shared" si="50"/>
        <v>-</v>
      </c>
      <c r="P111" s="205">
        <f t="shared" si="51"/>
        <v>0</v>
      </c>
      <c r="Q111" s="207">
        <f t="shared" si="52"/>
        <v>0</v>
      </c>
      <c r="R111" s="204">
        <f t="shared" si="53"/>
        <v>1173</v>
      </c>
      <c r="S111" s="65">
        <f t="shared" si="48"/>
        <v>0</v>
      </c>
      <c r="T111" s="157">
        <f t="shared" si="36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8"/>
      <c r="BP111" s="168"/>
      <c r="BQ111" s="168"/>
      <c r="BR111" s="168"/>
      <c r="BS111" s="168"/>
      <c r="BT111" s="168"/>
      <c r="BU111" s="168"/>
      <c r="BV111" s="168"/>
      <c r="BW111" s="168"/>
      <c r="BX111" s="168"/>
      <c r="BY111" s="168"/>
      <c r="BZ111" s="168"/>
      <c r="CA111" s="168"/>
      <c r="CB111" s="168"/>
      <c r="CC111" s="168"/>
      <c r="CD111" s="168"/>
      <c r="CE111" s="168"/>
      <c r="CF111" s="168"/>
      <c r="CG111" s="168"/>
      <c r="CH111" s="168"/>
      <c r="CI111" s="168"/>
      <c r="CJ111" s="168"/>
      <c r="CK111" s="168"/>
      <c r="CL111" s="168"/>
      <c r="CM111" s="168"/>
      <c r="CN111" s="168"/>
      <c r="CO111" s="168"/>
      <c r="CP111" s="168"/>
      <c r="CQ111" s="168"/>
      <c r="CR111" s="168"/>
      <c r="CS111" s="168"/>
      <c r="CT111" s="168"/>
      <c r="CU111" s="168"/>
      <c r="CV111" s="168"/>
      <c r="CW111" s="168"/>
      <c r="CX111" s="168"/>
      <c r="CY111" s="168"/>
      <c r="CZ111" s="168"/>
      <c r="DA111" s="168"/>
      <c r="DB111" s="168"/>
      <c r="DC111" s="168"/>
      <c r="DD111" s="168"/>
      <c r="DE111" s="168"/>
      <c r="DF111" s="168"/>
    </row>
    <row r="112" spans="2:110" x14ac:dyDescent="0.4">
      <c r="B112" s="486"/>
      <c r="C112" s="60">
        <v>139</v>
      </c>
      <c r="D112" s="226" t="s">
        <v>244</v>
      </c>
      <c r="E112" s="195">
        <v>45859</v>
      </c>
      <c r="F112" s="195">
        <v>46021</v>
      </c>
      <c r="G112" s="196">
        <f t="shared" si="45"/>
        <v>162</v>
      </c>
      <c r="H112" s="195">
        <f t="shared" si="46"/>
        <v>45859</v>
      </c>
      <c r="I112" s="195">
        <f t="shared" si="47"/>
        <v>46021</v>
      </c>
      <c r="J112" s="199" t="s">
        <v>2</v>
      </c>
      <c r="K112" s="200">
        <v>26</v>
      </c>
      <c r="L112" s="201"/>
      <c r="M112" s="201"/>
      <c r="N112" s="198" t="str">
        <f t="shared" si="49"/>
        <v/>
      </c>
      <c r="O112" s="202" t="str">
        <f t="shared" si="50"/>
        <v>-</v>
      </c>
      <c r="P112" s="205">
        <f t="shared" si="51"/>
        <v>0</v>
      </c>
      <c r="Q112" s="207">
        <f t="shared" si="52"/>
        <v>0</v>
      </c>
      <c r="R112" s="204">
        <f t="shared" si="53"/>
        <v>26</v>
      </c>
      <c r="S112" s="65">
        <f t="shared" si="48"/>
        <v>0</v>
      </c>
      <c r="T112" s="157">
        <f t="shared" si="36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8"/>
      <c r="BP112" s="168"/>
      <c r="BQ112" s="168"/>
      <c r="BR112" s="168"/>
      <c r="BS112" s="168"/>
      <c r="BT112" s="168"/>
      <c r="BU112" s="168"/>
      <c r="BV112" s="168"/>
      <c r="BW112" s="168"/>
      <c r="BX112" s="168"/>
      <c r="BY112" s="168"/>
      <c r="BZ112" s="168"/>
      <c r="CA112" s="168"/>
      <c r="CB112" s="168"/>
      <c r="CC112" s="168"/>
      <c r="CD112" s="168"/>
      <c r="CE112" s="168"/>
      <c r="CF112" s="168"/>
      <c r="CG112" s="168"/>
      <c r="CH112" s="168"/>
      <c r="CI112" s="168"/>
      <c r="CJ112" s="168"/>
      <c r="CK112" s="168"/>
      <c r="CL112" s="168"/>
      <c r="CM112" s="168"/>
      <c r="CN112" s="168"/>
      <c r="CO112" s="168"/>
      <c r="CP112" s="168"/>
      <c r="CQ112" s="168"/>
      <c r="CR112" s="168"/>
      <c r="CS112" s="168"/>
      <c r="CT112" s="168"/>
      <c r="CU112" s="168"/>
      <c r="CV112" s="168"/>
      <c r="CW112" s="168"/>
      <c r="CX112" s="168"/>
      <c r="CY112" s="168"/>
      <c r="CZ112" s="168"/>
      <c r="DA112" s="168"/>
      <c r="DB112" s="168"/>
      <c r="DC112" s="168"/>
      <c r="DD112" s="168"/>
      <c r="DE112" s="168"/>
      <c r="DF112" s="168"/>
    </row>
    <row r="113" spans="2:110" x14ac:dyDescent="0.4">
      <c r="B113" s="486" t="s">
        <v>245</v>
      </c>
      <c r="C113" s="60">
        <v>140</v>
      </c>
      <c r="D113" s="226" t="s">
        <v>268</v>
      </c>
      <c r="E113" s="195">
        <v>45926</v>
      </c>
      <c r="F113" s="195">
        <v>45941</v>
      </c>
      <c r="G113" s="196">
        <f t="shared" si="45"/>
        <v>15</v>
      </c>
      <c r="H113" s="195">
        <f t="shared" si="46"/>
        <v>45926</v>
      </c>
      <c r="I113" s="195">
        <f t="shared" si="47"/>
        <v>45941</v>
      </c>
      <c r="J113" s="199" t="s">
        <v>2</v>
      </c>
      <c r="K113" s="200">
        <v>26</v>
      </c>
      <c r="L113" s="201"/>
      <c r="M113" s="201"/>
      <c r="N113" s="198" t="str">
        <f t="shared" si="49"/>
        <v/>
      </c>
      <c r="O113" s="202" t="str">
        <f t="shared" si="50"/>
        <v>-</v>
      </c>
      <c r="P113" s="205">
        <f t="shared" si="51"/>
        <v>0</v>
      </c>
      <c r="Q113" s="207">
        <f t="shared" si="52"/>
        <v>0</v>
      </c>
      <c r="R113" s="204">
        <f t="shared" si="53"/>
        <v>26</v>
      </c>
      <c r="S113" s="65">
        <f t="shared" si="48"/>
        <v>0</v>
      </c>
      <c r="T113" s="157">
        <f t="shared" si="36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8"/>
      <c r="BP113" s="168"/>
      <c r="BQ113" s="168"/>
      <c r="BR113" s="168"/>
      <c r="BS113" s="168"/>
      <c r="BT113" s="168"/>
      <c r="BU113" s="168"/>
      <c r="BV113" s="168"/>
      <c r="BW113" s="168"/>
      <c r="BX113" s="168"/>
      <c r="BY113" s="168"/>
      <c r="BZ113" s="168"/>
      <c r="CA113" s="168"/>
      <c r="CB113" s="168"/>
      <c r="CC113" s="168"/>
      <c r="CD113" s="168"/>
      <c r="CE113" s="168"/>
      <c r="CF113" s="168"/>
      <c r="CG113" s="168"/>
      <c r="CH113" s="168"/>
      <c r="CI113" s="168"/>
      <c r="CJ113" s="168"/>
      <c r="CK113" s="168"/>
      <c r="CL113" s="168"/>
      <c r="CM113" s="168"/>
      <c r="CN113" s="168"/>
      <c r="CO113" s="168"/>
      <c r="CP113" s="168"/>
      <c r="CQ113" s="168"/>
      <c r="CR113" s="168"/>
      <c r="CS113" s="168"/>
      <c r="CT113" s="168"/>
      <c r="CU113" s="168"/>
      <c r="CV113" s="168"/>
      <c r="CW113" s="168"/>
      <c r="CX113" s="168"/>
      <c r="CY113" s="168"/>
      <c r="CZ113" s="168"/>
      <c r="DA113" s="168"/>
      <c r="DB113" s="168"/>
      <c r="DC113" s="168"/>
      <c r="DD113" s="168"/>
      <c r="DE113" s="168"/>
      <c r="DF113" s="168"/>
    </row>
    <row r="114" spans="2:110" ht="29" x14ac:dyDescent="0.4">
      <c r="B114" s="486"/>
      <c r="C114" s="60">
        <v>141</v>
      </c>
      <c r="D114" s="226" t="s">
        <v>267</v>
      </c>
      <c r="E114" s="195">
        <v>45929</v>
      </c>
      <c r="F114" s="195">
        <v>46029</v>
      </c>
      <c r="G114" s="196">
        <f t="shared" si="45"/>
        <v>100</v>
      </c>
      <c r="H114" s="195">
        <f t="shared" si="46"/>
        <v>45929</v>
      </c>
      <c r="I114" s="195">
        <f t="shared" si="47"/>
        <v>46029</v>
      </c>
      <c r="J114" s="199" t="s">
        <v>2</v>
      </c>
      <c r="K114" s="200">
        <v>26</v>
      </c>
      <c r="L114" s="201"/>
      <c r="M114" s="201"/>
      <c r="N114" s="198" t="str">
        <f t="shared" si="49"/>
        <v/>
      </c>
      <c r="O114" s="202" t="str">
        <f t="shared" si="50"/>
        <v>-</v>
      </c>
      <c r="P114" s="205">
        <f t="shared" si="51"/>
        <v>0</v>
      </c>
      <c r="Q114" s="207">
        <f t="shared" si="52"/>
        <v>0</v>
      </c>
      <c r="R114" s="204">
        <f t="shared" si="53"/>
        <v>26</v>
      </c>
      <c r="S114" s="65">
        <f t="shared" si="48"/>
        <v>0</v>
      </c>
      <c r="T114" s="157">
        <f t="shared" si="36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8"/>
      <c r="BP114" s="168"/>
      <c r="BQ114" s="168"/>
      <c r="BR114" s="168"/>
      <c r="BS114" s="168"/>
      <c r="BT114" s="168"/>
      <c r="BU114" s="168"/>
      <c r="BV114" s="168"/>
      <c r="BW114" s="168"/>
      <c r="BX114" s="168"/>
      <c r="BY114" s="168"/>
      <c r="BZ114" s="168"/>
      <c r="CA114" s="168"/>
      <c r="CB114" s="168"/>
      <c r="CC114" s="168"/>
      <c r="CD114" s="168"/>
      <c r="CE114" s="168"/>
      <c r="CF114" s="168"/>
      <c r="CG114" s="168"/>
      <c r="CH114" s="168"/>
      <c r="CI114" s="168"/>
      <c r="CJ114" s="168"/>
      <c r="CK114" s="168"/>
      <c r="CL114" s="168"/>
      <c r="CM114" s="168"/>
      <c r="CN114" s="168"/>
      <c r="CO114" s="168"/>
      <c r="CP114" s="168"/>
      <c r="CQ114" s="168"/>
      <c r="CR114" s="168"/>
      <c r="CS114" s="168"/>
      <c r="CT114" s="168"/>
      <c r="CU114" s="168"/>
      <c r="CV114" s="168"/>
      <c r="CW114" s="168"/>
      <c r="CX114" s="168"/>
      <c r="CY114" s="168"/>
      <c r="CZ114" s="168"/>
      <c r="DA114" s="168"/>
      <c r="DB114" s="168"/>
      <c r="DC114" s="168"/>
      <c r="DD114" s="168"/>
      <c r="DE114" s="168"/>
      <c r="DF114" s="168"/>
    </row>
    <row r="115" spans="2:110" x14ac:dyDescent="0.4">
      <c r="B115" s="486"/>
      <c r="C115" s="60">
        <v>143</v>
      </c>
      <c r="D115" s="226" t="s">
        <v>42</v>
      </c>
      <c r="E115" s="195">
        <v>45940</v>
      </c>
      <c r="F115" s="195">
        <v>46042</v>
      </c>
      <c r="G115" s="196">
        <f t="shared" si="45"/>
        <v>102</v>
      </c>
      <c r="H115" s="195">
        <f t="shared" si="46"/>
        <v>45940</v>
      </c>
      <c r="I115" s="195">
        <f t="shared" si="47"/>
        <v>46042</v>
      </c>
      <c r="J115" s="199" t="s">
        <v>2</v>
      </c>
      <c r="K115" s="200">
        <v>26</v>
      </c>
      <c r="L115" s="201"/>
      <c r="M115" s="201"/>
      <c r="N115" s="198" t="str">
        <f t="shared" si="49"/>
        <v/>
      </c>
      <c r="O115" s="202" t="str">
        <f t="shared" si="50"/>
        <v>-</v>
      </c>
      <c r="P115" s="205">
        <f t="shared" si="51"/>
        <v>0</v>
      </c>
      <c r="Q115" s="207">
        <f t="shared" si="52"/>
        <v>0</v>
      </c>
      <c r="R115" s="204">
        <f t="shared" si="53"/>
        <v>26</v>
      </c>
      <c r="S115" s="65">
        <f t="shared" si="48"/>
        <v>0</v>
      </c>
      <c r="T115" s="157">
        <f t="shared" si="36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8"/>
      <c r="BP115" s="168"/>
      <c r="BQ115" s="168"/>
      <c r="BR115" s="168"/>
      <c r="BS115" s="168"/>
      <c r="BT115" s="168"/>
      <c r="BU115" s="168"/>
      <c r="BV115" s="168"/>
      <c r="BW115" s="168"/>
      <c r="BX115" s="168"/>
      <c r="BY115" s="168"/>
      <c r="BZ115" s="168"/>
      <c r="CA115" s="168"/>
      <c r="CB115" s="168"/>
      <c r="CC115" s="168"/>
      <c r="CD115" s="168"/>
      <c r="CE115" s="168"/>
      <c r="CF115" s="168"/>
      <c r="CG115" s="168"/>
      <c r="CH115" s="168"/>
      <c r="CI115" s="168"/>
      <c r="CJ115" s="168"/>
      <c r="CK115" s="168"/>
      <c r="CL115" s="168"/>
      <c r="CM115" s="168"/>
      <c r="CN115" s="168"/>
      <c r="CO115" s="168"/>
      <c r="CP115" s="168"/>
      <c r="CQ115" s="168"/>
      <c r="CR115" s="168"/>
      <c r="CS115" s="168"/>
      <c r="CT115" s="168"/>
      <c r="CU115" s="168"/>
      <c r="CV115" s="168"/>
      <c r="CW115" s="168"/>
      <c r="CX115" s="168"/>
      <c r="CY115" s="168"/>
      <c r="CZ115" s="168"/>
      <c r="DA115" s="168"/>
      <c r="DB115" s="168"/>
      <c r="DC115" s="168"/>
      <c r="DD115" s="168"/>
      <c r="DE115" s="168"/>
      <c r="DF115" s="168"/>
    </row>
    <row r="116" spans="2:110" x14ac:dyDescent="0.4">
      <c r="B116" s="486" t="s">
        <v>247</v>
      </c>
      <c r="C116" s="60">
        <v>144</v>
      </c>
      <c r="D116" s="226" t="s">
        <v>248</v>
      </c>
      <c r="E116" s="195">
        <v>45966</v>
      </c>
      <c r="F116" s="195">
        <v>46032</v>
      </c>
      <c r="G116" s="196">
        <f t="shared" si="45"/>
        <v>66</v>
      </c>
      <c r="H116" s="195">
        <f t="shared" si="46"/>
        <v>45966</v>
      </c>
      <c r="I116" s="195">
        <f t="shared" si="47"/>
        <v>46032</v>
      </c>
      <c r="J116" s="199" t="s">
        <v>12</v>
      </c>
      <c r="K116" s="200">
        <v>100</v>
      </c>
      <c r="L116" s="201"/>
      <c r="M116" s="201"/>
      <c r="N116" s="198" t="str">
        <f t="shared" si="49"/>
        <v/>
      </c>
      <c r="O116" s="202" t="str">
        <f t="shared" si="50"/>
        <v>-</v>
      </c>
      <c r="P116" s="205">
        <f t="shared" si="51"/>
        <v>0</v>
      </c>
      <c r="Q116" s="207">
        <f t="shared" si="52"/>
        <v>0</v>
      </c>
      <c r="R116" s="204">
        <f>K116-Q116%</f>
        <v>100</v>
      </c>
      <c r="S116" s="65">
        <f t="shared" si="48"/>
        <v>0</v>
      </c>
      <c r="T116" s="157">
        <f t="shared" si="36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8"/>
      <c r="BP116" s="168"/>
      <c r="BQ116" s="168"/>
      <c r="BR116" s="168"/>
      <c r="BS116" s="168"/>
      <c r="BT116" s="168"/>
      <c r="BU116" s="168"/>
      <c r="BV116" s="168"/>
      <c r="BW116" s="168"/>
      <c r="BX116" s="168"/>
      <c r="BY116" s="168"/>
      <c r="BZ116" s="168"/>
      <c r="CA116" s="168"/>
      <c r="CB116" s="168"/>
      <c r="CC116" s="168"/>
      <c r="CD116" s="168"/>
      <c r="CE116" s="168"/>
      <c r="CF116" s="168"/>
      <c r="CG116" s="168"/>
      <c r="CH116" s="168"/>
      <c r="CI116" s="168"/>
      <c r="CJ116" s="168"/>
      <c r="CK116" s="168"/>
      <c r="CL116" s="168"/>
      <c r="CM116" s="168"/>
      <c r="CN116" s="168"/>
      <c r="CO116" s="168"/>
      <c r="CP116" s="168"/>
      <c r="CQ116" s="168"/>
      <c r="CR116" s="168"/>
      <c r="CS116" s="168"/>
      <c r="CT116" s="168"/>
      <c r="CU116" s="168"/>
      <c r="CV116" s="168"/>
      <c r="CW116" s="168"/>
      <c r="CX116" s="168"/>
      <c r="CY116" s="168"/>
      <c r="CZ116" s="168"/>
      <c r="DA116" s="168"/>
      <c r="DB116" s="168"/>
      <c r="DC116" s="168"/>
      <c r="DD116" s="168"/>
      <c r="DE116" s="168"/>
      <c r="DF116" s="168"/>
    </row>
    <row r="117" spans="2:110" x14ac:dyDescent="0.4">
      <c r="B117" s="486"/>
      <c r="C117" s="60">
        <v>145</v>
      </c>
      <c r="D117" s="226" t="s">
        <v>432</v>
      </c>
      <c r="E117" s="195">
        <v>46011</v>
      </c>
      <c r="F117" s="195">
        <v>46040</v>
      </c>
      <c r="G117" s="196">
        <f t="shared" si="45"/>
        <v>29</v>
      </c>
      <c r="H117" s="195">
        <f t="shared" si="46"/>
        <v>46011</v>
      </c>
      <c r="I117" s="195">
        <f t="shared" si="47"/>
        <v>46040</v>
      </c>
      <c r="J117" s="199" t="s">
        <v>12</v>
      </c>
      <c r="K117" s="200">
        <v>100</v>
      </c>
      <c r="L117" s="201"/>
      <c r="M117" s="201"/>
      <c r="N117" s="198" t="str">
        <f t="shared" si="49"/>
        <v/>
      </c>
      <c r="O117" s="202" t="str">
        <f t="shared" si="50"/>
        <v>-</v>
      </c>
      <c r="P117" s="205">
        <f t="shared" si="51"/>
        <v>0</v>
      </c>
      <c r="Q117" s="207">
        <f t="shared" si="52"/>
        <v>0</v>
      </c>
      <c r="R117" s="204">
        <f>K117-Q117</f>
        <v>100</v>
      </c>
      <c r="S117" s="65">
        <f t="shared" si="48"/>
        <v>0</v>
      </c>
      <c r="T117" s="157">
        <f t="shared" si="36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8"/>
      <c r="BP117" s="168"/>
      <c r="BQ117" s="168"/>
      <c r="BR117" s="168"/>
      <c r="BS117" s="168"/>
      <c r="BT117" s="168"/>
      <c r="BU117" s="168"/>
      <c r="BV117" s="168"/>
      <c r="BW117" s="168"/>
      <c r="BX117" s="168"/>
      <c r="BY117" s="168"/>
      <c r="BZ117" s="168"/>
      <c r="CA117" s="168"/>
      <c r="CB117" s="168"/>
      <c r="CC117" s="168"/>
      <c r="CD117" s="168"/>
      <c r="CE117" s="168"/>
      <c r="CF117" s="168"/>
      <c r="CG117" s="168"/>
      <c r="CH117" s="168"/>
      <c r="CI117" s="168"/>
      <c r="CJ117" s="168"/>
      <c r="CK117" s="168"/>
      <c r="CL117" s="168"/>
      <c r="CM117" s="168"/>
      <c r="CN117" s="168"/>
      <c r="CO117" s="168"/>
      <c r="CP117" s="168"/>
      <c r="CQ117" s="168"/>
      <c r="CR117" s="168"/>
      <c r="CS117" s="168"/>
      <c r="CT117" s="168"/>
      <c r="CU117" s="168"/>
      <c r="CV117" s="168"/>
      <c r="CW117" s="168"/>
      <c r="CX117" s="168"/>
      <c r="CY117" s="168"/>
      <c r="CZ117" s="168"/>
      <c r="DA117" s="168"/>
      <c r="DB117" s="168"/>
      <c r="DC117" s="168"/>
      <c r="DD117" s="168"/>
      <c r="DE117" s="168"/>
      <c r="DF117" s="168"/>
    </row>
    <row r="118" spans="2:110" x14ac:dyDescent="0.4">
      <c r="B118" s="486"/>
      <c r="C118" s="60">
        <v>146</v>
      </c>
      <c r="D118" s="226" t="s">
        <v>250</v>
      </c>
      <c r="E118" s="195">
        <v>46012</v>
      </c>
      <c r="F118" s="195">
        <v>46031</v>
      </c>
      <c r="G118" s="196">
        <f t="shared" si="45"/>
        <v>19</v>
      </c>
      <c r="H118" s="195">
        <f t="shared" si="46"/>
        <v>46012</v>
      </c>
      <c r="I118" s="195">
        <f t="shared" si="47"/>
        <v>46031</v>
      </c>
      <c r="J118" s="199" t="s">
        <v>12</v>
      </c>
      <c r="K118" s="200">
        <v>100</v>
      </c>
      <c r="L118" s="201"/>
      <c r="M118" s="201"/>
      <c r="N118" s="198" t="str">
        <f t="shared" si="49"/>
        <v/>
      </c>
      <c r="O118" s="202" t="str">
        <f t="shared" si="50"/>
        <v>-</v>
      </c>
      <c r="P118" s="205">
        <f t="shared" si="51"/>
        <v>0</v>
      </c>
      <c r="Q118" s="207">
        <f t="shared" si="52"/>
        <v>0</v>
      </c>
      <c r="R118" s="204">
        <f>K118-Q118</f>
        <v>100</v>
      </c>
      <c r="S118" s="65">
        <f t="shared" si="48"/>
        <v>0</v>
      </c>
      <c r="T118" s="157">
        <f t="shared" si="36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8"/>
      <c r="BP118" s="168"/>
      <c r="BQ118" s="168"/>
      <c r="BR118" s="168"/>
      <c r="BS118" s="168"/>
      <c r="BT118" s="168"/>
      <c r="BU118" s="168"/>
      <c r="BV118" s="168"/>
      <c r="BW118" s="168"/>
      <c r="BX118" s="168"/>
      <c r="BY118" s="168"/>
      <c r="BZ118" s="168"/>
      <c r="CA118" s="168"/>
      <c r="CB118" s="168"/>
      <c r="CC118" s="168"/>
      <c r="CD118" s="168"/>
      <c r="CE118" s="168"/>
      <c r="CF118" s="168"/>
      <c r="CG118" s="168"/>
      <c r="CH118" s="168"/>
      <c r="CI118" s="168"/>
      <c r="CJ118" s="168"/>
      <c r="CK118" s="168"/>
      <c r="CL118" s="168"/>
      <c r="CM118" s="168"/>
      <c r="CN118" s="168"/>
      <c r="CO118" s="168"/>
      <c r="CP118" s="168"/>
      <c r="CQ118" s="168"/>
      <c r="CR118" s="168"/>
      <c r="CS118" s="168"/>
      <c r="CT118" s="168"/>
      <c r="CU118" s="168"/>
      <c r="CV118" s="168"/>
      <c r="CW118" s="168"/>
      <c r="CX118" s="168"/>
      <c r="CY118" s="168"/>
      <c r="CZ118" s="168"/>
      <c r="DA118" s="168"/>
      <c r="DB118" s="168"/>
      <c r="DC118" s="168"/>
      <c r="DD118" s="168"/>
      <c r="DE118" s="168"/>
      <c r="DF118" s="168"/>
    </row>
    <row r="119" spans="2:110" x14ac:dyDescent="0.4">
      <c r="B119" s="486"/>
      <c r="C119" s="60">
        <v>147</v>
      </c>
      <c r="D119" s="226" t="s">
        <v>251</v>
      </c>
      <c r="E119" s="195">
        <v>46032</v>
      </c>
      <c r="F119" s="195">
        <v>46047</v>
      </c>
      <c r="G119" s="196">
        <f t="shared" si="45"/>
        <v>15</v>
      </c>
      <c r="H119" s="195">
        <f t="shared" si="46"/>
        <v>46032</v>
      </c>
      <c r="I119" s="195">
        <f t="shared" si="47"/>
        <v>46047</v>
      </c>
      <c r="J119" s="199" t="s">
        <v>12</v>
      </c>
      <c r="K119" s="200">
        <v>100</v>
      </c>
      <c r="L119" s="201"/>
      <c r="M119" s="201"/>
      <c r="N119" s="198" t="str">
        <f t="shared" si="49"/>
        <v/>
      </c>
      <c r="O119" s="202" t="str">
        <f t="shared" si="50"/>
        <v>-</v>
      </c>
      <c r="P119" s="205">
        <f t="shared" si="51"/>
        <v>0</v>
      </c>
      <c r="Q119" s="207">
        <f t="shared" si="52"/>
        <v>0</v>
      </c>
      <c r="R119" s="204">
        <f>K119-Q119</f>
        <v>100</v>
      </c>
      <c r="S119" s="65">
        <f t="shared" si="48"/>
        <v>0</v>
      </c>
      <c r="T119" s="157">
        <f t="shared" ref="T119:T120" si="54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8"/>
      <c r="BP119" s="168"/>
      <c r="BQ119" s="168"/>
      <c r="BR119" s="168"/>
      <c r="BS119" s="168"/>
      <c r="BT119" s="168"/>
      <c r="BU119" s="168"/>
      <c r="BV119" s="168"/>
      <c r="BW119" s="168"/>
      <c r="BX119" s="168"/>
      <c r="BY119" s="168"/>
      <c r="BZ119" s="168"/>
      <c r="CA119" s="168"/>
      <c r="CB119" s="168"/>
      <c r="CC119" s="168"/>
      <c r="CD119" s="168"/>
      <c r="CE119" s="168"/>
      <c r="CF119" s="168"/>
      <c r="CG119" s="168"/>
      <c r="CH119" s="168"/>
      <c r="CI119" s="168"/>
      <c r="CJ119" s="168"/>
      <c r="CK119" s="168"/>
      <c r="CL119" s="168"/>
      <c r="CM119" s="168"/>
      <c r="CN119" s="168"/>
      <c r="CO119" s="168"/>
      <c r="CP119" s="168"/>
      <c r="CQ119" s="168"/>
      <c r="CR119" s="168"/>
      <c r="CS119" s="168"/>
      <c r="CT119" s="168"/>
      <c r="CU119" s="168"/>
      <c r="CV119" s="168"/>
      <c r="CW119" s="168"/>
      <c r="CX119" s="168"/>
      <c r="CY119" s="168"/>
      <c r="CZ119" s="168"/>
      <c r="DA119" s="168"/>
      <c r="DB119" s="168"/>
      <c r="DC119" s="168"/>
      <c r="DD119" s="168"/>
      <c r="DE119" s="168"/>
      <c r="DF119" s="168"/>
    </row>
    <row r="120" spans="2:110" x14ac:dyDescent="0.4">
      <c r="B120" s="486"/>
      <c r="C120" s="60">
        <v>148</v>
      </c>
      <c r="D120" s="226" t="s">
        <v>54</v>
      </c>
      <c r="E120" s="195">
        <v>46048</v>
      </c>
      <c r="F120" s="195">
        <v>46058</v>
      </c>
      <c r="G120" s="196">
        <f t="shared" si="45"/>
        <v>10</v>
      </c>
      <c r="H120" s="195">
        <f t="shared" si="46"/>
        <v>46048</v>
      </c>
      <c r="I120" s="195">
        <f t="shared" si="47"/>
        <v>46058</v>
      </c>
      <c r="J120" s="199" t="s">
        <v>12</v>
      </c>
      <c r="K120" s="200">
        <v>100</v>
      </c>
      <c r="L120" s="201"/>
      <c r="M120" s="201"/>
      <c r="N120" s="198" t="str">
        <f t="shared" si="49"/>
        <v/>
      </c>
      <c r="O120" s="202" t="str">
        <f t="shared" si="50"/>
        <v>-</v>
      </c>
      <c r="P120" s="205">
        <f t="shared" si="51"/>
        <v>0</v>
      </c>
      <c r="Q120" s="207">
        <f t="shared" si="52"/>
        <v>0</v>
      </c>
      <c r="R120" s="204">
        <f>K120-Q120</f>
        <v>100</v>
      </c>
      <c r="S120" s="65">
        <f t="shared" si="48"/>
        <v>0</v>
      </c>
      <c r="T120" s="157">
        <f t="shared" si="54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8"/>
      <c r="BP120" s="168"/>
      <c r="BQ120" s="168"/>
      <c r="BR120" s="168"/>
      <c r="BS120" s="168"/>
      <c r="BT120" s="168"/>
      <c r="BU120" s="168"/>
      <c r="BV120" s="168"/>
      <c r="BW120" s="168"/>
      <c r="BX120" s="168"/>
      <c r="BY120" s="168"/>
      <c r="BZ120" s="168"/>
      <c r="CA120" s="168"/>
      <c r="CB120" s="168"/>
      <c r="CC120" s="168"/>
      <c r="CD120" s="168"/>
      <c r="CE120" s="168"/>
      <c r="CF120" s="168"/>
      <c r="CG120" s="168"/>
      <c r="CH120" s="168"/>
      <c r="CI120" s="168"/>
      <c r="CJ120" s="168"/>
      <c r="CK120" s="168"/>
      <c r="CL120" s="168"/>
      <c r="CM120" s="168"/>
      <c r="CN120" s="168"/>
      <c r="CO120" s="168"/>
      <c r="CP120" s="168"/>
      <c r="CQ120" s="168"/>
      <c r="CR120" s="168"/>
      <c r="CS120" s="168"/>
      <c r="CT120" s="168"/>
      <c r="CU120" s="168"/>
      <c r="CV120" s="168"/>
      <c r="CW120" s="168"/>
      <c r="CX120" s="168"/>
      <c r="CY120" s="168"/>
      <c r="CZ120" s="168"/>
      <c r="DA120" s="168"/>
      <c r="DB120" s="168"/>
      <c r="DC120" s="168"/>
      <c r="DD120" s="168"/>
      <c r="DE120" s="168"/>
      <c r="DF120" s="168"/>
    </row>
    <row r="121" spans="2:110" x14ac:dyDescent="0.4">
      <c r="B121" s="477"/>
    </row>
    <row r="122" spans="2:110" x14ac:dyDescent="0.4">
      <c r="B122" s="478"/>
    </row>
    <row r="123" spans="2:110" x14ac:dyDescent="0.4">
      <c r="B123" s="478"/>
    </row>
    <row r="124" spans="2:110" x14ac:dyDescent="0.4">
      <c r="B124" s="478"/>
    </row>
    <row r="125" spans="2:110" x14ac:dyDescent="0.4">
      <c r="B125" s="478"/>
    </row>
    <row r="126" spans="2:110" x14ac:dyDescent="0.4">
      <c r="B126" s="478"/>
    </row>
    <row r="127" spans="2:110" x14ac:dyDescent="0.4">
      <c r="B127" s="478"/>
    </row>
    <row r="128" spans="2:110" x14ac:dyDescent="0.4">
      <c r="B128" s="478"/>
      <c r="K128" s="150"/>
    </row>
    <row r="129" spans="11:11" x14ac:dyDescent="0.4">
      <c r="K129" s="150"/>
    </row>
  </sheetData>
  <mergeCells count="37">
    <mergeCell ref="B121:B128"/>
    <mergeCell ref="M2:M3"/>
    <mergeCell ref="G2:G3"/>
    <mergeCell ref="B28:B40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  <mergeCell ref="B76:B78"/>
    <mergeCell ref="B63:B75"/>
    <mergeCell ref="L2:L3"/>
    <mergeCell ref="E2:E3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  <mergeCell ref="R2:R3"/>
    <mergeCell ref="S2:S3"/>
    <mergeCell ref="N2:N3"/>
    <mergeCell ref="O2:O3"/>
    <mergeCell ref="P2:P3"/>
    <mergeCell ref="Q2:Q3"/>
  </mergeCells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RowHeight="16" x14ac:dyDescent="0.4"/>
  <cols>
    <col min="1" max="1" width="7.7265625" style="123" customWidth="1"/>
    <col min="2" max="2" width="33.453125" style="123" customWidth="1"/>
    <col min="3" max="3" width="13.08984375" style="123" customWidth="1"/>
    <col min="4" max="4" width="17.453125" style="123" customWidth="1"/>
    <col min="5" max="5" width="49.6328125" style="123" customWidth="1"/>
    <col min="6" max="6" width="10.81640625" style="123" bestFit="1" customWidth="1"/>
    <col min="7" max="7" width="8.7265625" style="123"/>
    <col min="8" max="8" width="11.54296875" style="123" customWidth="1"/>
    <col min="9" max="16384" width="8.7265625" style="123"/>
  </cols>
  <sheetData>
    <row r="1" spans="1:9" x14ac:dyDescent="0.4">
      <c r="A1" s="122" t="s">
        <v>316</v>
      </c>
      <c r="B1" s="122" t="s">
        <v>365</v>
      </c>
      <c r="C1" s="122" t="s">
        <v>317</v>
      </c>
      <c r="D1" s="122" t="s">
        <v>318</v>
      </c>
      <c r="E1" s="122" t="s">
        <v>319</v>
      </c>
    </row>
    <row r="2" spans="1:9" x14ac:dyDescent="0.4">
      <c r="A2" s="135">
        <v>1</v>
      </c>
      <c r="B2" s="133" t="s">
        <v>342</v>
      </c>
      <c r="C2" s="134">
        <v>45783</v>
      </c>
      <c r="D2" s="187">
        <f>C2</f>
        <v>45783</v>
      </c>
      <c r="E2" s="188" t="s">
        <v>419</v>
      </c>
    </row>
    <row r="3" spans="1:9" x14ac:dyDescent="0.4">
      <c r="A3" s="135">
        <v>2</v>
      </c>
      <c r="B3" s="133" t="s">
        <v>343</v>
      </c>
      <c r="C3" s="134">
        <v>45803</v>
      </c>
      <c r="D3" s="187">
        <v>45807</v>
      </c>
      <c r="E3" s="188" t="s">
        <v>421</v>
      </c>
    </row>
    <row r="4" spans="1:9" x14ac:dyDescent="0.4">
      <c r="A4" s="124">
        <v>3</v>
      </c>
      <c r="B4" s="125" t="s">
        <v>344</v>
      </c>
      <c r="C4" s="126">
        <v>45816</v>
      </c>
      <c r="D4" s="183">
        <f t="shared" ref="D4:D21" si="0">C4</f>
        <v>45816</v>
      </c>
      <c r="E4" s="139"/>
    </row>
    <row r="5" spans="1:9" x14ac:dyDescent="0.4">
      <c r="A5" s="124">
        <v>4</v>
      </c>
      <c r="B5" s="125" t="s">
        <v>345</v>
      </c>
      <c r="C5" s="126">
        <v>45805</v>
      </c>
      <c r="D5" s="183">
        <v>45817</v>
      </c>
      <c r="E5" s="139"/>
    </row>
    <row r="6" spans="1:9" x14ac:dyDescent="0.4">
      <c r="A6" s="124">
        <v>5</v>
      </c>
      <c r="B6" s="125" t="s">
        <v>346</v>
      </c>
      <c r="C6" s="126">
        <v>45805</v>
      </c>
      <c r="D6" s="183">
        <v>45817</v>
      </c>
      <c r="E6" s="139"/>
    </row>
    <row r="7" spans="1:9" x14ac:dyDescent="0.4">
      <c r="A7" s="124">
        <v>6</v>
      </c>
      <c r="B7" s="125" t="s">
        <v>347</v>
      </c>
      <c r="C7" s="126">
        <v>45820</v>
      </c>
      <c r="D7" s="183">
        <f t="shared" si="0"/>
        <v>45820</v>
      </c>
      <c r="E7" s="139"/>
    </row>
    <row r="8" spans="1:9" x14ac:dyDescent="0.4">
      <c r="A8" s="124">
        <v>7</v>
      </c>
      <c r="B8" s="125" t="s">
        <v>348</v>
      </c>
      <c r="C8" s="126">
        <v>45814</v>
      </c>
      <c r="D8" s="183">
        <v>45818</v>
      </c>
      <c r="E8" s="139"/>
    </row>
    <row r="9" spans="1:9" x14ac:dyDescent="0.4">
      <c r="A9" s="135">
        <v>8</v>
      </c>
      <c r="B9" s="133" t="s">
        <v>349</v>
      </c>
      <c r="C9" s="134">
        <v>45797</v>
      </c>
      <c r="D9" s="187">
        <v>45790</v>
      </c>
      <c r="E9" s="188" t="s">
        <v>421</v>
      </c>
    </row>
    <row r="10" spans="1:9" x14ac:dyDescent="0.4">
      <c r="A10" s="124">
        <v>9</v>
      </c>
      <c r="B10" s="125" t="s">
        <v>351</v>
      </c>
      <c r="C10" s="126">
        <v>45788</v>
      </c>
      <c r="D10" s="183">
        <f>Ordering!E10+7</f>
        <v>45845</v>
      </c>
      <c r="E10" s="139"/>
    </row>
    <row r="11" spans="1:9" x14ac:dyDescent="0.4">
      <c r="A11" s="124">
        <v>10</v>
      </c>
      <c r="B11" s="125" t="s">
        <v>352</v>
      </c>
      <c r="C11" s="126">
        <v>45813</v>
      </c>
      <c r="D11" s="183">
        <v>45818</v>
      </c>
      <c r="E11" s="139"/>
      <c r="G11" s="190"/>
      <c r="H11"/>
      <c r="I11" s="190"/>
    </row>
    <row r="12" spans="1:9" x14ac:dyDescent="0.4">
      <c r="A12" s="124">
        <v>11</v>
      </c>
      <c r="B12" s="125" t="s">
        <v>353</v>
      </c>
      <c r="C12" s="126">
        <v>45799</v>
      </c>
      <c r="D12" s="183">
        <f>Ordering!E12+7</f>
        <v>45852</v>
      </c>
      <c r="E12" s="139"/>
      <c r="H12"/>
    </row>
    <row r="13" spans="1:9" x14ac:dyDescent="0.4">
      <c r="A13" s="124">
        <v>12</v>
      </c>
      <c r="B13" s="125" t="s">
        <v>354</v>
      </c>
      <c r="C13" s="126">
        <v>45791</v>
      </c>
      <c r="D13" s="183">
        <f>Ordering!E13+7</f>
        <v>45852</v>
      </c>
      <c r="E13" s="139"/>
    </row>
    <row r="14" spans="1:9" x14ac:dyDescent="0.4">
      <c r="A14" s="124">
        <v>13</v>
      </c>
      <c r="B14" s="125" t="s">
        <v>355</v>
      </c>
      <c r="C14" s="126">
        <v>45813</v>
      </c>
      <c r="D14" s="183">
        <v>45820</v>
      </c>
      <c r="E14" s="139"/>
    </row>
    <row r="15" spans="1:9" x14ac:dyDescent="0.4">
      <c r="A15" s="124">
        <v>14</v>
      </c>
      <c r="B15" s="125" t="s">
        <v>356</v>
      </c>
      <c r="C15" s="126">
        <v>45805</v>
      </c>
      <c r="D15" s="183">
        <f>Ordering!E15+7</f>
        <v>45852</v>
      </c>
      <c r="E15" s="139"/>
    </row>
    <row r="16" spans="1:9" x14ac:dyDescent="0.4">
      <c r="A16" s="124">
        <v>15</v>
      </c>
      <c r="B16" s="125" t="s">
        <v>357</v>
      </c>
      <c r="C16" s="126">
        <v>45805</v>
      </c>
      <c r="D16" s="183">
        <f>Ordering!E16+7</f>
        <v>45852</v>
      </c>
      <c r="E16" s="139"/>
    </row>
    <row r="17" spans="1:5" x14ac:dyDescent="0.4">
      <c r="A17" s="124">
        <v>16</v>
      </c>
      <c r="B17" s="125" t="s">
        <v>358</v>
      </c>
      <c r="C17" s="126">
        <v>45805</v>
      </c>
      <c r="D17" s="183">
        <f>Ordering!E17+7</f>
        <v>45822</v>
      </c>
      <c r="E17" s="139"/>
    </row>
    <row r="18" spans="1:5" x14ac:dyDescent="0.4">
      <c r="A18" s="124">
        <v>17</v>
      </c>
      <c r="B18" s="125" t="s">
        <v>359</v>
      </c>
      <c r="C18" s="126">
        <v>45813</v>
      </c>
      <c r="D18" s="183">
        <f>Ordering!E18+7</f>
        <v>45864</v>
      </c>
      <c r="E18" s="139"/>
    </row>
    <row r="19" spans="1:5" x14ac:dyDescent="0.4">
      <c r="A19" s="124">
        <v>18</v>
      </c>
      <c r="B19" s="125" t="s">
        <v>360</v>
      </c>
      <c r="C19" s="126">
        <v>45820</v>
      </c>
      <c r="D19" s="183">
        <f t="shared" si="0"/>
        <v>45820</v>
      </c>
      <c r="E19" s="139"/>
    </row>
    <row r="20" spans="1:5" x14ac:dyDescent="0.4">
      <c r="A20" s="124">
        <v>19</v>
      </c>
      <c r="B20" s="125" t="s">
        <v>361</v>
      </c>
      <c r="C20" s="126">
        <v>45839</v>
      </c>
      <c r="D20" s="183">
        <f t="shared" si="0"/>
        <v>45839</v>
      </c>
      <c r="E20" s="139"/>
    </row>
    <row r="21" spans="1:5" s="131" customFormat="1" ht="32" x14ac:dyDescent="0.35">
      <c r="A21" s="128">
        <v>20</v>
      </c>
      <c r="B21" s="129" t="s">
        <v>362</v>
      </c>
      <c r="C21" s="130">
        <v>45900</v>
      </c>
      <c r="D21" s="184">
        <f t="shared" si="0"/>
        <v>45900</v>
      </c>
      <c r="E21" s="185"/>
    </row>
    <row r="22" spans="1:5" x14ac:dyDescent="0.4">
      <c r="A22" s="122" t="s">
        <v>316</v>
      </c>
      <c r="B22" s="122" t="s">
        <v>389</v>
      </c>
      <c r="C22" s="122" t="s">
        <v>364</v>
      </c>
      <c r="D22" s="122" t="s">
        <v>318</v>
      </c>
      <c r="E22" s="122" t="s">
        <v>301</v>
      </c>
    </row>
    <row r="23" spans="1:5" s="131" customFormat="1" x14ac:dyDescent="0.35">
      <c r="A23" s="136">
        <v>1</v>
      </c>
      <c r="B23" s="138" t="s">
        <v>366</v>
      </c>
      <c r="C23" s="137">
        <v>45701</v>
      </c>
      <c r="D23" s="136" t="s">
        <v>367</v>
      </c>
      <c r="E23" s="151" t="s">
        <v>367</v>
      </c>
    </row>
    <row r="24" spans="1:5" s="131" customFormat="1" x14ac:dyDescent="0.35">
      <c r="A24" s="143">
        <v>2</v>
      </c>
      <c r="B24" s="144" t="s">
        <v>368</v>
      </c>
      <c r="C24" s="145">
        <v>45780</v>
      </c>
      <c r="D24" s="145">
        <f>C24</f>
        <v>45780</v>
      </c>
      <c r="E24" s="151" t="s">
        <v>439</v>
      </c>
    </row>
    <row r="25" spans="1:5" s="131" customFormat="1" x14ac:dyDescent="0.35">
      <c r="A25" s="128">
        <v>3</v>
      </c>
      <c r="B25" s="129" t="s">
        <v>369</v>
      </c>
      <c r="C25" s="130">
        <v>45823</v>
      </c>
      <c r="D25" s="130">
        <f>C25</f>
        <v>45823</v>
      </c>
      <c r="E25" s="210" t="s">
        <v>440</v>
      </c>
    </row>
    <row r="26" spans="1:5" s="131" customFormat="1" x14ac:dyDescent="0.35">
      <c r="A26" s="136">
        <v>4</v>
      </c>
      <c r="B26" s="138" t="s">
        <v>370</v>
      </c>
      <c r="C26" s="136" t="s">
        <v>371</v>
      </c>
      <c r="D26" s="137" t="s">
        <v>367</v>
      </c>
      <c r="E26" s="151" t="s">
        <v>397</v>
      </c>
    </row>
    <row r="27" spans="1:5" s="131" customFormat="1" x14ac:dyDescent="0.35">
      <c r="A27" s="128">
        <v>5</v>
      </c>
      <c r="B27" s="129" t="s">
        <v>372</v>
      </c>
      <c r="C27" s="130">
        <v>45812</v>
      </c>
      <c r="D27" s="130">
        <v>45828</v>
      </c>
      <c r="E27" s="189"/>
    </row>
    <row r="28" spans="1:5" s="131" customFormat="1" x14ac:dyDescent="0.35">
      <c r="A28" s="128">
        <v>6</v>
      </c>
      <c r="B28" s="129" t="s">
        <v>373</v>
      </c>
      <c r="C28" s="130">
        <v>45777</v>
      </c>
      <c r="D28" s="130">
        <v>45804</v>
      </c>
      <c r="E28" s="210" t="s">
        <v>441</v>
      </c>
    </row>
    <row r="29" spans="1:5" s="131" customFormat="1" hidden="1" x14ac:dyDescent="0.35">
      <c r="A29" s="128">
        <v>7</v>
      </c>
      <c r="B29" s="129" t="s">
        <v>374</v>
      </c>
      <c r="C29" s="130">
        <v>45794</v>
      </c>
      <c r="D29" s="130">
        <f t="shared" ref="D29:D31" si="1">C29</f>
        <v>45794</v>
      </c>
      <c r="E29" s="189"/>
    </row>
    <row r="30" spans="1:5" s="131" customFormat="1" ht="32" x14ac:dyDescent="0.35">
      <c r="A30" s="128">
        <v>8</v>
      </c>
      <c r="B30" s="129" t="s">
        <v>375</v>
      </c>
      <c r="C30" s="130">
        <v>45807</v>
      </c>
      <c r="D30" s="130">
        <f>D28+15</f>
        <v>45819</v>
      </c>
      <c r="E30" s="189"/>
    </row>
    <row r="31" spans="1:5" s="131" customFormat="1" ht="32" x14ac:dyDescent="0.35">
      <c r="A31" s="128">
        <v>9</v>
      </c>
      <c r="B31" s="129" t="s">
        <v>376</v>
      </c>
      <c r="C31" s="130">
        <v>45816</v>
      </c>
      <c r="D31" s="130">
        <f t="shared" si="1"/>
        <v>45816</v>
      </c>
      <c r="E31" s="189"/>
    </row>
    <row r="32" spans="1:5" s="131" customFormat="1" x14ac:dyDescent="0.35">
      <c r="A32" s="128">
        <v>10</v>
      </c>
      <c r="B32" s="129" t="s">
        <v>377</v>
      </c>
      <c r="C32" s="130">
        <v>45772</v>
      </c>
      <c r="D32" s="130">
        <v>45787</v>
      </c>
      <c r="E32" s="182" t="s">
        <v>442</v>
      </c>
    </row>
    <row r="33" spans="1:5" s="131" customFormat="1" x14ac:dyDescent="0.35">
      <c r="A33" s="191">
        <v>11</v>
      </c>
      <c r="B33" s="192" t="s">
        <v>378</v>
      </c>
      <c r="C33" s="193">
        <v>45772</v>
      </c>
      <c r="D33" s="193">
        <v>45773</v>
      </c>
      <c r="E33" s="151" t="s">
        <v>422</v>
      </c>
    </row>
    <row r="34" spans="1:5" s="131" customFormat="1" x14ac:dyDescent="0.35">
      <c r="A34" s="128">
        <v>12</v>
      </c>
      <c r="B34" s="129" t="s">
        <v>379</v>
      </c>
      <c r="C34" s="130">
        <v>45783</v>
      </c>
      <c r="D34" s="130">
        <v>45795</v>
      </c>
      <c r="E34" s="151" t="s">
        <v>424</v>
      </c>
    </row>
    <row r="35" spans="1:5" s="131" customFormat="1" ht="32" x14ac:dyDescent="0.35">
      <c r="A35" s="128">
        <v>13</v>
      </c>
      <c r="B35" s="129" t="s">
        <v>380</v>
      </c>
      <c r="C35" s="130">
        <v>45811</v>
      </c>
      <c r="D35" s="130">
        <v>45823</v>
      </c>
      <c r="E35" s="189"/>
    </row>
    <row r="36" spans="1:5" s="131" customFormat="1" ht="32" x14ac:dyDescent="0.35">
      <c r="A36" s="128">
        <v>14</v>
      </c>
      <c r="B36" s="129" t="s">
        <v>381</v>
      </c>
      <c r="C36" s="130">
        <v>45808</v>
      </c>
      <c r="D36" s="130">
        <v>45823</v>
      </c>
      <c r="E36" s="189"/>
    </row>
    <row r="37" spans="1:5" s="131" customFormat="1" ht="32" x14ac:dyDescent="0.35">
      <c r="A37" s="128">
        <v>15</v>
      </c>
      <c r="B37" s="129" t="s">
        <v>382</v>
      </c>
      <c r="C37" s="130">
        <v>45808</v>
      </c>
      <c r="D37" s="130">
        <v>45828</v>
      </c>
      <c r="E37" s="189"/>
    </row>
    <row r="38" spans="1:5" s="131" customFormat="1" ht="32" x14ac:dyDescent="0.35">
      <c r="A38" s="136">
        <v>16</v>
      </c>
      <c r="B38" s="138" t="s">
        <v>383</v>
      </c>
      <c r="C38" s="137">
        <v>45719</v>
      </c>
      <c r="D38" s="137" t="s">
        <v>367</v>
      </c>
      <c r="E38" s="151" t="s">
        <v>418</v>
      </c>
    </row>
    <row r="39" spans="1:5" s="131" customFormat="1" x14ac:dyDescent="0.35">
      <c r="A39" s="143">
        <v>17</v>
      </c>
      <c r="B39" s="144" t="s">
        <v>384</v>
      </c>
      <c r="C39" s="145">
        <v>45762</v>
      </c>
      <c r="D39" s="145"/>
      <c r="E39" s="182" t="s">
        <v>417</v>
      </c>
    </row>
    <row r="40" spans="1:5" s="131" customFormat="1" x14ac:dyDescent="0.35">
      <c r="A40" s="128">
        <v>18</v>
      </c>
      <c r="B40" s="129" t="s">
        <v>385</v>
      </c>
      <c r="C40" s="130">
        <v>45772</v>
      </c>
      <c r="D40" s="130">
        <v>45787</v>
      </c>
      <c r="E40" s="182" t="s">
        <v>420</v>
      </c>
    </row>
    <row r="41" spans="1:5" s="131" customFormat="1" ht="32" x14ac:dyDescent="0.35">
      <c r="A41" s="143">
        <v>19</v>
      </c>
      <c r="B41" s="144" t="s">
        <v>386</v>
      </c>
      <c r="C41" s="145">
        <v>45772</v>
      </c>
      <c r="D41" s="145"/>
      <c r="E41" s="182" t="s">
        <v>425</v>
      </c>
    </row>
    <row r="42" spans="1:5" s="131" customFormat="1" ht="32" x14ac:dyDescent="0.35">
      <c r="A42" s="128">
        <v>20</v>
      </c>
      <c r="B42" s="129" t="s">
        <v>387</v>
      </c>
      <c r="C42" s="130">
        <v>45797</v>
      </c>
      <c r="D42" s="130">
        <v>45814</v>
      </c>
      <c r="E42" s="189"/>
    </row>
    <row r="43" spans="1:5" s="131" customFormat="1" x14ac:dyDescent="0.35">
      <c r="A43" s="128">
        <v>19</v>
      </c>
      <c r="B43" s="129" t="s">
        <v>394</v>
      </c>
      <c r="C43" s="130"/>
      <c r="D43" s="130"/>
      <c r="E43" s="182" t="s">
        <v>439</v>
      </c>
    </row>
    <row r="44" spans="1:5" s="131" customFormat="1" ht="32" x14ac:dyDescent="0.35">
      <c r="A44" s="128">
        <v>20</v>
      </c>
      <c r="B44" s="129" t="s">
        <v>395</v>
      </c>
      <c r="C44" s="130"/>
      <c r="D44" s="130"/>
      <c r="E44" s="182" t="s">
        <v>439</v>
      </c>
    </row>
    <row r="45" spans="1:5" s="131" customFormat="1" ht="32" x14ac:dyDescent="0.35">
      <c r="A45" s="132" t="s">
        <v>316</v>
      </c>
      <c r="B45" s="132" t="s">
        <v>391</v>
      </c>
      <c r="C45" s="132" t="s">
        <v>305</v>
      </c>
      <c r="D45" s="132" t="s">
        <v>390</v>
      </c>
      <c r="E45" s="132" t="s">
        <v>301</v>
      </c>
    </row>
    <row r="46" spans="1:5" x14ac:dyDescent="0.4">
      <c r="A46" s="124">
        <v>1</v>
      </c>
      <c r="B46" s="125" t="s">
        <v>342</v>
      </c>
      <c r="C46" s="126">
        <v>45785</v>
      </c>
      <c r="D46" s="126">
        <v>45956</v>
      </c>
      <c r="E46" s="139"/>
    </row>
    <row r="47" spans="1:5" x14ac:dyDescent="0.4">
      <c r="A47" s="124">
        <v>2</v>
      </c>
      <c r="B47" s="125" t="s">
        <v>343</v>
      </c>
      <c r="C47" s="126">
        <v>45805</v>
      </c>
      <c r="D47" s="126">
        <v>45986</v>
      </c>
      <c r="E47" s="139"/>
    </row>
    <row r="48" spans="1:5" x14ac:dyDescent="0.4">
      <c r="A48" s="124">
        <v>3</v>
      </c>
      <c r="B48" s="125" t="s">
        <v>344</v>
      </c>
      <c r="C48" s="126">
        <v>45818</v>
      </c>
      <c r="D48" s="126">
        <v>45969</v>
      </c>
      <c r="E48" s="139"/>
    </row>
    <row r="49" spans="1:5" x14ac:dyDescent="0.4">
      <c r="A49" s="124">
        <v>4</v>
      </c>
      <c r="B49" s="125" t="s">
        <v>345</v>
      </c>
      <c r="C49" s="126">
        <v>45807</v>
      </c>
      <c r="D49" s="126">
        <v>45958</v>
      </c>
      <c r="E49" s="139"/>
    </row>
    <row r="50" spans="1:5" x14ac:dyDescent="0.4">
      <c r="A50" s="124">
        <v>5</v>
      </c>
      <c r="B50" s="125" t="s">
        <v>346</v>
      </c>
      <c r="C50" s="126">
        <v>45807</v>
      </c>
      <c r="D50" s="126">
        <v>45958</v>
      </c>
      <c r="E50" s="139"/>
    </row>
    <row r="51" spans="1:5" x14ac:dyDescent="0.4">
      <c r="A51" s="124">
        <v>6</v>
      </c>
      <c r="B51" s="125" t="s">
        <v>347</v>
      </c>
      <c r="C51" s="126">
        <v>45822</v>
      </c>
      <c r="D51" s="126">
        <v>45943</v>
      </c>
      <c r="E51" s="139"/>
    </row>
    <row r="52" spans="1:5" x14ac:dyDescent="0.4">
      <c r="A52" s="124">
        <v>7</v>
      </c>
      <c r="B52" s="125" t="s">
        <v>348</v>
      </c>
      <c r="C52" s="126">
        <v>45816</v>
      </c>
      <c r="D52" s="126">
        <v>45937</v>
      </c>
      <c r="E52" s="139"/>
    </row>
    <row r="53" spans="1:5" x14ac:dyDescent="0.4">
      <c r="A53" s="124">
        <v>8</v>
      </c>
      <c r="B53" s="125" t="s">
        <v>349</v>
      </c>
      <c r="C53" s="126">
        <v>45799</v>
      </c>
      <c r="D53" s="126">
        <v>45919</v>
      </c>
      <c r="E53" s="139"/>
    </row>
    <row r="54" spans="1:5" x14ac:dyDescent="0.4">
      <c r="A54" s="124">
        <v>9</v>
      </c>
      <c r="B54" s="125" t="s">
        <v>351</v>
      </c>
      <c r="C54" s="126">
        <v>45790</v>
      </c>
      <c r="D54" s="126">
        <v>45910</v>
      </c>
      <c r="E54" s="139"/>
    </row>
    <row r="55" spans="1:5" x14ac:dyDescent="0.4">
      <c r="A55" s="124">
        <v>10</v>
      </c>
      <c r="B55" s="125" t="s">
        <v>352</v>
      </c>
      <c r="C55" s="126">
        <v>45815</v>
      </c>
      <c r="D55" s="126">
        <v>45936</v>
      </c>
      <c r="E55" s="139"/>
    </row>
    <row r="56" spans="1:5" x14ac:dyDescent="0.4">
      <c r="A56" s="124">
        <v>11</v>
      </c>
      <c r="B56" s="125" t="s">
        <v>353</v>
      </c>
      <c r="C56" s="126">
        <v>45801</v>
      </c>
      <c r="D56" s="126">
        <v>45921</v>
      </c>
      <c r="E56" s="139"/>
    </row>
    <row r="57" spans="1:5" x14ac:dyDescent="0.4">
      <c r="A57" s="124">
        <v>12</v>
      </c>
      <c r="B57" s="125" t="s">
        <v>354</v>
      </c>
      <c r="C57" s="126">
        <v>45793</v>
      </c>
      <c r="D57" s="126">
        <v>45913</v>
      </c>
      <c r="E57" s="139"/>
    </row>
    <row r="58" spans="1:5" x14ac:dyDescent="0.4">
      <c r="A58" s="124">
        <v>13</v>
      </c>
      <c r="B58" s="125" t="s">
        <v>355</v>
      </c>
      <c r="C58" s="126">
        <v>45815</v>
      </c>
      <c r="D58" s="126">
        <v>45936</v>
      </c>
      <c r="E58" s="139"/>
    </row>
    <row r="59" spans="1:5" x14ac:dyDescent="0.4">
      <c r="A59" s="124">
        <v>14</v>
      </c>
      <c r="B59" s="125" t="s">
        <v>356</v>
      </c>
      <c r="C59" s="126">
        <v>45807</v>
      </c>
      <c r="D59" s="126">
        <v>45927</v>
      </c>
      <c r="E59" s="139"/>
    </row>
    <row r="60" spans="1:5" x14ac:dyDescent="0.4">
      <c r="A60" s="124">
        <v>15</v>
      </c>
      <c r="B60" s="125" t="s">
        <v>357</v>
      </c>
      <c r="C60" s="126">
        <v>45807</v>
      </c>
      <c r="D60" s="126">
        <v>45927</v>
      </c>
      <c r="E60" s="139"/>
    </row>
    <row r="61" spans="1:5" x14ac:dyDescent="0.4">
      <c r="A61" s="124">
        <v>16</v>
      </c>
      <c r="B61" s="125" t="s">
        <v>358</v>
      </c>
      <c r="C61" s="126">
        <v>45807</v>
      </c>
      <c r="D61" s="126">
        <v>45927</v>
      </c>
      <c r="E61" s="139"/>
    </row>
    <row r="62" spans="1:5" x14ac:dyDescent="0.4">
      <c r="A62" s="124">
        <v>17</v>
      </c>
      <c r="B62" s="125" t="s">
        <v>359</v>
      </c>
      <c r="C62" s="126">
        <v>45815</v>
      </c>
      <c r="D62" s="126">
        <v>45936</v>
      </c>
      <c r="E62" s="139"/>
    </row>
    <row r="63" spans="1:5" x14ac:dyDescent="0.4">
      <c r="A63" s="124">
        <v>18</v>
      </c>
      <c r="B63" s="125" t="s">
        <v>360</v>
      </c>
      <c r="C63" s="126">
        <v>45822</v>
      </c>
      <c r="D63" s="126">
        <v>45943</v>
      </c>
      <c r="E63" s="139"/>
    </row>
    <row r="64" spans="1:5" x14ac:dyDescent="0.4">
      <c r="A64" s="124">
        <v>19</v>
      </c>
      <c r="B64" s="125" t="s">
        <v>361</v>
      </c>
      <c r="C64" s="126">
        <v>45841</v>
      </c>
      <c r="D64" s="126">
        <v>45992</v>
      </c>
      <c r="E64" s="139"/>
    </row>
    <row r="65" spans="1:5" s="131" customFormat="1" ht="32" x14ac:dyDescent="0.35">
      <c r="A65" s="128">
        <v>20</v>
      </c>
      <c r="B65" s="129" t="s">
        <v>362</v>
      </c>
      <c r="C65" s="130">
        <v>45902</v>
      </c>
      <c r="D65" s="130">
        <v>46022</v>
      </c>
      <c r="E65" s="18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796875" defaultRowHeight="13" x14ac:dyDescent="0.3"/>
  <cols>
    <col min="1" max="1" width="16.81640625" style="100" customWidth="1"/>
    <col min="2" max="3" width="14.453125" style="100" customWidth="1"/>
    <col min="4" max="4" width="43.7265625" style="101" customWidth="1"/>
    <col min="5" max="5" width="10.453125" style="100" customWidth="1"/>
    <col min="6" max="6" width="21.81640625" style="101" customWidth="1"/>
    <col min="7" max="7" width="18.453125" style="100" customWidth="1"/>
    <col min="8" max="16384" width="9.1796875" style="100"/>
  </cols>
  <sheetData>
    <row r="1" spans="1:7" ht="18.5" x14ac:dyDescent="0.45">
      <c r="A1" s="487" t="s">
        <v>297</v>
      </c>
      <c r="B1" s="488"/>
      <c r="C1" s="488"/>
      <c r="D1" s="488"/>
      <c r="E1" s="488"/>
      <c r="F1" s="489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28.54296875" style="57" customWidth="1"/>
    <col min="5" max="6" width="14.08984375" style="57" hidden="1" customWidth="1"/>
    <col min="7" max="7" width="17.6328125" style="57" hidden="1" customWidth="1"/>
    <col min="8" max="8" width="16" style="57" hidden="1" customWidth="1"/>
    <col min="9" max="9" width="5.1796875" style="22" bestFit="1" customWidth="1"/>
    <col min="10" max="10" width="6.6328125" style="54" bestFit="1" customWidth="1"/>
    <col min="11" max="11" width="13.81640625" style="55" hidden="1" customWidth="1"/>
    <col min="12" max="12" width="13.7265625" style="55" hidden="1" customWidth="1"/>
    <col min="13" max="13" width="9" style="22" hidden="1" customWidth="1"/>
    <col min="14" max="14" width="13.81640625" style="22" hidden="1" customWidth="1"/>
    <col min="15" max="15" width="12.453125" style="22" customWidth="1"/>
    <col min="16" max="16" width="8.81640625" style="54" bestFit="1" customWidth="1"/>
    <col min="17" max="17" width="7.6328125" style="54" bestFit="1" customWidth="1"/>
    <col min="18" max="18" width="6.7265625" style="54" bestFit="1" customWidth="1"/>
    <col min="19" max="19" width="12.26953125" style="56" bestFit="1" customWidth="1"/>
    <col min="20" max="25" width="4.90625" style="56" bestFit="1" customWidth="1"/>
    <col min="26" max="26" width="5.36328125" style="56" bestFit="1" customWidth="1"/>
    <col min="27" max="32" width="4.90625" style="56" bestFit="1" customWidth="1"/>
    <col min="33" max="33" width="5.36328125" style="56" bestFit="1" customWidth="1"/>
    <col min="34" max="39" width="4.90625" style="56" bestFit="1" customWidth="1"/>
    <col min="40" max="40" width="5.36328125" style="56" bestFit="1" customWidth="1"/>
    <col min="41" max="42" width="4.90625" style="56" bestFit="1" customWidth="1"/>
    <col min="43" max="43" width="6.6328125" style="56" bestFit="1" customWidth="1"/>
    <col min="44" max="58" width="11.7265625" style="56" bestFit="1" customWidth="1"/>
    <col min="59" max="64" width="13.54296875" style="56" bestFit="1" customWidth="1"/>
    <col min="65" max="16384" width="12.1796875" style="56"/>
  </cols>
  <sheetData>
    <row r="1" spans="2:64" x14ac:dyDescent="0.4">
      <c r="C1" s="52" t="s">
        <v>10</v>
      </c>
      <c r="D1" s="53">
        <f>'Construction DASHBOARD'!B6</f>
        <v>45898</v>
      </c>
      <c r="E1" s="121"/>
      <c r="F1" s="121"/>
      <c r="G1" s="121"/>
      <c r="H1" s="121"/>
      <c r="S1" s="158" t="s">
        <v>399</v>
      </c>
    </row>
    <row r="2" spans="2:64" s="22" customFormat="1" ht="72" customHeight="1" x14ac:dyDescent="0.35">
      <c r="B2" s="474" t="s">
        <v>96</v>
      </c>
      <c r="C2" s="475" t="s">
        <v>97</v>
      </c>
      <c r="D2" s="471" t="s">
        <v>98</v>
      </c>
      <c r="E2" s="481" t="s">
        <v>306</v>
      </c>
      <c r="F2" s="481" t="s">
        <v>307</v>
      </c>
      <c r="G2" s="481" t="s">
        <v>308</v>
      </c>
      <c r="H2" s="481" t="s">
        <v>309</v>
      </c>
      <c r="I2" s="475" t="s">
        <v>99</v>
      </c>
      <c r="J2" s="469" t="s">
        <v>1</v>
      </c>
      <c r="K2" s="490" t="s">
        <v>100</v>
      </c>
      <c r="L2" s="490" t="s">
        <v>101</v>
      </c>
      <c r="M2" s="471" t="s">
        <v>102</v>
      </c>
      <c r="N2" s="471" t="s">
        <v>103</v>
      </c>
      <c r="O2" s="471" t="s">
        <v>255</v>
      </c>
      <c r="P2" s="469" t="s">
        <v>104</v>
      </c>
      <c r="Q2" s="469" t="s">
        <v>105</v>
      </c>
      <c r="R2" s="470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5">
      <c r="B3" s="474"/>
      <c r="C3" s="475"/>
      <c r="D3" s="471"/>
      <c r="E3" s="482"/>
      <c r="F3" s="482"/>
      <c r="G3" s="482"/>
      <c r="H3" s="482"/>
      <c r="I3" s="475"/>
      <c r="J3" s="469"/>
      <c r="K3" s="491"/>
      <c r="L3" s="491"/>
      <c r="M3" s="471"/>
      <c r="N3" s="471"/>
      <c r="O3" s="471"/>
      <c r="P3" s="469"/>
      <c r="Q3" s="469"/>
      <c r="R3" s="470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5">
      <c r="B4" s="146" t="s">
        <v>106</v>
      </c>
      <c r="C4" s="60">
        <v>1</v>
      </c>
      <c r="D4" s="147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7">
        <f t="shared" ref="P4:P11" si="2">SUMIF($S$2:$AR$2,"&lt;="&amp;$D$1,S4:AR4)</f>
        <v>256</v>
      </c>
      <c r="Q4" s="157">
        <f t="shared" ref="Q4:Q67" si="3">J4-P4</f>
        <v>774</v>
      </c>
      <c r="R4" s="157">
        <f t="shared" ref="R4" si="4">SUM(S4:XFD4)</f>
        <v>256</v>
      </c>
      <c r="S4" s="148">
        <v>0</v>
      </c>
      <c r="T4" s="148">
        <v>0</v>
      </c>
      <c r="U4" s="148"/>
      <c r="V4" s="148"/>
      <c r="W4" s="148"/>
      <c r="X4" s="152">
        <v>1.5</v>
      </c>
      <c r="Y4" s="152">
        <v>3.5</v>
      </c>
      <c r="Z4" s="152">
        <v>4</v>
      </c>
      <c r="AA4" s="152">
        <v>4</v>
      </c>
      <c r="AB4" s="152">
        <v>4</v>
      </c>
      <c r="AC4" s="152">
        <v>4</v>
      </c>
      <c r="AD4" s="152">
        <v>3</v>
      </c>
      <c r="AE4" s="152">
        <v>2</v>
      </c>
      <c r="AF4" s="152"/>
      <c r="AG4" s="152"/>
      <c r="AH4" s="152">
        <v>20</v>
      </c>
      <c r="AI4" s="152">
        <v>20</v>
      </c>
      <c r="AJ4" s="152">
        <v>20</v>
      </c>
      <c r="AK4" s="152">
        <v>20</v>
      </c>
      <c r="AL4" s="152">
        <v>40</v>
      </c>
      <c r="AM4" s="152">
        <v>40</v>
      </c>
      <c r="AN4" s="152">
        <v>30</v>
      </c>
      <c r="AO4" s="152">
        <v>20</v>
      </c>
      <c r="AP4" s="152">
        <v>10</v>
      </c>
      <c r="AQ4" s="148">
        <v>10</v>
      </c>
      <c r="AR4" s="148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</row>
    <row r="5" spans="2:64" x14ac:dyDescent="0.4">
      <c r="B5" s="472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6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4">
      <c r="B6" s="472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6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4">
      <c r="B7" s="472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3">
        <f t="shared" si="6"/>
        <v>75</v>
      </c>
      <c r="S7" s="156">
        <v>52</v>
      </c>
      <c r="T7" s="156">
        <v>2</v>
      </c>
      <c r="U7" s="156">
        <v>2</v>
      </c>
      <c r="V7" s="156">
        <v>2</v>
      </c>
      <c r="W7" s="156">
        <v>2</v>
      </c>
      <c r="X7" s="156">
        <v>2</v>
      </c>
      <c r="Y7" s="156">
        <v>1</v>
      </c>
      <c r="Z7" s="156">
        <v>1</v>
      </c>
      <c r="AA7" s="156">
        <v>1</v>
      </c>
      <c r="AB7" s="156">
        <v>1</v>
      </c>
      <c r="AC7" s="156">
        <v>1</v>
      </c>
      <c r="AD7" s="156">
        <v>1</v>
      </c>
      <c r="AE7" s="156"/>
      <c r="AF7" s="156">
        <v>1</v>
      </c>
      <c r="AG7" s="156">
        <v>1</v>
      </c>
      <c r="AH7" s="156"/>
      <c r="AI7" s="156"/>
      <c r="AJ7" s="156">
        <v>1</v>
      </c>
      <c r="AK7" s="156">
        <v>1</v>
      </c>
      <c r="AL7" s="156">
        <v>1</v>
      </c>
      <c r="AM7" s="156">
        <v>1</v>
      </c>
      <c r="AN7" s="156">
        <v>1</v>
      </c>
      <c r="AO7" s="156"/>
      <c r="AP7" s="154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4">
      <c r="B8" s="472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5">
        <v>4</v>
      </c>
      <c r="X8" s="155">
        <v>8</v>
      </c>
      <c r="Y8" s="155">
        <v>8</v>
      </c>
      <c r="Z8" s="155">
        <v>10</v>
      </c>
      <c r="AA8" s="155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4">
      <c r="B9" s="472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4">
      <c r="B10" s="472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4">
      <c r="B11" s="472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4">
      <c r="B12" s="472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4">
      <c r="B13" s="472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4">
      <c r="B14" s="472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x14ac:dyDescent="0.4">
      <c r="B15" s="472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4">
      <c r="B16" s="472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4">
      <c r="B17" s="472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4">
      <c r="B18" s="472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4">
      <c r="B19" s="472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4">
      <c r="B20" s="472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4">
      <c r="B21" s="472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4">
      <c r="B22" s="472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4">
      <c r="B23" s="472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4">
      <c r="B24" s="472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4">
      <c r="B25" s="472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2" x14ac:dyDescent="0.4">
      <c r="B26" s="472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4">
      <c r="B27" s="472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4">
      <c r="B28" s="472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4">
      <c r="B29" s="472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2" x14ac:dyDescent="0.4">
      <c r="B30" s="472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4">
      <c r="B31" s="472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4">
      <c r="B32" s="472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4">
      <c r="B33" s="472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4">
      <c r="B34" s="472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4">
      <c r="B35" s="472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x14ac:dyDescent="0.4">
      <c r="B36" s="472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4">
      <c r="B37" s="472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4">
      <c r="B38" s="472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4">
      <c r="B39" s="472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4">
      <c r="B40" s="472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4">
      <c r="B41" s="472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4">
      <c r="B42" s="472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4">
      <c r="B43" s="472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4">
      <c r="B44" s="472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4">
      <c r="B45" s="472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4">
      <c r="B46" s="472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4">
      <c r="B47" s="472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4">
      <c r="B48" s="472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4">
      <c r="B49" s="472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4">
      <c r="B50" s="472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2" x14ac:dyDescent="0.4">
      <c r="B51" s="472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4">
      <c r="B52" s="472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4">
      <c r="B53" s="472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4">
      <c r="B54" s="472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4">
      <c r="B55" s="472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4">
      <c r="B56" s="472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4">
      <c r="B57" s="472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4">
      <c r="B58" s="472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4">
      <c r="B59" s="472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2" x14ac:dyDescent="0.4">
      <c r="B60" s="472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4">
      <c r="B61" s="472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2" x14ac:dyDescent="0.4">
      <c r="B62" s="472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x14ac:dyDescent="0.4">
      <c r="B63" s="472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x14ac:dyDescent="0.4">
      <c r="B64" s="472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2" x14ac:dyDescent="0.4">
      <c r="B65" s="472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2" x14ac:dyDescent="0.4">
      <c r="B66" s="472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2" x14ac:dyDescent="0.4">
      <c r="B67" s="472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4">
      <c r="B68" s="472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2" x14ac:dyDescent="0.4">
      <c r="B69" s="472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4">
      <c r="B70" s="472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4">
      <c r="B71" s="472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4">
      <c r="B72" s="472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4">
      <c r="B73" s="472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4">
      <c r="B74" s="472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4">
      <c r="B75" s="472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4">
      <c r="B76" s="472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4">
      <c r="B77" s="472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4">
      <c r="B78" s="472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4">
      <c r="B79" s="472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4">
      <c r="B80" s="472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4">
      <c r="B81" s="472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4">
      <c r="B82" s="472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4">
      <c r="B83" s="472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4">
      <c r="B84" s="472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4">
      <c r="B85" s="472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4">
      <c r="B86" s="472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4">
      <c r="B87" s="472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4">
      <c r="B88" s="472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4">
      <c r="B89" s="472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4">
      <c r="B90" s="472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4">
      <c r="B91" s="472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4">
      <c r="B92" s="472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4">
      <c r="B93" s="472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4">
      <c r="B94" s="472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4">
      <c r="B95" s="472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4">
      <c r="B96" s="472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4">
      <c r="B97" s="472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4">
      <c r="B98" s="472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4">
      <c r="B99" s="472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4">
      <c r="B100" s="472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4">
      <c r="B101" s="472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4">
      <c r="B102" s="472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4">
      <c r="B103" s="472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4">
      <c r="B104" s="472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4">
      <c r="B105" s="472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4">
      <c r="B106" s="472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4">
      <c r="B107" s="472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4">
      <c r="B108" s="472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4">
      <c r="B109" s="472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4">
      <c r="B110" s="472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4">
      <c r="B111" s="472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4">
      <c r="B112" s="472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4">
      <c r="B113" s="472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4">
      <c r="B114" s="472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4">
      <c r="B115" s="472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x14ac:dyDescent="0.4">
      <c r="B116" s="472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ht="29" x14ac:dyDescent="0.4">
      <c r="B117" s="472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ht="29" x14ac:dyDescent="0.4">
      <c r="B118" s="472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4">
      <c r="B119" s="472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4">
      <c r="B120" s="472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4">
      <c r="B121" s="472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4">
      <c r="B122" s="472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4">
      <c r="B123" s="472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4">
      <c r="B124" s="472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4">
      <c r="B125" s="472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4">
      <c r="B126" s="472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4">
      <c r="B127" s="472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4">
      <c r="B128" s="472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4">
      <c r="B129" s="472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ht="29" x14ac:dyDescent="0.4">
      <c r="B130" s="486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4">
      <c r="B131" s="486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4">
      <c r="B132" s="486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ht="29" x14ac:dyDescent="0.4">
      <c r="B133" s="486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4">
      <c r="B134" s="486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4">
      <c r="B135" s="486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4">
      <c r="B136" s="486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4">
      <c r="B137" s="486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4">
      <c r="B138" s="486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4">
      <c r="B139" s="486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4">
      <c r="B140" s="486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4">
      <c r="B141" s="486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4">
      <c r="B142" s="486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4">
      <c r="B143" s="486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4">
      <c r="B144" s="486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4">
      <c r="B145" s="486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4">
      <c r="B146" s="486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4">
      <c r="B147" s="486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4">
      <c r="B148" s="486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4">
      <c r="B149" s="486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4">
      <c r="B150" s="486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ht="29" x14ac:dyDescent="0.4">
      <c r="B151" s="486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4">
      <c r="B152" s="486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4">
      <c r="B153" s="486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4">
      <c r="B154" s="486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4">
      <c r="B155" s="486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4">
      <c r="B156" s="486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4">
      <c r="J164" s="150"/>
    </row>
    <row r="165" spans="10:10" x14ac:dyDescent="0.4">
      <c r="J165" s="150"/>
    </row>
  </sheetData>
  <mergeCells count="34"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Construction DASHBOARD</vt:lpstr>
      <vt:lpstr>MDL</vt:lpstr>
      <vt:lpstr>Sheet1</vt:lpstr>
      <vt:lpstr>Ordering</vt:lpstr>
      <vt:lpstr>Preliminary Activity</vt:lpstr>
      <vt:lpstr>Manpower</vt:lpstr>
      <vt:lpstr>Machinery</vt:lpstr>
      <vt:lpstr>Construction Status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2025-06-26T05:16:43Z</cp:lastPrinted>
  <dcterms:created xsi:type="dcterms:W3CDTF">2025-01-27T07:20:18Z</dcterms:created>
  <dcterms:modified xsi:type="dcterms:W3CDTF">2025-08-29T05:19:57Z</dcterms:modified>
</cp:coreProperties>
</file>