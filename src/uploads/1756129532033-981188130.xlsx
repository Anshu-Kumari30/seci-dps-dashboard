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30" documentId="8_{6638DCEE-8897-4F43-B610-BC3A44F1456F}" xr6:coauthVersionLast="47" xr6:coauthVersionMax="47" xr10:uidLastSave="{5E130717-0F2B-4DD6-9807-D3947D2DA84F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1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7" i="41" l="1"/>
  <c r="T276" i="41"/>
  <c r="R276" i="41"/>
  <c r="K276" i="41" s="1"/>
  <c r="Q276" i="41"/>
  <c r="P276" i="41"/>
  <c r="J276" i="41"/>
  <c r="H276" i="41"/>
  <c r="J275" i="41"/>
  <c r="I275" i="41"/>
  <c r="G275" i="41"/>
  <c r="H275" i="41" s="1"/>
  <c r="H274" i="41"/>
  <c r="Q273" i="41"/>
  <c r="P273" i="41"/>
  <c r="T272" i="41"/>
  <c r="P272" i="41"/>
  <c r="J272" i="41"/>
  <c r="H272" i="41"/>
  <c r="G271" i="41"/>
  <c r="H271" i="41" s="1"/>
  <c r="H270" i="41"/>
  <c r="H269" i="41"/>
  <c r="H268" i="41"/>
  <c r="I267" i="41"/>
  <c r="J267" i="41" s="1"/>
  <c r="H267" i="41"/>
  <c r="G267" i="41"/>
  <c r="H266" i="41"/>
  <c r="H265" i="41"/>
  <c r="I264" i="41"/>
  <c r="J264" i="41" s="1"/>
  <c r="G264" i="41"/>
  <c r="H264" i="41" s="1"/>
  <c r="H262" i="41"/>
  <c r="H261" i="41"/>
  <c r="H260" i="41"/>
  <c r="G259" i="41"/>
  <c r="H259" i="41" s="1"/>
  <c r="G258" i="41"/>
  <c r="H258" i="41" s="1"/>
  <c r="H257" i="41"/>
  <c r="G257" i="41"/>
  <c r="I256" i="41"/>
  <c r="J256" i="41" s="1"/>
  <c r="G256" i="41"/>
  <c r="H256" i="41" s="1"/>
  <c r="G255" i="41"/>
  <c r="H255" i="41" s="1"/>
  <c r="G254" i="41"/>
  <c r="G253" i="41"/>
  <c r="G252" i="41"/>
  <c r="H252" i="41" s="1"/>
  <c r="G251" i="41"/>
  <c r="H251" i="41" s="1"/>
  <c r="T250" i="41"/>
  <c r="P250" i="41"/>
  <c r="G250" i="41"/>
  <c r="T249" i="41"/>
  <c r="P249" i="41"/>
  <c r="G249" i="41"/>
  <c r="J249" i="41" s="1"/>
  <c r="H248" i="41"/>
  <c r="P247" i="41"/>
  <c r="Q245" i="41"/>
  <c r="P245" i="41"/>
  <c r="U244" i="41"/>
  <c r="T244" i="41"/>
  <c r="R244" i="41"/>
  <c r="Q244" i="41"/>
  <c r="P244" i="41"/>
  <c r="J244" i="41"/>
  <c r="H244" i="41"/>
  <c r="P243" i="41"/>
  <c r="Q242" i="41"/>
  <c r="P242" i="41"/>
  <c r="T241" i="41"/>
  <c r="R241" i="41"/>
  <c r="Q241" i="41"/>
  <c r="P241" i="41"/>
  <c r="I241" i="41"/>
  <c r="J241" i="41" s="1"/>
  <c r="H241" i="41"/>
  <c r="H240" i="41"/>
  <c r="A240" i="41"/>
  <c r="A241" i="41" s="1"/>
  <c r="A244" i="41" s="1"/>
  <c r="A248" i="41" s="1"/>
  <c r="A249" i="41" s="1"/>
  <c r="A250" i="41" s="1"/>
  <c r="A251" i="41" s="1"/>
  <c r="A252" i="41" s="1"/>
  <c r="A253" i="41" s="1"/>
  <c r="A254" i="41" s="1"/>
  <c r="A255" i="41" s="1"/>
  <c r="A256" i="41" s="1"/>
  <c r="A257" i="41" s="1"/>
  <c r="A258" i="41" s="1"/>
  <c r="A259" i="41" s="1"/>
  <c r="A260" i="41" s="1"/>
  <c r="A261" i="41" s="1"/>
  <c r="A262" i="41" s="1"/>
  <c r="A263" i="41" s="1"/>
  <c r="A264" i="41" s="1"/>
  <c r="A265" i="41" s="1"/>
  <c r="A266" i="41" s="1"/>
  <c r="A267" i="41" s="1"/>
  <c r="A269" i="41" s="1"/>
  <c r="A270" i="41" s="1"/>
  <c r="A271" i="41" s="1"/>
  <c r="J239" i="41"/>
  <c r="I239" i="41"/>
  <c r="H239" i="41"/>
  <c r="H238" i="41"/>
  <c r="H237" i="41"/>
  <c r="H236" i="41"/>
  <c r="H235" i="41"/>
  <c r="I234" i="41"/>
  <c r="J234" i="41" s="1"/>
  <c r="H234" i="41"/>
  <c r="H233" i="41"/>
  <c r="H232" i="41"/>
  <c r="H231" i="41"/>
  <c r="J230" i="41"/>
  <c r="H230" i="41"/>
  <c r="T229" i="41"/>
  <c r="R229" i="41"/>
  <c r="P229" i="41"/>
  <c r="K229" i="41"/>
  <c r="J229" i="41"/>
  <c r="H229" i="41"/>
  <c r="H228" i="41"/>
  <c r="H227" i="41"/>
  <c r="H226" i="41"/>
  <c r="H225" i="41"/>
  <c r="H224" i="41"/>
  <c r="H223" i="41"/>
  <c r="H222" i="41"/>
  <c r="H221" i="41"/>
  <c r="H220" i="41"/>
  <c r="P219" i="41"/>
  <c r="T218" i="41"/>
  <c r="P218" i="41"/>
  <c r="I218" i="41"/>
  <c r="J218" i="41" s="1"/>
  <c r="H218" i="41"/>
  <c r="T216" i="41"/>
  <c r="P216" i="41"/>
  <c r="J216" i="41"/>
  <c r="I216" i="41"/>
  <c r="H216" i="41"/>
  <c r="P215" i="41"/>
  <c r="Q214" i="41"/>
  <c r="P214" i="41"/>
  <c r="T213" i="41"/>
  <c r="R213" i="41"/>
  <c r="K213" i="41" s="1"/>
  <c r="Q213" i="41"/>
  <c r="P213" i="41"/>
  <c r="J213" i="41"/>
  <c r="H213" i="41"/>
  <c r="H212" i="41"/>
  <c r="H211" i="41"/>
  <c r="I210" i="41"/>
  <c r="J210" i="41" s="1"/>
  <c r="H210" i="41"/>
  <c r="I209" i="41"/>
  <c r="J209" i="41" s="1"/>
  <c r="H209" i="41"/>
  <c r="P208" i="41"/>
  <c r="T207" i="41"/>
  <c r="P207" i="41"/>
  <c r="J207" i="41"/>
  <c r="H207" i="41"/>
  <c r="P206" i="41"/>
  <c r="T205" i="41"/>
  <c r="P205" i="41"/>
  <c r="J205" i="41"/>
  <c r="H205" i="41"/>
  <c r="H204" i="41"/>
  <c r="T202" i="41"/>
  <c r="R202" i="41"/>
  <c r="P202" i="41"/>
  <c r="K202" i="41"/>
  <c r="J202" i="41"/>
  <c r="H202" i="41"/>
  <c r="P201" i="41"/>
  <c r="T199" i="41"/>
  <c r="R199" i="41"/>
  <c r="Q199" i="41"/>
  <c r="P199" i="41"/>
  <c r="K199" i="41"/>
  <c r="J199" i="41"/>
  <c r="H199" i="41"/>
  <c r="H198" i="41"/>
  <c r="J197" i="41"/>
  <c r="I197" i="41"/>
  <c r="H197" i="41"/>
  <c r="P196" i="41"/>
  <c r="Q195" i="41"/>
  <c r="P195" i="41"/>
  <c r="T194" i="41"/>
  <c r="R194" i="41"/>
  <c r="Q194" i="41"/>
  <c r="P194" i="41"/>
  <c r="K194" i="41"/>
  <c r="J194" i="41"/>
  <c r="H194" i="41"/>
  <c r="P193" i="41"/>
  <c r="Q192" i="41"/>
  <c r="P192" i="41"/>
  <c r="T191" i="41"/>
  <c r="R191" i="41"/>
  <c r="Q191" i="41"/>
  <c r="P191" i="41"/>
  <c r="K191" i="41"/>
  <c r="J191" i="41"/>
  <c r="H191" i="41"/>
  <c r="P190" i="41"/>
  <c r="T189" i="41"/>
  <c r="R189" i="41"/>
  <c r="Q189" i="41"/>
  <c r="P189" i="41"/>
  <c r="J189" i="41"/>
  <c r="H189" i="41"/>
  <c r="P188" i="41"/>
  <c r="Q187" i="41"/>
  <c r="P187" i="41"/>
  <c r="T186" i="41"/>
  <c r="R186" i="41"/>
  <c r="Q186" i="41"/>
  <c r="P186" i="41"/>
  <c r="K186" i="41"/>
  <c r="J186" i="41"/>
  <c r="H186" i="41"/>
  <c r="H185" i="41"/>
  <c r="H184" i="41"/>
  <c r="T182" i="41"/>
  <c r="I182" i="41"/>
  <c r="J182" i="41" s="1"/>
  <c r="H182" i="41"/>
  <c r="H181" i="41"/>
  <c r="Q180" i="41"/>
  <c r="P180" i="41"/>
  <c r="Q179" i="41"/>
  <c r="P179" i="41"/>
  <c r="P178" i="41"/>
  <c r="Q177" i="41"/>
  <c r="P177" i="41"/>
  <c r="T176" i="41"/>
  <c r="R176" i="41"/>
  <c r="Q176" i="41"/>
  <c r="P176" i="41"/>
  <c r="J176" i="41"/>
  <c r="H176" i="41"/>
  <c r="K176" i="41" s="1"/>
  <c r="P175" i="41"/>
  <c r="V174" i="41"/>
  <c r="R174" i="41"/>
  <c r="Q174" i="41"/>
  <c r="P174" i="41"/>
  <c r="K174" i="41"/>
  <c r="J174" i="41"/>
  <c r="T173" i="41"/>
  <c r="P173" i="41"/>
  <c r="I173" i="41"/>
  <c r="J173" i="41" s="1"/>
  <c r="H173" i="41"/>
  <c r="H172" i="41"/>
  <c r="J171" i="41"/>
  <c r="H171" i="41"/>
  <c r="H170" i="41"/>
  <c r="H169" i="41"/>
  <c r="H168" i="41"/>
  <c r="H167" i="41"/>
  <c r="H166" i="41"/>
  <c r="H165" i="41"/>
  <c r="J164" i="41"/>
  <c r="I164" i="41"/>
  <c r="H164" i="41"/>
  <c r="H163" i="41"/>
  <c r="H162" i="41"/>
  <c r="H161" i="41"/>
  <c r="H160" i="41"/>
  <c r="T159" i="41"/>
  <c r="J159" i="41"/>
  <c r="H159" i="41"/>
  <c r="H158" i="41"/>
  <c r="H157" i="41"/>
  <c r="H156" i="41"/>
  <c r="T155" i="41"/>
  <c r="P155" i="41"/>
  <c r="J155" i="41"/>
  <c r="H155" i="41"/>
  <c r="P154" i="41"/>
  <c r="Q153" i="41"/>
  <c r="P153" i="41"/>
  <c r="T152" i="41"/>
  <c r="Q152" i="41"/>
  <c r="P152" i="41"/>
  <c r="J152" i="41"/>
  <c r="I152" i="41"/>
  <c r="H152" i="41"/>
  <c r="T151" i="41"/>
  <c r="P151" i="41"/>
  <c r="I151" i="41"/>
  <c r="H151" i="41"/>
  <c r="H150" i="41"/>
  <c r="P149" i="41"/>
  <c r="T148" i="41"/>
  <c r="Q148" i="41"/>
  <c r="P148" i="41"/>
  <c r="J148" i="41"/>
  <c r="I148" i="41"/>
  <c r="H148" i="41"/>
  <c r="P145" i="41"/>
  <c r="T144" i="41"/>
  <c r="P144" i="41"/>
  <c r="I144" i="41"/>
  <c r="J144" i="41" s="1"/>
  <c r="H144" i="41"/>
  <c r="Q142" i="41"/>
  <c r="P142" i="41"/>
  <c r="Q141" i="41"/>
  <c r="P141" i="41"/>
  <c r="T140" i="41"/>
  <c r="Q140" i="41"/>
  <c r="P140" i="41"/>
  <c r="J140" i="41"/>
  <c r="H140" i="41"/>
  <c r="P139" i="41"/>
  <c r="T138" i="41"/>
  <c r="R138" i="41"/>
  <c r="Q138" i="41"/>
  <c r="P138" i="41"/>
  <c r="K138" i="41"/>
  <c r="J138" i="41"/>
  <c r="H138" i="41"/>
  <c r="P137" i="41"/>
  <c r="T136" i="41"/>
  <c r="Q136" i="41"/>
  <c r="P136" i="41"/>
  <c r="J136" i="41"/>
  <c r="H136" i="41"/>
  <c r="P135" i="41"/>
  <c r="Q134" i="41"/>
  <c r="P134" i="41"/>
  <c r="Q133" i="41"/>
  <c r="P133" i="41"/>
  <c r="T132" i="41"/>
  <c r="R132" i="41"/>
  <c r="Q132" i="41"/>
  <c r="P132" i="41"/>
  <c r="I132" i="41"/>
  <c r="J132" i="41" s="1"/>
  <c r="H132" i="41"/>
  <c r="H131" i="41"/>
  <c r="H130" i="41"/>
  <c r="H129" i="41"/>
  <c r="T127" i="41"/>
  <c r="R127" i="41"/>
  <c r="K127" i="41"/>
  <c r="I127" i="41"/>
  <c r="J127" i="41" s="1"/>
  <c r="H127" i="41"/>
  <c r="T123" i="41"/>
  <c r="R123" i="41"/>
  <c r="K123" i="41"/>
  <c r="J123" i="41"/>
  <c r="I123" i="41"/>
  <c r="H123" i="41"/>
  <c r="H122" i="41"/>
  <c r="H121" i="41"/>
  <c r="H120" i="41"/>
  <c r="H119" i="41"/>
  <c r="H118" i="41"/>
  <c r="T117" i="41"/>
  <c r="R117" i="41"/>
  <c r="I117" i="41"/>
  <c r="J117" i="41" s="1"/>
  <c r="H117" i="41"/>
  <c r="H116" i="41"/>
  <c r="H115" i="41"/>
  <c r="H114" i="41"/>
  <c r="P113" i="41"/>
  <c r="J113" i="41"/>
  <c r="H113" i="41"/>
  <c r="H112" i="41"/>
  <c r="H111" i="41"/>
  <c r="H110" i="41"/>
  <c r="H109" i="41"/>
  <c r="H108" i="41"/>
  <c r="H107" i="41"/>
  <c r="H106" i="41"/>
  <c r="H105" i="41"/>
  <c r="P104" i="41"/>
  <c r="I104" i="41"/>
  <c r="J104" i="41" s="1"/>
  <c r="H104" i="41"/>
  <c r="P103" i="41"/>
  <c r="T102" i="41"/>
  <c r="R102" i="41"/>
  <c r="Q102" i="41"/>
  <c r="P102" i="41"/>
  <c r="K102" i="41"/>
  <c r="I102" i="41"/>
  <c r="J102" i="41" s="1"/>
  <c r="H102" i="41"/>
  <c r="P101" i="41"/>
  <c r="Q100" i="41"/>
  <c r="P100" i="41"/>
  <c r="V99" i="41"/>
  <c r="T99" i="41"/>
  <c r="S99" i="41"/>
  <c r="R99" i="41"/>
  <c r="K99" i="41" s="1"/>
  <c r="Q99" i="41"/>
  <c r="P99" i="41"/>
  <c r="J99" i="41"/>
  <c r="H99" i="41"/>
  <c r="P98" i="41"/>
  <c r="T97" i="41"/>
  <c r="Q97" i="41"/>
  <c r="P97" i="41"/>
  <c r="I97" i="41"/>
  <c r="J97" i="41" s="1"/>
  <c r="H97" i="41"/>
  <c r="H96" i="41"/>
  <c r="H95" i="41"/>
  <c r="I94" i="41"/>
  <c r="J94" i="41" s="1"/>
  <c r="H94" i="41"/>
  <c r="I93" i="41"/>
  <c r="J93" i="41" s="1"/>
  <c r="H93" i="41"/>
  <c r="H92" i="41"/>
  <c r="H91" i="41"/>
  <c r="H90" i="41"/>
  <c r="P88" i="41"/>
  <c r="I88" i="41"/>
  <c r="J88" i="41" s="1"/>
  <c r="H88" i="41"/>
  <c r="T86" i="41"/>
  <c r="P86" i="41"/>
  <c r="J86" i="41"/>
  <c r="I86" i="41"/>
  <c r="H86" i="41"/>
  <c r="T84" i="41"/>
  <c r="P84" i="41"/>
  <c r="I84" i="41"/>
  <c r="J84" i="41" s="1"/>
  <c r="H84" i="41"/>
  <c r="J82" i="41"/>
  <c r="I82" i="41"/>
  <c r="H82" i="41"/>
  <c r="P80" i="41"/>
  <c r="Q78" i="41"/>
  <c r="P78" i="41"/>
  <c r="J78" i="41"/>
  <c r="H78" i="41"/>
  <c r="T75" i="41"/>
  <c r="J75" i="41"/>
  <c r="H75" i="41"/>
  <c r="T72" i="41"/>
  <c r="P72" i="41"/>
  <c r="J72" i="41"/>
  <c r="H72" i="41"/>
  <c r="H71" i="41"/>
  <c r="H70" i="41"/>
  <c r="H69" i="41"/>
  <c r="H68" i="41"/>
  <c r="H67" i="41"/>
  <c r="H66" i="41"/>
  <c r="P65" i="41"/>
  <c r="T64" i="41"/>
  <c r="R64" i="41"/>
  <c r="K64" i="41" s="1"/>
  <c r="Q64" i="41"/>
  <c r="P64" i="41"/>
  <c r="I64" i="41"/>
  <c r="J64" i="41" s="1"/>
  <c r="H64" i="41"/>
  <c r="T63" i="41"/>
  <c r="R63" i="41"/>
  <c r="I63" i="41"/>
  <c r="J63" i="41" s="1"/>
  <c r="H63" i="41"/>
  <c r="K63" i="41" s="1"/>
  <c r="H62" i="41"/>
  <c r="P60" i="41"/>
  <c r="Q59" i="41"/>
  <c r="P59" i="41"/>
  <c r="Q58" i="41"/>
  <c r="P58" i="41"/>
  <c r="T57" i="41"/>
  <c r="Q57" i="41"/>
  <c r="P57" i="41"/>
  <c r="J57" i="41"/>
  <c r="H57" i="41"/>
  <c r="R56" i="41"/>
  <c r="P56" i="41"/>
  <c r="K56" i="41"/>
  <c r="J56" i="41"/>
  <c r="H56" i="41"/>
  <c r="T55" i="41"/>
  <c r="P55" i="41"/>
  <c r="J55" i="41"/>
  <c r="H55" i="41"/>
  <c r="P54" i="41"/>
  <c r="J54" i="41"/>
  <c r="H54" i="41"/>
  <c r="K54" i="41" s="1"/>
  <c r="P53" i="41"/>
  <c r="T52" i="41"/>
  <c r="R52" i="41"/>
  <c r="Q52" i="41"/>
  <c r="P52" i="41"/>
  <c r="K52" i="41"/>
  <c r="J52" i="41"/>
  <c r="H52" i="41"/>
  <c r="P51" i="41"/>
  <c r="P50" i="41"/>
  <c r="P49" i="41"/>
  <c r="Q48" i="41"/>
  <c r="P48" i="41"/>
  <c r="Q47" i="41"/>
  <c r="P47" i="41"/>
  <c r="T46" i="41"/>
  <c r="R46" i="41"/>
  <c r="K46" i="41" s="1"/>
  <c r="Q46" i="41"/>
  <c r="P46" i="41"/>
  <c r="J46" i="41"/>
  <c r="H46" i="41"/>
  <c r="P45" i="41"/>
  <c r="T44" i="41"/>
  <c r="Q44" i="41"/>
  <c r="P44" i="41"/>
  <c r="J44" i="41"/>
  <c r="H44" i="41"/>
  <c r="K44" i="41" s="1"/>
  <c r="P43" i="41"/>
  <c r="T42" i="41"/>
  <c r="R42" i="41"/>
  <c r="Q42" i="41"/>
  <c r="P42" i="41"/>
  <c r="K42" i="41"/>
  <c r="J42" i="41"/>
  <c r="H42" i="41"/>
  <c r="P41" i="41"/>
  <c r="P40" i="41"/>
  <c r="P39" i="41"/>
  <c r="Q38" i="41"/>
  <c r="P38" i="41"/>
  <c r="Q37" i="41"/>
  <c r="P37" i="41"/>
  <c r="V36" i="41"/>
  <c r="T36" i="41"/>
  <c r="R36" i="41"/>
  <c r="Q36" i="41"/>
  <c r="P36" i="41"/>
  <c r="J36" i="41"/>
  <c r="H36" i="41"/>
  <c r="T34" i="41"/>
  <c r="R34" i="41"/>
  <c r="Q34" i="41"/>
  <c r="P34" i="41"/>
  <c r="K34" i="41"/>
  <c r="J34" i="41"/>
  <c r="H34" i="41"/>
  <c r="T32" i="41"/>
  <c r="R32" i="41"/>
  <c r="Q32" i="41"/>
  <c r="P32" i="41"/>
  <c r="J32" i="41"/>
  <c r="H32" i="41"/>
  <c r="P31" i="41"/>
  <c r="Q30" i="41"/>
  <c r="P30" i="41"/>
  <c r="T29" i="41"/>
  <c r="R29" i="41"/>
  <c r="K29" i="41" s="1"/>
  <c r="Q29" i="41"/>
  <c r="P29" i="41"/>
  <c r="J29" i="41"/>
  <c r="H29" i="41"/>
  <c r="H28" i="41"/>
  <c r="H27" i="41"/>
  <c r="T26" i="41"/>
  <c r="R26" i="41"/>
  <c r="P26" i="41"/>
  <c r="K26" i="41"/>
  <c r="J26" i="41"/>
  <c r="H26" i="41"/>
  <c r="P25" i="41"/>
  <c r="Q24" i="41"/>
  <c r="P24" i="41"/>
  <c r="V23" i="41"/>
  <c r="T23" i="41"/>
  <c r="R23" i="41"/>
  <c r="Q23" i="41"/>
  <c r="P23" i="41"/>
  <c r="J23" i="41"/>
  <c r="H23" i="41"/>
  <c r="K23" i="41" s="1"/>
  <c r="T19" i="41"/>
  <c r="R19" i="41"/>
  <c r="Q19" i="41"/>
  <c r="P19" i="41"/>
  <c r="J19" i="41"/>
  <c r="H19" i="41"/>
  <c r="T17" i="41"/>
  <c r="P17" i="41"/>
  <c r="I17" i="41"/>
  <c r="J17" i="41" s="1"/>
  <c r="H17" i="41"/>
  <c r="P16" i="41"/>
  <c r="T15" i="41"/>
  <c r="R15" i="41"/>
  <c r="K15" i="41" s="1"/>
  <c r="Q15" i="41"/>
  <c r="P15" i="41"/>
  <c r="J15" i="41"/>
  <c r="H15" i="41"/>
  <c r="P14" i="41"/>
  <c r="V13" i="41"/>
  <c r="R13" i="41"/>
  <c r="K13" i="41" s="1"/>
  <c r="Q13" i="41"/>
  <c r="P13" i="41"/>
  <c r="J13" i="41"/>
  <c r="H13" i="41"/>
  <c r="J12" i="41"/>
  <c r="H12" i="41"/>
  <c r="P11" i="41"/>
  <c r="T10" i="41"/>
  <c r="R10" i="41"/>
  <c r="Q10" i="41"/>
  <c r="P10" i="41"/>
  <c r="J10" i="41"/>
  <c r="H10" i="41"/>
  <c r="H9" i="41"/>
  <c r="P8" i="41"/>
  <c r="V7" i="41"/>
  <c r="T7" i="41"/>
  <c r="S7" i="41"/>
  <c r="R7" i="41"/>
  <c r="Q7" i="41"/>
  <c r="P7" i="41"/>
  <c r="J7" i="41"/>
  <c r="H7" i="41"/>
  <c r="Q5" i="41"/>
  <c r="P5" i="41"/>
  <c r="Q4" i="41"/>
  <c r="P4" i="41"/>
  <c r="J3" i="41"/>
  <c r="H3" i="41"/>
  <c r="V1" i="41"/>
  <c r="V138" i="41" s="1"/>
  <c r="I1" i="41"/>
  <c r="K119" i="41" s="1"/>
  <c r="K274" i="41" l="1"/>
  <c r="J274" i="41"/>
  <c r="J233" i="41"/>
  <c r="K70" i="41"/>
  <c r="J260" i="41"/>
  <c r="J158" i="41"/>
  <c r="J221" i="41"/>
  <c r="K150" i="41"/>
  <c r="J150" i="41"/>
  <c r="K168" i="41"/>
  <c r="J212" i="41"/>
  <c r="K107" i="41"/>
  <c r="K28" i="41"/>
  <c r="J107" i="41"/>
  <c r="K95" i="41"/>
  <c r="K248" i="41"/>
  <c r="J163" i="41"/>
  <c r="J248" i="41"/>
  <c r="Q202" i="41"/>
  <c r="K239" i="41"/>
  <c r="K71" i="41"/>
  <c r="J95" i="41"/>
  <c r="K216" i="41"/>
  <c r="K90" i="41"/>
  <c r="K233" i="41"/>
  <c r="Q277" i="41"/>
  <c r="K262" i="41"/>
  <c r="J237" i="41"/>
  <c r="K223" i="41"/>
  <c r="J161" i="41"/>
  <c r="K144" i="41"/>
  <c r="J121" i="41"/>
  <c r="K116" i="41"/>
  <c r="J111" i="41"/>
  <c r="J105" i="41"/>
  <c r="Q98" i="41"/>
  <c r="K72" i="41"/>
  <c r="J67" i="41"/>
  <c r="Q55" i="41"/>
  <c r="Q17" i="41"/>
  <c r="J268" i="41"/>
  <c r="J231" i="41"/>
  <c r="J228" i="41"/>
  <c r="Q205" i="41"/>
  <c r="K197" i="41"/>
  <c r="K182" i="41"/>
  <c r="J170" i="41"/>
  <c r="J165" i="41"/>
  <c r="J156" i="41"/>
  <c r="K152" i="41"/>
  <c r="Q84" i="41"/>
  <c r="V272" i="41"/>
  <c r="K261" i="41"/>
  <c r="Q249" i="41"/>
  <c r="J240" i="41"/>
  <c r="J236" i="41"/>
  <c r="J222" i="41"/>
  <c r="P209" i="41"/>
  <c r="K160" i="41"/>
  <c r="J120" i="41"/>
  <c r="J115" i="41"/>
  <c r="K110" i="41"/>
  <c r="K66" i="41"/>
  <c r="K55" i="41"/>
  <c r="J261" i="41"/>
  <c r="P230" i="41"/>
  <c r="K227" i="41"/>
  <c r="K205" i="41"/>
  <c r="Q193" i="41"/>
  <c r="Q173" i="41"/>
  <c r="J169" i="41"/>
  <c r="K164" i="41"/>
  <c r="P143" i="41"/>
  <c r="K131" i="41"/>
  <c r="K93" i="41"/>
  <c r="P87" i="41"/>
  <c r="K84" i="41"/>
  <c r="J71" i="41"/>
  <c r="L62" i="41"/>
  <c r="K57" i="41"/>
  <c r="P6" i="41"/>
  <c r="Q272" i="41"/>
  <c r="K235" i="41"/>
  <c r="K230" i="41"/>
  <c r="K221" i="41"/>
  <c r="Q216" i="41"/>
  <c r="J181" i="41"/>
  <c r="P35" i="41"/>
  <c r="P61" i="41"/>
  <c r="P85" i="41"/>
  <c r="J90" i="41"/>
  <c r="K96" i="41"/>
  <c r="J114" i="41"/>
  <c r="K159" i="41"/>
  <c r="J184" i="41"/>
  <c r="P239" i="41"/>
  <c r="J269" i="41"/>
  <c r="K275" i="41"/>
  <c r="Q11" i="41"/>
  <c r="J96" i="41"/>
  <c r="J108" i="41"/>
  <c r="K114" i="41"/>
  <c r="P146" i="41"/>
  <c r="K184" i="41"/>
  <c r="K204" i="41"/>
  <c r="Q208" i="41"/>
  <c r="K265" i="41"/>
  <c r="K62" i="41"/>
  <c r="Q80" i="41"/>
  <c r="K91" i="41"/>
  <c r="K109" i="41"/>
  <c r="K121" i="41"/>
  <c r="P159" i="41"/>
  <c r="K185" i="41"/>
  <c r="J204" i="41"/>
  <c r="K234" i="41"/>
  <c r="J270" i="41"/>
  <c r="K97" i="41"/>
  <c r="K104" i="41"/>
  <c r="J122" i="41"/>
  <c r="J166" i="41"/>
  <c r="K172" i="41"/>
  <c r="P20" i="41"/>
  <c r="J68" i="41"/>
  <c r="K129" i="41"/>
  <c r="K166" i="41"/>
  <c r="J172" i="41"/>
  <c r="Q218" i="41"/>
  <c r="J225" i="41"/>
  <c r="Q250" i="41"/>
  <c r="J257" i="41"/>
  <c r="K266" i="41"/>
  <c r="K10" i="41"/>
  <c r="K68" i="41"/>
  <c r="K130" i="41"/>
  <c r="K167" i="41"/>
  <c r="P210" i="41"/>
  <c r="K225" i="41"/>
  <c r="K238" i="41"/>
  <c r="K257" i="41"/>
  <c r="J266" i="41"/>
  <c r="K69" i="41"/>
  <c r="K82" i="41"/>
  <c r="J112" i="41"/>
  <c r="J130" i="41"/>
  <c r="J162" i="41"/>
  <c r="K181" i="41"/>
  <c r="K211" i="41"/>
  <c r="K226" i="41"/>
  <c r="J238" i="41"/>
  <c r="K251" i="41"/>
  <c r="K258" i="41"/>
  <c r="J69" i="41"/>
  <c r="K113" i="41"/>
  <c r="K118" i="41"/>
  <c r="J157" i="41"/>
  <c r="K162" i="41"/>
  <c r="K173" i="41"/>
  <c r="K207" i="41"/>
  <c r="J211" i="41"/>
  <c r="K220" i="41"/>
  <c r="J226" i="41"/>
  <c r="K259" i="41"/>
  <c r="J62" i="41"/>
  <c r="K270" i="41"/>
  <c r="K224" i="41"/>
  <c r="V32" i="41"/>
  <c r="Q72" i="41"/>
  <c r="P81" i="41"/>
  <c r="K92" i="41"/>
  <c r="J109" i="41"/>
  <c r="K122" i="41"/>
  <c r="Q151" i="41"/>
  <c r="V171" i="41"/>
  <c r="J185" i="41"/>
  <c r="J224" i="41"/>
  <c r="P264" i="41"/>
  <c r="K271" i="41"/>
  <c r="K12" i="41"/>
  <c r="P33" i="41"/>
  <c r="K86" i="41"/>
  <c r="J92" i="41"/>
  <c r="K148" i="41"/>
  <c r="Q86" i="41"/>
  <c r="K75" i="41"/>
  <c r="J167" i="41"/>
  <c r="K106" i="41"/>
  <c r="J118" i="41"/>
  <c r="J131" i="41"/>
  <c r="K157" i="41"/>
  <c r="K163" i="41"/>
  <c r="J168" i="41"/>
  <c r="J198" i="41"/>
  <c r="J220" i="41"/>
  <c r="J232" i="41"/>
  <c r="K252" i="41"/>
  <c r="K260" i="41"/>
  <c r="J254" i="41"/>
  <c r="K267" i="41"/>
  <c r="K17" i="41"/>
  <c r="K115" i="41"/>
  <c r="K120" i="41"/>
  <c r="K136" i="41"/>
  <c r="K222" i="41"/>
  <c r="K236" i="41"/>
  <c r="K255" i="41"/>
  <c r="K88" i="41"/>
  <c r="K156" i="41"/>
  <c r="K170" i="41"/>
  <c r="K218" i="41"/>
  <c r="K228" i="41"/>
  <c r="K256" i="41"/>
  <c r="K268" i="41"/>
  <c r="K67" i="41"/>
  <c r="K105" i="41"/>
  <c r="K111" i="41"/>
  <c r="K161" i="41"/>
  <c r="K171" i="41"/>
  <c r="K198" i="41"/>
  <c r="K232" i="41"/>
  <c r="H254" i="41"/>
  <c r="K254" i="41" s="1"/>
  <c r="J271" i="41"/>
  <c r="V194" i="41"/>
  <c r="V191" i="41"/>
  <c r="V152" i="41"/>
  <c r="V15" i="41"/>
  <c r="V276" i="41"/>
  <c r="V29" i="41"/>
  <c r="V19" i="41"/>
  <c r="V136" i="41"/>
  <c r="V155" i="41"/>
  <c r="K117" i="41"/>
  <c r="K132" i="41"/>
  <c r="H249" i="41"/>
  <c r="K249" i="41" s="1"/>
  <c r="J253" i="41"/>
  <c r="H253" i="41"/>
  <c r="K253" i="41" s="1"/>
  <c r="J250" i="41"/>
  <c r="H250" i="41"/>
  <c r="K36" i="41"/>
  <c r="K7" i="41"/>
  <c r="J255" i="41"/>
  <c r="V17" i="41"/>
  <c r="K264" i="41"/>
  <c r="V42" i="41"/>
  <c r="K189" i="41"/>
  <c r="K244" i="41"/>
  <c r="V34" i="41"/>
  <c r="V140" i="41"/>
  <c r="K19" i="41"/>
  <c r="K32" i="41"/>
  <c r="V97" i="41"/>
  <c r="K241" i="41"/>
  <c r="K78" i="41"/>
  <c r="J91" i="41"/>
  <c r="K94" i="41"/>
  <c r="J106" i="41"/>
  <c r="J110" i="41"/>
  <c r="Q137" i="41"/>
  <c r="K140" i="41"/>
  <c r="K155" i="41"/>
  <c r="K158" i="41"/>
  <c r="K165" i="41"/>
  <c r="K169" i="41"/>
  <c r="Q207" i="41"/>
  <c r="K210" i="41"/>
  <c r="K231" i="41"/>
  <c r="J235" i="41"/>
  <c r="K250" i="41"/>
  <c r="J252" i="41"/>
  <c r="J259" i="41"/>
  <c r="J262" i="41"/>
  <c r="J265" i="41"/>
  <c r="P267" i="41"/>
  <c r="K27" i="41"/>
  <c r="J66" i="41"/>
  <c r="J70" i="41"/>
  <c r="P89" i="41"/>
  <c r="Q104" i="41"/>
  <c r="K108" i="41"/>
  <c r="K112" i="41"/>
  <c r="J116" i="41"/>
  <c r="J119" i="41"/>
  <c r="J129" i="41"/>
  <c r="K151" i="41"/>
  <c r="J160" i="41"/>
  <c r="P171" i="41"/>
  <c r="Q206" i="41"/>
  <c r="K209" i="41"/>
  <c r="K212" i="41"/>
  <c r="J223" i="41"/>
  <c r="J227" i="41"/>
  <c r="K237" i="41"/>
  <c r="K240" i="41"/>
  <c r="J251" i="41"/>
  <c r="J258" i="41"/>
  <c r="K269" i="41"/>
  <c r="K272" i="4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D23" i="8" s="1"/>
  <c r="S14" i="11"/>
  <c r="Q14" i="11" s="1"/>
  <c r="D21" i="8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<sst xmlns="http://schemas.openxmlformats.org/spreadsheetml/2006/main" count="2582" uniqueCount="859">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</sst>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</fills>
  <borders count="4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6" fillId="0" borderId="0" xfId="0" applyFont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0" fontId="47" fillId="22" borderId="41" xfId="0" applyFont="1" applyFill="1" applyBorder="1" applyAlignment="1">
      <alignment horizontal="center" vertical="center"/>
    </xf>
    <xf numFmtId="14" fontId="48" fillId="26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14" fontId="49" fillId="0" borderId="41" xfId="0" applyNumberFormat="1" applyFont="1" applyBorder="1" applyAlignment="1">
      <alignment horizontal="center" vertical="center"/>
    </xf>
    <xf numFmtId="14" fontId="47" fillId="0" borderId="41" xfId="0" applyNumberFormat="1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4" borderId="41" xfId="7" applyFont="1" applyFill="1" applyBorder="1" applyAlignment="1">
      <alignment vertical="center" wrapText="1"/>
    </xf>
    <xf numFmtId="164" fontId="49" fillId="24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5" fontId="49" fillId="21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164" fontId="49" fillId="29" borderId="45" xfId="0" applyNumberFormat="1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0" applyFont="1" applyFill="1" applyBorder="1" applyAlignment="1">
      <alignment horizontal="center" vertical="center"/>
    </xf>
    <xf numFmtId="15" fontId="49" fillId="29" borderId="45" xfId="0" applyNumberFormat="1" applyFont="1" applyFill="1" applyBorder="1" applyAlignment="1">
      <alignment horizontal="center" vertical="center"/>
    </xf>
    <xf numFmtId="15" fontId="49" fillId="29" borderId="46" xfId="0" applyNumberFormat="1" applyFont="1" applyFill="1" applyBorder="1" applyAlignment="1">
      <alignment horizontal="center" vertical="center"/>
    </xf>
    <xf numFmtId="16" fontId="49" fillId="29" borderId="41" xfId="0" applyNumberFormat="1" applyFont="1" applyFill="1" applyBorder="1" applyAlignment="1">
      <alignment horizontal="center" vertical="center"/>
    </xf>
    <xf numFmtId="15" fontId="49" fillId="29" borderId="47" xfId="0" applyNumberFormat="1" applyFont="1" applyFill="1" applyBorder="1" applyAlignment="1">
      <alignment horizontal="center" vertical="center"/>
    </xf>
    <xf numFmtId="16" fontId="49" fillId="21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vertical="center" wrapText="1"/>
    </xf>
    <xf numFmtId="0" fontId="49" fillId="0" borderId="41" xfId="0" applyFont="1" applyBorder="1" applyAlignment="1">
      <alignment vertical="center" wrapText="1"/>
    </xf>
    <xf numFmtId="0" fontId="49" fillId="21" borderId="41" xfId="0" applyFont="1" applyFill="1" applyBorder="1" applyAlignment="1">
      <alignment vertical="center"/>
    </xf>
    <xf numFmtId="0" fontId="49" fillId="0" borderId="41" xfId="0" applyFont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0" fontId="49" fillId="25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5" borderId="41" xfId="0" applyFont="1" applyFill="1" applyBorder="1" applyAlignment="1">
      <alignment horizontal="center" vertical="center" wrapText="1"/>
    </xf>
    <xf numFmtId="2" fontId="49" fillId="0" borderId="41" xfId="0" applyNumberFormat="1" applyFont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4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left" vertical="center" wrapText="1"/>
    </xf>
    <xf numFmtId="0" fontId="49" fillId="25" borderId="41" xfId="0" applyFont="1" applyFill="1" applyBorder="1" applyAlignment="1">
      <alignment horizontal="left" vertical="center" wrapText="1"/>
    </xf>
    <xf numFmtId="15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wrapText="1"/>
    </xf>
    <xf numFmtId="0" fontId="49" fillId="0" borderId="41" xfId="0" applyFont="1" applyBorder="1" applyAlignment="1">
      <alignment vertical="center" wrapText="1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16" fontId="49" fillId="21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E21" sqref="E21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6328125" hidden="1" customWidth="1"/>
    <col min="15" max="15" width="5.1796875" hidden="1" customWidth="1"/>
  </cols>
  <sheetData>
    <row r="1" spans="1:15" s="10" customFormat="1" ht="37" customHeight="1" x14ac:dyDescent="0.35">
      <c r="A1" s="266" t="s">
        <v>52</v>
      </c>
      <c r="B1" s="267"/>
      <c r="C1" s="267"/>
      <c r="D1" s="267"/>
      <c r="E1" s="267"/>
      <c r="F1" s="267"/>
      <c r="G1" s="268"/>
      <c r="H1" s="268"/>
      <c r="I1" s="268"/>
      <c r="J1" s="268"/>
      <c r="K1" s="268"/>
      <c r="L1" s="269"/>
    </row>
    <row r="2" spans="1:15" s="13" customFormat="1" ht="12" x14ac:dyDescent="0.35">
      <c r="A2" s="117" t="s">
        <v>48</v>
      </c>
      <c r="B2" s="258" t="s">
        <v>49</v>
      </c>
      <c r="C2" s="259"/>
      <c r="D2" s="259"/>
      <c r="E2" s="259"/>
      <c r="F2" s="259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260">
        <v>390</v>
      </c>
      <c r="C3" s="261"/>
      <c r="D3" s="261"/>
      <c r="E3" s="261"/>
      <c r="F3" s="262"/>
      <c r="G3" s="114"/>
      <c r="H3" s="114"/>
      <c r="I3" s="114"/>
      <c r="J3" s="114"/>
      <c r="K3" s="114"/>
      <c r="L3" s="115"/>
      <c r="N3" s="141">
        <v>45887</v>
      </c>
      <c r="O3" s="141">
        <v>45870</v>
      </c>
    </row>
    <row r="4" spans="1:15" s="13" customFormat="1" ht="12" x14ac:dyDescent="0.35">
      <c r="A4" s="116" t="s">
        <v>51</v>
      </c>
      <c r="B4" s="263">
        <v>45694</v>
      </c>
      <c r="C4" s="264"/>
      <c r="D4" s="264"/>
      <c r="E4" s="264"/>
      <c r="F4" s="265"/>
      <c r="G4" s="114"/>
      <c r="H4" s="114"/>
      <c r="I4" s="114"/>
      <c r="J4" s="114"/>
      <c r="K4" s="114"/>
      <c r="L4" s="115"/>
      <c r="N4" s="141">
        <f>N3+5</f>
        <v>45892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45887</v>
      </c>
      <c r="C6" s="12"/>
      <c r="D6" s="12"/>
      <c r="E6" s="12"/>
      <c r="F6" s="120"/>
      <c r="G6" s="114"/>
      <c r="H6" s="114"/>
      <c r="I6" s="114"/>
      <c r="J6" s="114"/>
      <c r="K6" s="163">
        <f>N3</f>
        <v>45887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45892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883.2</v>
      </c>
      <c r="E11" s="6">
        <f>B11-D11</f>
        <v>149.79999999999995</v>
      </c>
      <c r="F11" s="165">
        <v>0.01</v>
      </c>
      <c r="G11" s="113">
        <f>F11*H11</f>
        <v>8.549854791868346E-3</v>
      </c>
      <c r="H11" s="18">
        <f>D11/B11</f>
        <v>0.85498547918683454</v>
      </c>
      <c r="I11" s="7">
        <f>SUMIF('Construction Status'!$U$2:$DF$2,'Construction DASHBOARD'!$B$6,'Construction Status'!U4:DF4)</f>
        <v>0</v>
      </c>
      <c r="J11" s="7">
        <v>1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45859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879.8</v>
      </c>
      <c r="E12" s="6">
        <f>B12-D12</f>
        <v>153.20000000000005</v>
      </c>
      <c r="F12" s="165">
        <v>0.01</v>
      </c>
      <c r="G12" s="113">
        <f>F12*H12</f>
        <v>8.5169409486931264E-3</v>
      </c>
      <c r="H12" s="18">
        <f>D12/B12</f>
        <v>0.85169409486931269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/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45860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45861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45862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45863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45864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>
        <v>45865</v>
      </c>
      <c r="O18" s="3">
        <v>1</v>
      </c>
    </row>
    <row r="19" spans="1:15" s="3" customFormat="1" ht="16" x14ac:dyDescent="0.35">
      <c r="A19" s="68" t="s">
        <v>818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>
        <v>45866</v>
      </c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>
        <v>45867</v>
      </c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4467</v>
      </c>
      <c r="E21" s="6">
        <f t="shared" si="0"/>
        <v>112033</v>
      </c>
      <c r="F21" s="165">
        <v>0.21</v>
      </c>
      <c r="G21" s="113">
        <f t="shared" si="1"/>
        <v>8.0521030042918461E-3</v>
      </c>
      <c r="H21" s="18">
        <f t="shared" si="2"/>
        <v>3.8343347639484979E-2</v>
      </c>
      <c r="I21" s="7"/>
      <c r="J21" s="7">
        <v>900</v>
      </c>
      <c r="K21" s="7"/>
      <c r="L21" s="7"/>
      <c r="N21" s="159">
        <v>45868</v>
      </c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59">
        <v>45869</v>
      </c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f>'Construction Status'!Q15</f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5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59"/>
      <c r="O24" s="3">
        <v>4</v>
      </c>
    </row>
    <row r="25" spans="1:15" ht="17.149999999999999" customHeight="1" x14ac:dyDescent="0.35">
      <c r="A25" s="219" t="s">
        <v>23</v>
      </c>
      <c r="B25" s="8"/>
      <c r="C25" s="8" t="s">
        <v>204</v>
      </c>
      <c r="D25" s="6">
        <f>'Construction Status'!Q17</f>
        <v>0</v>
      </c>
      <c r="E25" s="9"/>
      <c r="F25" s="165">
        <v>0.02</v>
      </c>
      <c r="G25" s="113"/>
      <c r="H25" s="18"/>
      <c r="I25" s="8"/>
      <c r="J25" s="8"/>
      <c r="K25" s="8"/>
      <c r="L25" s="8"/>
      <c r="N25" s="159"/>
      <c r="O25" s="3">
        <v>4</v>
      </c>
    </row>
    <row r="26" spans="1:15" ht="17.149999999999999" customHeight="1" x14ac:dyDescent="0.35">
      <c r="A26" s="219" t="s">
        <v>841</v>
      </c>
      <c r="B26" s="8">
        <v>21000</v>
      </c>
      <c r="C26" s="8" t="s">
        <v>834</v>
      </c>
      <c r="D26" s="6">
        <f>'Construction Status'!Q35</f>
        <v>3969</v>
      </c>
      <c r="E26" s="9"/>
      <c r="F26" s="165">
        <v>0.02</v>
      </c>
      <c r="G26" s="113">
        <f t="shared" si="1"/>
        <v>3.7799999999999999E-3</v>
      </c>
      <c r="H26" s="18">
        <f t="shared" si="2"/>
        <v>0.189</v>
      </c>
      <c r="I26" s="8"/>
      <c r="J26" s="8">
        <v>500</v>
      </c>
      <c r="K26" s="8"/>
      <c r="L26" s="8"/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5.3898898744853325E-2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5.3898898744853325E-2</v>
      </c>
    </row>
    <row r="73" spans="2:3" x14ac:dyDescent="0.35">
      <c r="B73" s="20" t="s">
        <v>8</v>
      </c>
      <c r="C73" s="21">
        <f>C71-C72</f>
        <v>0.9461011012551469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AD87-B9D3-4E1C-979A-A5D747BC4798}">
  <dimension ref="A1:V278"/>
  <sheetViews>
    <sheetView workbookViewId="0">
      <selection activeCell="I2" sqref="I2"/>
    </sheetView>
  </sheetViews>
  <sheetFormatPr defaultRowHeight="14.5" x14ac:dyDescent="0.35"/>
  <cols>
    <col min="4" max="4" width="17.7265625" customWidth="1"/>
    <col min="5" max="5" width="21.7265625" bestFit="1" customWidth="1"/>
    <col min="7" max="7" width="11.36328125" customWidth="1"/>
    <col min="8" max="8" width="13.453125" customWidth="1"/>
    <col min="9" max="9" width="12.08984375" customWidth="1"/>
    <col min="13" max="14" width="9.36328125" bestFit="1" customWidth="1"/>
    <col min="21" max="21" width="21.6328125" bestFit="1" customWidth="1"/>
    <col min="22" max="22" width="0" hidden="1" customWidth="1"/>
  </cols>
  <sheetData>
    <row r="1" spans="1:22" x14ac:dyDescent="0.35">
      <c r="A1" s="327" t="s">
        <v>842</v>
      </c>
      <c r="B1" s="327"/>
      <c r="C1" s="327"/>
      <c r="D1" s="327"/>
      <c r="E1" s="327"/>
      <c r="F1" s="327"/>
      <c r="G1" s="327"/>
      <c r="H1" s="328"/>
      <c r="I1" s="329">
        <f ca="1">TODAY()</f>
        <v>45887</v>
      </c>
      <c r="J1" s="330"/>
      <c r="K1" s="331"/>
      <c r="L1" s="332"/>
      <c r="M1" s="332"/>
      <c r="N1" s="332"/>
      <c r="O1" s="333"/>
      <c r="P1" s="332"/>
      <c r="Q1" s="332"/>
      <c r="R1" s="332"/>
      <c r="S1" s="332"/>
      <c r="T1" s="332"/>
      <c r="U1" s="332"/>
      <c r="V1" s="334">
        <f ca="1">TODAY()</f>
        <v>45887</v>
      </c>
    </row>
    <row r="2" spans="1:22" ht="42" x14ac:dyDescent="0.35">
      <c r="A2" s="335" t="s">
        <v>443</v>
      </c>
      <c r="B2" s="335" t="s">
        <v>444</v>
      </c>
      <c r="C2" s="335" t="s">
        <v>444</v>
      </c>
      <c r="D2" s="335" t="s">
        <v>445</v>
      </c>
      <c r="E2" s="336" t="s">
        <v>446</v>
      </c>
      <c r="F2" s="336" t="s">
        <v>447</v>
      </c>
      <c r="G2" s="337" t="s">
        <v>847</v>
      </c>
      <c r="H2" s="337" t="s">
        <v>848</v>
      </c>
      <c r="I2" s="336" t="s">
        <v>849</v>
      </c>
      <c r="J2" s="338" t="s">
        <v>850</v>
      </c>
      <c r="K2" s="338" t="s">
        <v>851</v>
      </c>
      <c r="L2" s="336" t="s">
        <v>448</v>
      </c>
      <c r="M2" s="336" t="s">
        <v>449</v>
      </c>
      <c r="N2" s="336" t="s">
        <v>450</v>
      </c>
      <c r="O2" s="336" t="s">
        <v>852</v>
      </c>
      <c r="P2" s="336" t="s">
        <v>853</v>
      </c>
      <c r="Q2" s="336" t="s">
        <v>854</v>
      </c>
      <c r="R2" s="336" t="s">
        <v>451</v>
      </c>
      <c r="S2" s="336" t="s">
        <v>452</v>
      </c>
      <c r="T2" s="336" t="s">
        <v>855</v>
      </c>
      <c r="U2" s="336" t="s">
        <v>319</v>
      </c>
      <c r="V2" s="336" t="s">
        <v>846</v>
      </c>
    </row>
    <row r="3" spans="1:22" x14ac:dyDescent="0.35">
      <c r="A3" s="339">
        <v>1</v>
      </c>
      <c r="B3" s="339" t="s">
        <v>453</v>
      </c>
      <c r="C3" s="340" t="s">
        <v>454</v>
      </c>
      <c r="D3" s="341" t="s">
        <v>455</v>
      </c>
      <c r="E3" s="339" t="s">
        <v>456</v>
      </c>
      <c r="F3" s="339" t="s">
        <v>457</v>
      </c>
      <c r="G3" s="342">
        <v>45698</v>
      </c>
      <c r="H3" s="342">
        <f>G3+15</f>
        <v>45713</v>
      </c>
      <c r="I3" s="342">
        <v>45698</v>
      </c>
      <c r="J3" s="339">
        <f>I3-G3</f>
        <v>0</v>
      </c>
      <c r="K3" s="339"/>
      <c r="L3" s="343" t="s">
        <v>458</v>
      </c>
      <c r="M3" s="344">
        <v>45698</v>
      </c>
      <c r="N3" s="344"/>
      <c r="O3" s="345"/>
      <c r="P3" s="343"/>
      <c r="Q3" s="343"/>
      <c r="R3" s="339"/>
      <c r="S3" s="339" t="s">
        <v>397</v>
      </c>
      <c r="T3" s="339" t="s">
        <v>459</v>
      </c>
      <c r="U3" s="339" t="s">
        <v>461</v>
      </c>
      <c r="V3" s="339"/>
    </row>
    <row r="4" spans="1:22" x14ac:dyDescent="0.35">
      <c r="A4" s="346"/>
      <c r="B4" s="346"/>
      <c r="C4" s="347"/>
      <c r="D4" s="348"/>
      <c r="E4" s="346"/>
      <c r="F4" s="346"/>
      <c r="G4" s="349"/>
      <c r="H4" s="349"/>
      <c r="I4" s="349"/>
      <c r="J4" s="346"/>
      <c r="K4" s="346"/>
      <c r="L4" s="343" t="s">
        <v>460</v>
      </c>
      <c r="M4" s="344">
        <v>45700</v>
      </c>
      <c r="N4" s="344">
        <v>45700</v>
      </c>
      <c r="O4" s="345"/>
      <c r="P4" s="343">
        <f>N4-M4</f>
        <v>0</v>
      </c>
      <c r="Q4" s="343">
        <f>M5-N4</f>
        <v>2</v>
      </c>
      <c r="R4" s="346"/>
      <c r="S4" s="346"/>
      <c r="T4" s="346"/>
      <c r="U4" s="346"/>
      <c r="V4" s="346"/>
    </row>
    <row r="5" spans="1:22" x14ac:dyDescent="0.35">
      <c r="A5" s="346"/>
      <c r="B5" s="346"/>
      <c r="C5" s="347"/>
      <c r="D5" s="348"/>
      <c r="E5" s="346"/>
      <c r="F5" s="346"/>
      <c r="G5" s="349"/>
      <c r="H5" s="349"/>
      <c r="I5" s="349"/>
      <c r="J5" s="346"/>
      <c r="K5" s="346"/>
      <c r="L5" s="343" t="s">
        <v>462</v>
      </c>
      <c r="M5" s="344">
        <v>45702</v>
      </c>
      <c r="N5" s="344">
        <v>45705</v>
      </c>
      <c r="O5" s="345"/>
      <c r="P5" s="343">
        <f>N5-M5</f>
        <v>3</v>
      </c>
      <c r="Q5" s="343">
        <f>M6-N5</f>
        <v>2</v>
      </c>
      <c r="R5" s="346"/>
      <c r="S5" s="346"/>
      <c r="T5" s="346"/>
      <c r="U5" s="346"/>
      <c r="V5" s="346"/>
    </row>
    <row r="6" spans="1:22" x14ac:dyDescent="0.35">
      <c r="A6" s="346"/>
      <c r="B6" s="346"/>
      <c r="C6" s="347"/>
      <c r="D6" s="348"/>
      <c r="E6" s="346"/>
      <c r="F6" s="346"/>
      <c r="G6" s="349"/>
      <c r="H6" s="349"/>
      <c r="I6" s="349"/>
      <c r="J6" s="346"/>
      <c r="K6" s="346"/>
      <c r="L6" s="343" t="s">
        <v>463</v>
      </c>
      <c r="M6" s="344">
        <v>45707</v>
      </c>
      <c r="N6" s="344"/>
      <c r="O6" s="345"/>
      <c r="P6" s="343">
        <f ca="1">I1-M6</f>
        <v>180</v>
      </c>
      <c r="Q6" s="343"/>
      <c r="R6" s="346"/>
      <c r="S6" s="346"/>
      <c r="T6" s="346"/>
      <c r="U6" s="346"/>
      <c r="V6" s="346"/>
    </row>
    <row r="7" spans="1:22" x14ac:dyDescent="0.35">
      <c r="A7" s="350">
        <v>2</v>
      </c>
      <c r="B7" s="350" t="s">
        <v>453</v>
      </c>
      <c r="C7" s="351" t="s">
        <v>454</v>
      </c>
      <c r="D7" s="352" t="s">
        <v>465</v>
      </c>
      <c r="E7" s="350" t="s">
        <v>466</v>
      </c>
      <c r="F7" s="350" t="s">
        <v>467</v>
      </c>
      <c r="G7" s="353">
        <v>45740</v>
      </c>
      <c r="H7" s="353">
        <f>G7+15</f>
        <v>45755</v>
      </c>
      <c r="I7" s="353">
        <v>45740</v>
      </c>
      <c r="J7" s="350">
        <f>I7-G7</f>
        <v>0</v>
      </c>
      <c r="K7" s="350">
        <f>R7-H7</f>
        <v>0</v>
      </c>
      <c r="L7" s="354" t="s">
        <v>458</v>
      </c>
      <c r="M7" s="355">
        <v>45740</v>
      </c>
      <c r="N7" s="355">
        <v>45743</v>
      </c>
      <c r="O7" s="356" t="s">
        <v>468</v>
      </c>
      <c r="P7" s="354">
        <f>N7-M7</f>
        <v>3</v>
      </c>
      <c r="Q7" s="354">
        <f>M8-N7</f>
        <v>6</v>
      </c>
      <c r="R7" s="357">
        <f>N8</f>
        <v>45755</v>
      </c>
      <c r="S7" s="350" t="str">
        <f>U7</f>
        <v>Approved</v>
      </c>
      <c r="T7" s="350" t="str">
        <f>O8</f>
        <v>CAT -IV</v>
      </c>
      <c r="U7" s="350" t="s">
        <v>397</v>
      </c>
      <c r="V7" s="350">
        <f>N8-M8</f>
        <v>6</v>
      </c>
    </row>
    <row r="8" spans="1:22" x14ac:dyDescent="0.35">
      <c r="A8" s="358"/>
      <c r="B8" s="358"/>
      <c r="C8" s="359"/>
      <c r="D8" s="360"/>
      <c r="E8" s="358"/>
      <c r="F8" s="358"/>
      <c r="G8" s="361"/>
      <c r="H8" s="361"/>
      <c r="I8" s="361"/>
      <c r="J8" s="358"/>
      <c r="K8" s="358"/>
      <c r="L8" s="354" t="s">
        <v>460</v>
      </c>
      <c r="M8" s="355">
        <v>45749</v>
      </c>
      <c r="N8" s="355">
        <v>45755</v>
      </c>
      <c r="O8" s="356" t="s">
        <v>469</v>
      </c>
      <c r="P8" s="354">
        <f>N8-M8</f>
        <v>6</v>
      </c>
      <c r="Q8" s="354"/>
      <c r="R8" s="362"/>
      <c r="S8" s="358"/>
      <c r="T8" s="358"/>
      <c r="U8" s="358"/>
      <c r="V8" s="358"/>
    </row>
    <row r="9" spans="1:22" ht="21" x14ac:dyDescent="0.35">
      <c r="A9" s="354">
        <v>3</v>
      </c>
      <c r="B9" s="354" t="s">
        <v>453</v>
      </c>
      <c r="C9" s="363" t="s">
        <v>454</v>
      </c>
      <c r="D9" s="364" t="s">
        <v>470</v>
      </c>
      <c r="E9" s="354" t="s">
        <v>471</v>
      </c>
      <c r="F9" s="354" t="s">
        <v>457</v>
      </c>
      <c r="G9" s="355">
        <v>45740</v>
      </c>
      <c r="H9" s="355">
        <f>G9+15</f>
        <v>45755</v>
      </c>
      <c r="I9" s="355"/>
      <c r="J9" s="354"/>
      <c r="K9" s="354"/>
      <c r="L9" s="354" t="s">
        <v>458</v>
      </c>
      <c r="M9" s="355"/>
      <c r="N9" s="355"/>
      <c r="O9" s="356"/>
      <c r="P9" s="354"/>
      <c r="Q9" s="354"/>
      <c r="R9" s="354"/>
      <c r="S9" s="354"/>
      <c r="T9" s="354"/>
      <c r="U9" s="354" t="s">
        <v>397</v>
      </c>
      <c r="V9" s="354"/>
    </row>
    <row r="10" spans="1:22" x14ac:dyDescent="0.35">
      <c r="A10" s="339">
        <v>4</v>
      </c>
      <c r="B10" s="339" t="s">
        <v>453</v>
      </c>
      <c r="C10" s="340" t="s">
        <v>454</v>
      </c>
      <c r="D10" s="341" t="s">
        <v>473</v>
      </c>
      <c r="E10" s="339" t="s">
        <v>474</v>
      </c>
      <c r="F10" s="339" t="s">
        <v>467</v>
      </c>
      <c r="G10" s="342">
        <v>45768</v>
      </c>
      <c r="H10" s="342">
        <f>G10+21</f>
        <v>45789</v>
      </c>
      <c r="I10" s="342">
        <v>45768</v>
      </c>
      <c r="J10" s="339">
        <f>I10-G10</f>
        <v>0</v>
      </c>
      <c r="K10" s="339">
        <f ca="1">I1-H10</f>
        <v>98</v>
      </c>
      <c r="L10" s="343" t="s">
        <v>458</v>
      </c>
      <c r="M10" s="344">
        <v>45768</v>
      </c>
      <c r="N10" s="344">
        <v>45776</v>
      </c>
      <c r="O10" s="345" t="s">
        <v>468</v>
      </c>
      <c r="P10" s="343">
        <f>N10-M10</f>
        <v>8</v>
      </c>
      <c r="Q10" s="343">
        <f>M11-N10</f>
        <v>51</v>
      </c>
      <c r="R10" s="365">
        <f>N10</f>
        <v>45776</v>
      </c>
      <c r="S10" s="339" t="s">
        <v>482</v>
      </c>
      <c r="T10" s="339" t="str">
        <f>O10</f>
        <v>CAT -IV R</v>
      </c>
      <c r="U10" s="339" t="s">
        <v>464</v>
      </c>
      <c r="V10" s="339"/>
    </row>
    <row r="11" spans="1:22" x14ac:dyDescent="0.35">
      <c r="A11" s="358"/>
      <c r="B11" s="358"/>
      <c r="C11" s="359"/>
      <c r="D11" s="360"/>
      <c r="E11" s="358"/>
      <c r="F11" s="358"/>
      <c r="G11" s="361"/>
      <c r="H11" s="361"/>
      <c r="I11" s="361"/>
      <c r="J11" s="358"/>
      <c r="K11" s="358"/>
      <c r="L11" s="343" t="s">
        <v>460</v>
      </c>
      <c r="M11" s="344">
        <v>45827</v>
      </c>
      <c r="N11" s="344">
        <v>45866</v>
      </c>
      <c r="O11" s="345" t="s">
        <v>468</v>
      </c>
      <c r="P11" s="343">
        <f>N11-M11</f>
        <v>39</v>
      </c>
      <c r="Q11" s="343">
        <f ca="1">I1-N11</f>
        <v>21</v>
      </c>
      <c r="R11" s="362"/>
      <c r="S11" s="358"/>
      <c r="T11" s="358"/>
      <c r="U11" s="358"/>
      <c r="V11" s="358"/>
    </row>
    <row r="12" spans="1:22" ht="21" x14ac:dyDescent="0.35">
      <c r="A12" s="330">
        <v>5</v>
      </c>
      <c r="B12" s="330" t="s">
        <v>453</v>
      </c>
      <c r="C12" s="366" t="s">
        <v>454</v>
      </c>
      <c r="D12" s="367" t="s">
        <v>475</v>
      </c>
      <c r="E12" s="332" t="s">
        <v>476</v>
      </c>
      <c r="F12" s="330" t="s">
        <v>467</v>
      </c>
      <c r="G12" s="368">
        <v>45814</v>
      </c>
      <c r="H12" s="368">
        <f>G12+15</f>
        <v>45829</v>
      </c>
      <c r="I12" s="368"/>
      <c r="J12" s="330">
        <f>I12-G12</f>
        <v>-45814</v>
      </c>
      <c r="K12" s="330">
        <f ca="1">I1-H12</f>
        <v>58</v>
      </c>
      <c r="L12" s="332"/>
      <c r="M12" s="369"/>
      <c r="N12" s="369"/>
      <c r="O12" s="370"/>
      <c r="P12" s="332"/>
      <c r="Q12" s="332"/>
      <c r="R12" s="332"/>
      <c r="S12" s="332"/>
      <c r="T12" s="332"/>
      <c r="U12" s="332"/>
      <c r="V12" s="332"/>
    </row>
    <row r="13" spans="1:22" x14ac:dyDescent="0.35">
      <c r="A13" s="350">
        <v>6</v>
      </c>
      <c r="B13" s="350" t="s">
        <v>453</v>
      </c>
      <c r="C13" s="351" t="s">
        <v>454</v>
      </c>
      <c r="D13" s="352" t="s">
        <v>477</v>
      </c>
      <c r="E13" s="350" t="s">
        <v>478</v>
      </c>
      <c r="F13" s="350" t="s">
        <v>467</v>
      </c>
      <c r="G13" s="353">
        <v>45814</v>
      </c>
      <c r="H13" s="353">
        <f>G13+14</f>
        <v>45828</v>
      </c>
      <c r="I13" s="353">
        <v>45815</v>
      </c>
      <c r="J13" s="350">
        <f>I13-G13</f>
        <v>1</v>
      </c>
      <c r="K13" s="350">
        <f>R13-H13</f>
        <v>18</v>
      </c>
      <c r="L13" s="354" t="s">
        <v>458</v>
      </c>
      <c r="M13" s="355">
        <v>45815</v>
      </c>
      <c r="N13" s="355">
        <v>45828</v>
      </c>
      <c r="O13" s="356" t="s">
        <v>468</v>
      </c>
      <c r="P13" s="354">
        <f>N13-M13</f>
        <v>13</v>
      </c>
      <c r="Q13" s="354">
        <f>M14-N13</f>
        <v>6</v>
      </c>
      <c r="R13" s="371">
        <f>N14</f>
        <v>45846</v>
      </c>
      <c r="S13" s="350" t="s">
        <v>397</v>
      </c>
      <c r="T13" s="350" t="s">
        <v>469</v>
      </c>
      <c r="U13" s="350" t="s">
        <v>397</v>
      </c>
      <c r="V13" s="350">
        <f>N14-M14</f>
        <v>12</v>
      </c>
    </row>
    <row r="14" spans="1:22" x14ac:dyDescent="0.35">
      <c r="A14" s="358"/>
      <c r="B14" s="358"/>
      <c r="C14" s="359"/>
      <c r="D14" s="360"/>
      <c r="E14" s="358"/>
      <c r="F14" s="358"/>
      <c r="G14" s="361"/>
      <c r="H14" s="361"/>
      <c r="I14" s="361"/>
      <c r="J14" s="358"/>
      <c r="K14" s="358"/>
      <c r="L14" s="354" t="s">
        <v>460</v>
      </c>
      <c r="M14" s="355">
        <v>45834</v>
      </c>
      <c r="N14" s="355">
        <v>45846</v>
      </c>
      <c r="O14" s="356" t="s">
        <v>469</v>
      </c>
      <c r="P14" s="354">
        <f>N14-M14</f>
        <v>12</v>
      </c>
      <c r="Q14" s="354"/>
      <c r="R14" s="372"/>
      <c r="S14" s="358"/>
      <c r="T14" s="358"/>
      <c r="U14" s="358"/>
      <c r="V14" s="358"/>
    </row>
    <row r="15" spans="1:22" x14ac:dyDescent="0.35">
      <c r="A15" s="350">
        <v>7</v>
      </c>
      <c r="B15" s="350" t="s">
        <v>453</v>
      </c>
      <c r="C15" s="351" t="s">
        <v>454</v>
      </c>
      <c r="D15" s="352" t="s">
        <v>479</v>
      </c>
      <c r="E15" s="350" t="s">
        <v>480</v>
      </c>
      <c r="F15" s="350" t="s">
        <v>457</v>
      </c>
      <c r="G15" s="353">
        <v>45742</v>
      </c>
      <c r="H15" s="353">
        <f>G15+15</f>
        <v>45757</v>
      </c>
      <c r="I15" s="353">
        <v>45742</v>
      </c>
      <c r="J15" s="350">
        <f>I15-G15</f>
        <v>0</v>
      </c>
      <c r="K15" s="350">
        <f>R15-H15</f>
        <v>76</v>
      </c>
      <c r="L15" s="354" t="s">
        <v>458</v>
      </c>
      <c r="M15" s="355">
        <v>45742</v>
      </c>
      <c r="N15" s="355">
        <v>45751</v>
      </c>
      <c r="O15" s="356" t="s">
        <v>481</v>
      </c>
      <c r="P15" s="354">
        <f>N15-M15</f>
        <v>9</v>
      </c>
      <c r="Q15" s="354">
        <f>M16-N15</f>
        <v>0</v>
      </c>
      <c r="R15" s="371">
        <f>N16</f>
        <v>45833</v>
      </c>
      <c r="S15" s="350" t="s">
        <v>397</v>
      </c>
      <c r="T15" s="350" t="str">
        <f>O16</f>
        <v>CAT - I</v>
      </c>
      <c r="U15" s="350" t="s">
        <v>397</v>
      </c>
      <c r="V15" s="350">
        <f ca="1">V1-M16</f>
        <v>136</v>
      </c>
    </row>
    <row r="16" spans="1:22" x14ac:dyDescent="0.35">
      <c r="A16" s="346"/>
      <c r="B16" s="346"/>
      <c r="C16" s="347"/>
      <c r="D16" s="348"/>
      <c r="E16" s="346"/>
      <c r="F16" s="346"/>
      <c r="G16" s="349"/>
      <c r="H16" s="349"/>
      <c r="I16" s="349"/>
      <c r="J16" s="346"/>
      <c r="K16" s="346"/>
      <c r="L16" s="354" t="s">
        <v>460</v>
      </c>
      <c r="M16" s="355">
        <v>45751</v>
      </c>
      <c r="N16" s="355">
        <v>45833</v>
      </c>
      <c r="O16" s="356" t="s">
        <v>472</v>
      </c>
      <c r="P16" s="354">
        <f>N16-M16</f>
        <v>82</v>
      </c>
      <c r="Q16" s="354"/>
      <c r="R16" s="372"/>
      <c r="S16" s="346"/>
      <c r="T16" s="346"/>
      <c r="U16" s="346"/>
      <c r="V16" s="346"/>
    </row>
    <row r="17" spans="1:22" ht="21" x14ac:dyDescent="0.35">
      <c r="A17" s="343">
        <v>8</v>
      </c>
      <c r="B17" s="343" t="s">
        <v>453</v>
      </c>
      <c r="C17" s="373" t="s">
        <v>454</v>
      </c>
      <c r="D17" s="374" t="s">
        <v>483</v>
      </c>
      <c r="E17" s="343" t="s">
        <v>484</v>
      </c>
      <c r="F17" s="343" t="s">
        <v>467</v>
      </c>
      <c r="G17" s="344">
        <v>45771</v>
      </c>
      <c r="H17" s="344">
        <f>G17+21</f>
        <v>45792</v>
      </c>
      <c r="I17" s="344">
        <f>M17</f>
        <v>45772</v>
      </c>
      <c r="J17" s="343">
        <f>I17-G17</f>
        <v>1</v>
      </c>
      <c r="K17" s="343">
        <f ca="1">I1-H17</f>
        <v>95</v>
      </c>
      <c r="L17" s="343" t="s">
        <v>458</v>
      </c>
      <c r="M17" s="344">
        <v>45772</v>
      </c>
      <c r="N17" s="344">
        <v>45833</v>
      </c>
      <c r="O17" s="345" t="s">
        <v>468</v>
      </c>
      <c r="P17" s="343">
        <f>N17-M17</f>
        <v>61</v>
      </c>
      <c r="Q17" s="343">
        <f ca="1">I1-N17</f>
        <v>54</v>
      </c>
      <c r="R17" s="343"/>
      <c r="S17" s="343" t="s">
        <v>489</v>
      </c>
      <c r="T17" s="343" t="str">
        <f>O17</f>
        <v>CAT -IV R</v>
      </c>
      <c r="U17" s="343" t="s">
        <v>464</v>
      </c>
      <c r="V17" s="343">
        <f ca="1">V1-M17</f>
        <v>115</v>
      </c>
    </row>
    <row r="18" spans="1:22" ht="21" x14ac:dyDescent="0.35">
      <c r="A18" s="330">
        <v>9</v>
      </c>
      <c r="B18" s="330" t="s">
        <v>453</v>
      </c>
      <c r="C18" s="366" t="s">
        <v>454</v>
      </c>
      <c r="D18" s="367" t="s">
        <v>485</v>
      </c>
      <c r="E18" s="330" t="s">
        <v>486</v>
      </c>
      <c r="F18" s="330" t="s">
        <v>467</v>
      </c>
      <c r="G18" s="368"/>
      <c r="H18" s="368"/>
      <c r="I18" s="368"/>
      <c r="J18" s="330"/>
      <c r="K18" s="330"/>
      <c r="L18" s="330"/>
      <c r="M18" s="368"/>
      <c r="N18" s="368"/>
      <c r="O18" s="375"/>
      <c r="P18" s="330"/>
      <c r="Q18" s="330"/>
      <c r="R18" s="330"/>
      <c r="S18" s="330"/>
      <c r="T18" s="330"/>
      <c r="U18" s="330"/>
      <c r="V18" s="330"/>
    </row>
    <row r="19" spans="1:22" x14ac:dyDescent="0.35">
      <c r="A19" s="350">
        <v>10</v>
      </c>
      <c r="B19" s="350" t="s">
        <v>453</v>
      </c>
      <c r="C19" s="351" t="s">
        <v>454</v>
      </c>
      <c r="D19" s="352" t="s">
        <v>487</v>
      </c>
      <c r="E19" s="350" t="s">
        <v>488</v>
      </c>
      <c r="F19" s="350" t="s">
        <v>467</v>
      </c>
      <c r="G19" s="353">
        <v>45772</v>
      </c>
      <c r="H19" s="353">
        <f>G19+7</f>
        <v>45779</v>
      </c>
      <c r="I19" s="353">
        <v>45772</v>
      </c>
      <c r="J19" s="350">
        <f>I19-G19</f>
        <v>0</v>
      </c>
      <c r="K19" s="350">
        <f>R19-H19</f>
        <v>88</v>
      </c>
      <c r="L19" s="354" t="s">
        <v>458</v>
      </c>
      <c r="M19" s="355">
        <v>45772</v>
      </c>
      <c r="N19" s="355">
        <v>45778</v>
      </c>
      <c r="O19" s="356" t="s">
        <v>468</v>
      </c>
      <c r="P19" s="354">
        <f>N19-M19</f>
        <v>6</v>
      </c>
      <c r="Q19" s="354">
        <f>M20-N19</f>
        <v>70</v>
      </c>
      <c r="R19" s="371">
        <f>N22</f>
        <v>45867</v>
      </c>
      <c r="S19" s="350" t="s">
        <v>482</v>
      </c>
      <c r="T19" s="350" t="str">
        <f>O22</f>
        <v>CAT -IV</v>
      </c>
      <c r="U19" s="350" t="s">
        <v>397</v>
      </c>
      <c r="V19" s="350">
        <f ca="1">V1-N19</f>
        <v>109</v>
      </c>
    </row>
    <row r="20" spans="1:22" x14ac:dyDescent="0.35">
      <c r="A20" s="358"/>
      <c r="B20" s="358"/>
      <c r="C20" s="359"/>
      <c r="D20" s="360"/>
      <c r="E20" s="358"/>
      <c r="F20" s="358"/>
      <c r="G20" s="361"/>
      <c r="H20" s="361"/>
      <c r="I20" s="361"/>
      <c r="J20" s="358"/>
      <c r="K20" s="358"/>
      <c r="L20" s="354" t="s">
        <v>460</v>
      </c>
      <c r="M20" s="355">
        <v>45848</v>
      </c>
      <c r="N20" s="355">
        <v>45850</v>
      </c>
      <c r="O20" s="356" t="s">
        <v>468</v>
      </c>
      <c r="P20" s="354">
        <f ca="1">I1-M20</f>
        <v>39</v>
      </c>
      <c r="Q20" s="354"/>
      <c r="R20" s="376"/>
      <c r="S20" s="358"/>
      <c r="T20" s="358"/>
      <c r="U20" s="358"/>
      <c r="V20" s="358"/>
    </row>
    <row r="21" spans="1:22" x14ac:dyDescent="0.35">
      <c r="A21" s="358"/>
      <c r="B21" s="358"/>
      <c r="C21" s="359"/>
      <c r="D21" s="360"/>
      <c r="E21" s="358"/>
      <c r="F21" s="358"/>
      <c r="G21" s="361"/>
      <c r="H21" s="361"/>
      <c r="I21" s="361"/>
      <c r="J21" s="358"/>
      <c r="K21" s="358"/>
      <c r="L21" s="354" t="s">
        <v>462</v>
      </c>
      <c r="M21" s="355">
        <v>45862</v>
      </c>
      <c r="N21" s="355">
        <v>45863</v>
      </c>
      <c r="O21" s="356" t="s">
        <v>468</v>
      </c>
      <c r="P21" s="354"/>
      <c r="Q21" s="354"/>
      <c r="R21" s="376"/>
      <c r="S21" s="358"/>
      <c r="T21" s="358"/>
      <c r="U21" s="358"/>
      <c r="V21" s="358"/>
    </row>
    <row r="22" spans="1:22" x14ac:dyDescent="0.35">
      <c r="A22" s="358"/>
      <c r="B22" s="358"/>
      <c r="C22" s="359"/>
      <c r="D22" s="360"/>
      <c r="E22" s="358"/>
      <c r="F22" s="358"/>
      <c r="G22" s="361"/>
      <c r="H22" s="361"/>
      <c r="I22" s="361"/>
      <c r="J22" s="358"/>
      <c r="K22" s="358"/>
      <c r="L22" s="354" t="s">
        <v>463</v>
      </c>
      <c r="M22" s="355">
        <v>45866</v>
      </c>
      <c r="N22" s="355">
        <v>45867</v>
      </c>
      <c r="O22" s="356" t="s">
        <v>469</v>
      </c>
      <c r="P22" s="354"/>
      <c r="Q22" s="354"/>
      <c r="R22" s="372"/>
      <c r="S22" s="358"/>
      <c r="T22" s="358"/>
      <c r="U22" s="358"/>
      <c r="V22" s="358"/>
    </row>
    <row r="23" spans="1:22" x14ac:dyDescent="0.35">
      <c r="A23" s="350">
        <v>11</v>
      </c>
      <c r="B23" s="350" t="s">
        <v>453</v>
      </c>
      <c r="C23" s="351" t="s">
        <v>454</v>
      </c>
      <c r="D23" s="352" t="s">
        <v>490</v>
      </c>
      <c r="E23" s="350" t="s">
        <v>491</v>
      </c>
      <c r="F23" s="350" t="s">
        <v>457</v>
      </c>
      <c r="G23" s="353">
        <v>45769</v>
      </c>
      <c r="H23" s="353">
        <f>G23+21</f>
        <v>45790</v>
      </c>
      <c r="I23" s="353">
        <v>45769</v>
      </c>
      <c r="J23" s="350">
        <f>I23-G23</f>
        <v>0</v>
      </c>
      <c r="K23" s="350">
        <f>R23-H23</f>
        <v>3</v>
      </c>
      <c r="L23" s="354" t="s">
        <v>458</v>
      </c>
      <c r="M23" s="355">
        <v>45769</v>
      </c>
      <c r="N23" s="355">
        <v>45771</v>
      </c>
      <c r="O23" s="356" t="s">
        <v>459</v>
      </c>
      <c r="P23" s="354">
        <f>N23-M23</f>
        <v>2</v>
      </c>
      <c r="Q23" s="354">
        <f>M24-N23</f>
        <v>6</v>
      </c>
      <c r="R23" s="357">
        <f>N25</f>
        <v>45793</v>
      </c>
      <c r="S23" s="350" t="s">
        <v>482</v>
      </c>
      <c r="T23" s="350" t="str">
        <f>O25</f>
        <v>CAT - I</v>
      </c>
      <c r="U23" s="350" t="s">
        <v>397</v>
      </c>
      <c r="V23" s="350">
        <f>N25-M25</f>
        <v>7</v>
      </c>
    </row>
    <row r="24" spans="1:22" x14ac:dyDescent="0.35">
      <c r="A24" s="358"/>
      <c r="B24" s="358"/>
      <c r="C24" s="359"/>
      <c r="D24" s="360"/>
      <c r="E24" s="358"/>
      <c r="F24" s="358"/>
      <c r="G24" s="361"/>
      <c r="H24" s="361"/>
      <c r="I24" s="361"/>
      <c r="J24" s="358"/>
      <c r="K24" s="358"/>
      <c r="L24" s="354" t="s">
        <v>460</v>
      </c>
      <c r="M24" s="355">
        <v>45777</v>
      </c>
      <c r="N24" s="355">
        <v>45778</v>
      </c>
      <c r="O24" s="356" t="s">
        <v>481</v>
      </c>
      <c r="P24" s="354">
        <f>N24-M24</f>
        <v>1</v>
      </c>
      <c r="Q24" s="354">
        <f>M25-N24</f>
        <v>8</v>
      </c>
      <c r="R24" s="362"/>
      <c r="S24" s="358"/>
      <c r="T24" s="358"/>
      <c r="U24" s="358"/>
      <c r="V24" s="358"/>
    </row>
    <row r="25" spans="1:22" x14ac:dyDescent="0.35">
      <c r="A25" s="358"/>
      <c r="B25" s="358"/>
      <c r="C25" s="359"/>
      <c r="D25" s="360"/>
      <c r="E25" s="358"/>
      <c r="F25" s="358"/>
      <c r="G25" s="361"/>
      <c r="H25" s="361"/>
      <c r="I25" s="361"/>
      <c r="J25" s="358"/>
      <c r="K25" s="358"/>
      <c r="L25" s="354" t="s">
        <v>462</v>
      </c>
      <c r="M25" s="355">
        <v>45786</v>
      </c>
      <c r="N25" s="355">
        <v>45793</v>
      </c>
      <c r="O25" s="356" t="s">
        <v>472</v>
      </c>
      <c r="P25" s="354">
        <f>N25-M25</f>
        <v>7</v>
      </c>
      <c r="Q25" s="354"/>
      <c r="R25" s="362"/>
      <c r="S25" s="358"/>
      <c r="T25" s="358"/>
      <c r="U25" s="358"/>
      <c r="V25" s="358"/>
    </row>
    <row r="26" spans="1:22" ht="21" x14ac:dyDescent="0.35">
      <c r="A26" s="354">
        <v>12</v>
      </c>
      <c r="B26" s="354" t="s">
        <v>453</v>
      </c>
      <c r="C26" s="363" t="s">
        <v>454</v>
      </c>
      <c r="D26" s="364" t="s">
        <v>492</v>
      </c>
      <c r="E26" s="354" t="s">
        <v>493</v>
      </c>
      <c r="F26" s="354" t="s">
        <v>467</v>
      </c>
      <c r="G26" s="355">
        <v>45801</v>
      </c>
      <c r="H26" s="355">
        <f>G26+21</f>
        <v>45822</v>
      </c>
      <c r="I26" s="355">
        <v>45843</v>
      </c>
      <c r="J26" s="354">
        <f>I26-G26</f>
        <v>42</v>
      </c>
      <c r="K26" s="354">
        <f>R26-H26</f>
        <v>23</v>
      </c>
      <c r="L26" s="354" t="s">
        <v>458</v>
      </c>
      <c r="M26" s="355">
        <v>45843</v>
      </c>
      <c r="N26" s="355">
        <v>45845</v>
      </c>
      <c r="O26" s="356" t="s">
        <v>469</v>
      </c>
      <c r="P26" s="354">
        <f>N26-M26</f>
        <v>2</v>
      </c>
      <c r="Q26" s="354"/>
      <c r="R26" s="355">
        <f>N26</f>
        <v>45845</v>
      </c>
      <c r="S26" s="354" t="s">
        <v>482</v>
      </c>
      <c r="T26" s="354" t="str">
        <f>T23</f>
        <v>CAT - I</v>
      </c>
      <c r="U26" s="354" t="s">
        <v>397</v>
      </c>
      <c r="V26" s="354"/>
    </row>
    <row r="27" spans="1:22" ht="21" x14ac:dyDescent="0.35">
      <c r="A27" s="330">
        <v>13</v>
      </c>
      <c r="B27" s="330" t="s">
        <v>453</v>
      </c>
      <c r="C27" s="366" t="s">
        <v>454</v>
      </c>
      <c r="D27" s="367" t="s">
        <v>494</v>
      </c>
      <c r="E27" s="332" t="s">
        <v>495</v>
      </c>
      <c r="F27" s="330" t="s">
        <v>467</v>
      </c>
      <c r="G27" s="368">
        <v>45741</v>
      </c>
      <c r="H27" s="368">
        <f>G27+15</f>
        <v>45756</v>
      </c>
      <c r="I27" s="368"/>
      <c r="J27" s="330"/>
      <c r="K27" s="330">
        <f ca="1">$I$1-H27</f>
        <v>131</v>
      </c>
      <c r="L27" s="332"/>
      <c r="M27" s="369"/>
      <c r="N27" s="369"/>
      <c r="O27" s="370"/>
      <c r="P27" s="332"/>
      <c r="Q27" s="332"/>
      <c r="R27" s="332"/>
      <c r="S27" s="332"/>
      <c r="T27" s="332"/>
      <c r="U27" s="332"/>
      <c r="V27" s="332"/>
    </row>
    <row r="28" spans="1:22" ht="21" x14ac:dyDescent="0.35">
      <c r="A28" s="330">
        <v>14</v>
      </c>
      <c r="B28" s="330" t="s">
        <v>453</v>
      </c>
      <c r="C28" s="366" t="s">
        <v>454</v>
      </c>
      <c r="D28" s="367" t="s">
        <v>496</v>
      </c>
      <c r="E28" s="332" t="s">
        <v>497</v>
      </c>
      <c r="F28" s="330" t="s">
        <v>457</v>
      </c>
      <c r="G28" s="368">
        <v>45741</v>
      </c>
      <c r="H28" s="368">
        <f>G28+14</f>
        <v>45755</v>
      </c>
      <c r="I28" s="368"/>
      <c r="J28" s="330"/>
      <c r="K28" s="330">
        <f ca="1">$I$1-H28</f>
        <v>132</v>
      </c>
      <c r="L28" s="332"/>
      <c r="M28" s="369"/>
      <c r="N28" s="369"/>
      <c r="O28" s="370"/>
      <c r="P28" s="332"/>
      <c r="Q28" s="332"/>
      <c r="R28" s="332"/>
      <c r="S28" s="332"/>
      <c r="T28" s="332"/>
      <c r="U28" s="332"/>
      <c r="V28" s="332"/>
    </row>
    <row r="29" spans="1:22" x14ac:dyDescent="0.35">
      <c r="A29" s="350">
        <v>1</v>
      </c>
      <c r="B29" s="350" t="s">
        <v>6</v>
      </c>
      <c r="C29" s="351" t="s">
        <v>498</v>
      </c>
      <c r="D29" s="352" t="s">
        <v>499</v>
      </c>
      <c r="E29" s="350" t="s">
        <v>500</v>
      </c>
      <c r="F29" s="350" t="s">
        <v>457</v>
      </c>
      <c r="G29" s="353">
        <v>45727</v>
      </c>
      <c r="H29" s="353">
        <f>G29+21</f>
        <v>45748</v>
      </c>
      <c r="I29" s="353">
        <v>45727</v>
      </c>
      <c r="J29" s="350">
        <f>I29-G29</f>
        <v>0</v>
      </c>
      <c r="K29" s="350">
        <f>R29-H29</f>
        <v>62</v>
      </c>
      <c r="L29" s="354" t="s">
        <v>458</v>
      </c>
      <c r="M29" s="355">
        <v>45727</v>
      </c>
      <c r="N29" s="355">
        <v>45736</v>
      </c>
      <c r="O29" s="356" t="s">
        <v>459</v>
      </c>
      <c r="P29" s="354">
        <f>N29-M29</f>
        <v>9</v>
      </c>
      <c r="Q29" s="354">
        <f>M30-N29</f>
        <v>19</v>
      </c>
      <c r="R29" s="353">
        <f>N31</f>
        <v>45810</v>
      </c>
      <c r="S29" s="350" t="s">
        <v>397</v>
      </c>
      <c r="T29" s="350" t="str">
        <f>O31</f>
        <v>CAT - I</v>
      </c>
      <c r="U29" s="350" t="s">
        <v>397</v>
      </c>
      <c r="V29" s="350">
        <f ca="1">V1-M31</f>
        <v>82</v>
      </c>
    </row>
    <row r="30" spans="1:22" x14ac:dyDescent="0.35">
      <c r="A30" s="358"/>
      <c r="B30" s="358"/>
      <c r="C30" s="359"/>
      <c r="D30" s="360"/>
      <c r="E30" s="358"/>
      <c r="F30" s="358"/>
      <c r="G30" s="361"/>
      <c r="H30" s="361"/>
      <c r="I30" s="361"/>
      <c r="J30" s="358"/>
      <c r="K30" s="358"/>
      <c r="L30" s="354" t="s">
        <v>460</v>
      </c>
      <c r="M30" s="355">
        <v>45755</v>
      </c>
      <c r="N30" s="355">
        <v>45758</v>
      </c>
      <c r="O30" s="356" t="s">
        <v>481</v>
      </c>
      <c r="P30" s="354">
        <f>N30-M30</f>
        <v>3</v>
      </c>
      <c r="Q30" s="354">
        <f>M31-N30</f>
        <v>47</v>
      </c>
      <c r="R30" s="358"/>
      <c r="S30" s="358"/>
      <c r="T30" s="358"/>
      <c r="U30" s="358"/>
      <c r="V30" s="358"/>
    </row>
    <row r="31" spans="1:22" x14ac:dyDescent="0.35">
      <c r="A31" s="358"/>
      <c r="B31" s="358"/>
      <c r="C31" s="359"/>
      <c r="D31" s="360"/>
      <c r="E31" s="358"/>
      <c r="F31" s="358"/>
      <c r="G31" s="361"/>
      <c r="H31" s="361"/>
      <c r="I31" s="361"/>
      <c r="J31" s="358"/>
      <c r="K31" s="358"/>
      <c r="L31" s="354" t="s">
        <v>462</v>
      </c>
      <c r="M31" s="355">
        <v>45805</v>
      </c>
      <c r="N31" s="355">
        <v>45810</v>
      </c>
      <c r="O31" s="356" t="s">
        <v>472</v>
      </c>
      <c r="P31" s="354">
        <f>N31-M31</f>
        <v>5</v>
      </c>
      <c r="Q31" s="354"/>
      <c r="R31" s="358"/>
      <c r="S31" s="358"/>
      <c r="T31" s="358"/>
      <c r="U31" s="358"/>
      <c r="V31" s="358"/>
    </row>
    <row r="32" spans="1:22" x14ac:dyDescent="0.35">
      <c r="A32" s="350">
        <v>2</v>
      </c>
      <c r="B32" s="350" t="s">
        <v>6</v>
      </c>
      <c r="C32" s="351" t="s">
        <v>498</v>
      </c>
      <c r="D32" s="352" t="s">
        <v>816</v>
      </c>
      <c r="E32" s="350" t="s">
        <v>501</v>
      </c>
      <c r="F32" s="350" t="s">
        <v>457</v>
      </c>
      <c r="G32" s="353">
        <v>45805</v>
      </c>
      <c r="H32" s="353">
        <f>G32+21</f>
        <v>45826</v>
      </c>
      <c r="I32" s="353">
        <v>45811</v>
      </c>
      <c r="J32" s="350">
        <f>I32-G32</f>
        <v>6</v>
      </c>
      <c r="K32" s="350">
        <f>R32-H32</f>
        <v>20</v>
      </c>
      <c r="L32" s="354" t="s">
        <v>458</v>
      </c>
      <c r="M32" s="355">
        <v>45811</v>
      </c>
      <c r="N32" s="355">
        <v>45818</v>
      </c>
      <c r="O32" s="356" t="s">
        <v>459</v>
      </c>
      <c r="P32" s="354">
        <f>N32-M32</f>
        <v>7</v>
      </c>
      <c r="Q32" s="354">
        <f>M33-N32</f>
        <v>15</v>
      </c>
      <c r="R32" s="353">
        <f>N33</f>
        <v>45846</v>
      </c>
      <c r="S32" s="350" t="s">
        <v>397</v>
      </c>
      <c r="T32" s="350" t="str">
        <f>O33</f>
        <v>CAT - I</v>
      </c>
      <c r="U32" s="350" t="s">
        <v>397</v>
      </c>
      <c r="V32" s="350">
        <f ca="1">V1-M32</f>
        <v>76</v>
      </c>
    </row>
    <row r="33" spans="1:22" x14ac:dyDescent="0.35">
      <c r="A33" s="358"/>
      <c r="B33" s="358"/>
      <c r="C33" s="359"/>
      <c r="D33" s="360"/>
      <c r="E33" s="358"/>
      <c r="F33" s="358"/>
      <c r="G33" s="361"/>
      <c r="H33" s="361"/>
      <c r="I33" s="361"/>
      <c r="J33" s="358"/>
      <c r="K33" s="358"/>
      <c r="L33" s="354" t="s">
        <v>460</v>
      </c>
      <c r="M33" s="355">
        <v>45833</v>
      </c>
      <c r="N33" s="355">
        <v>45846</v>
      </c>
      <c r="O33" s="356" t="s">
        <v>472</v>
      </c>
      <c r="P33" s="354">
        <f ca="1">I1-M33</f>
        <v>54</v>
      </c>
      <c r="Q33" s="354"/>
      <c r="R33" s="358"/>
      <c r="S33" s="358"/>
      <c r="T33" s="358"/>
      <c r="U33" s="358"/>
      <c r="V33" s="358"/>
    </row>
    <row r="34" spans="1:22" x14ac:dyDescent="0.35">
      <c r="A34" s="350">
        <v>3</v>
      </c>
      <c r="B34" s="350" t="s">
        <v>6</v>
      </c>
      <c r="C34" s="351" t="s">
        <v>498</v>
      </c>
      <c r="D34" s="352" t="s">
        <v>502</v>
      </c>
      <c r="E34" s="350" t="s">
        <v>503</v>
      </c>
      <c r="F34" s="350" t="s">
        <v>457</v>
      </c>
      <c r="G34" s="353">
        <v>45795</v>
      </c>
      <c r="H34" s="353">
        <f>G34+21</f>
        <v>45816</v>
      </c>
      <c r="I34" s="353">
        <v>45813</v>
      </c>
      <c r="J34" s="350">
        <f>I34-G34</f>
        <v>18</v>
      </c>
      <c r="K34" s="350">
        <f>R34-H34</f>
        <v>52</v>
      </c>
      <c r="L34" s="354" t="s">
        <v>458</v>
      </c>
      <c r="M34" s="355">
        <v>45813</v>
      </c>
      <c r="N34" s="355">
        <v>45828</v>
      </c>
      <c r="O34" s="377" t="s">
        <v>472</v>
      </c>
      <c r="P34" s="354">
        <f t="shared" ref="P34:P40" si="0">N34-M34</f>
        <v>15</v>
      </c>
      <c r="Q34" s="354">
        <f>M35-N34</f>
        <v>21</v>
      </c>
      <c r="R34" s="353">
        <f>N35</f>
        <v>45868</v>
      </c>
      <c r="S34" s="350" t="s">
        <v>397</v>
      </c>
      <c r="T34" s="350" t="str">
        <f>O34</f>
        <v>CAT - I</v>
      </c>
      <c r="U34" s="350" t="s">
        <v>397</v>
      </c>
      <c r="V34" s="350">
        <f ca="1">V1-M34</f>
        <v>74</v>
      </c>
    </row>
    <row r="35" spans="1:22" x14ac:dyDescent="0.35">
      <c r="A35" s="358"/>
      <c r="B35" s="358"/>
      <c r="C35" s="359"/>
      <c r="D35" s="360"/>
      <c r="E35" s="358"/>
      <c r="F35" s="358"/>
      <c r="G35" s="361"/>
      <c r="H35" s="361"/>
      <c r="I35" s="361"/>
      <c r="J35" s="358"/>
      <c r="K35" s="358"/>
      <c r="L35" s="354" t="s">
        <v>460</v>
      </c>
      <c r="M35" s="355">
        <v>45849</v>
      </c>
      <c r="N35" s="355">
        <v>45868</v>
      </c>
      <c r="O35" s="377"/>
      <c r="P35" s="354">
        <f ca="1">I1-M35</f>
        <v>38</v>
      </c>
      <c r="Q35" s="354"/>
      <c r="R35" s="358"/>
      <c r="S35" s="358"/>
      <c r="T35" s="358"/>
      <c r="U35" s="358"/>
      <c r="V35" s="358"/>
    </row>
    <row r="36" spans="1:22" x14ac:dyDescent="0.35">
      <c r="A36" s="350">
        <v>4</v>
      </c>
      <c r="B36" s="350" t="s">
        <v>6</v>
      </c>
      <c r="C36" s="351" t="s">
        <v>498</v>
      </c>
      <c r="D36" s="352" t="s">
        <v>504</v>
      </c>
      <c r="E36" s="350" t="s">
        <v>505</v>
      </c>
      <c r="F36" s="350" t="s">
        <v>457</v>
      </c>
      <c r="G36" s="353">
        <v>45751</v>
      </c>
      <c r="H36" s="353">
        <f>G36+21</f>
        <v>45772</v>
      </c>
      <c r="I36" s="353">
        <v>45727</v>
      </c>
      <c r="J36" s="350">
        <f>I36-G36</f>
        <v>-24</v>
      </c>
      <c r="K36" s="350">
        <f>R36-H36</f>
        <v>53</v>
      </c>
      <c r="L36" s="354" t="s">
        <v>458</v>
      </c>
      <c r="M36" s="355">
        <v>45727</v>
      </c>
      <c r="N36" s="355">
        <v>45736</v>
      </c>
      <c r="O36" s="356" t="s">
        <v>481</v>
      </c>
      <c r="P36" s="354">
        <f t="shared" si="0"/>
        <v>9</v>
      </c>
      <c r="Q36" s="354">
        <f>M37-N36</f>
        <v>19</v>
      </c>
      <c r="R36" s="378">
        <f>N40</f>
        <v>45825</v>
      </c>
      <c r="S36" s="350" t="s">
        <v>397</v>
      </c>
      <c r="T36" s="350" t="str">
        <f>O41</f>
        <v>CAT - I</v>
      </c>
      <c r="U36" s="350" t="s">
        <v>397</v>
      </c>
      <c r="V36" s="350">
        <f>N38-M38</f>
        <v>1</v>
      </c>
    </row>
    <row r="37" spans="1:22" x14ac:dyDescent="0.35">
      <c r="A37" s="358"/>
      <c r="B37" s="358"/>
      <c r="C37" s="379"/>
      <c r="D37" s="360"/>
      <c r="E37" s="358"/>
      <c r="F37" s="358"/>
      <c r="G37" s="361"/>
      <c r="H37" s="361"/>
      <c r="I37" s="361"/>
      <c r="J37" s="358"/>
      <c r="K37" s="358"/>
      <c r="L37" s="354" t="s">
        <v>460</v>
      </c>
      <c r="M37" s="355">
        <v>45755</v>
      </c>
      <c r="N37" s="355">
        <v>45758</v>
      </c>
      <c r="O37" s="356" t="s">
        <v>472</v>
      </c>
      <c r="P37" s="354">
        <f t="shared" si="0"/>
        <v>3</v>
      </c>
      <c r="Q37" s="354">
        <f>M38-N37</f>
        <v>25</v>
      </c>
      <c r="R37" s="378"/>
      <c r="S37" s="358"/>
      <c r="T37" s="358"/>
      <c r="U37" s="358"/>
      <c r="V37" s="358"/>
    </row>
    <row r="38" spans="1:22" x14ac:dyDescent="0.35">
      <c r="A38" s="358"/>
      <c r="B38" s="358"/>
      <c r="C38" s="379"/>
      <c r="D38" s="360"/>
      <c r="E38" s="358"/>
      <c r="F38" s="358"/>
      <c r="G38" s="361"/>
      <c r="H38" s="361"/>
      <c r="I38" s="361"/>
      <c r="J38" s="358"/>
      <c r="K38" s="358"/>
      <c r="L38" s="354" t="s">
        <v>462</v>
      </c>
      <c r="M38" s="355">
        <v>45783</v>
      </c>
      <c r="N38" s="355">
        <v>45784</v>
      </c>
      <c r="O38" s="356" t="s">
        <v>472</v>
      </c>
      <c r="P38" s="354">
        <f t="shared" si="0"/>
        <v>1</v>
      </c>
      <c r="Q38" s="354">
        <f>M39-N38</f>
        <v>21</v>
      </c>
      <c r="R38" s="378"/>
      <c r="S38" s="358"/>
      <c r="T38" s="358"/>
      <c r="U38" s="358"/>
      <c r="V38" s="358"/>
    </row>
    <row r="39" spans="1:22" x14ac:dyDescent="0.35">
      <c r="A39" s="358"/>
      <c r="B39" s="358"/>
      <c r="C39" s="379"/>
      <c r="D39" s="360"/>
      <c r="E39" s="358"/>
      <c r="F39" s="358"/>
      <c r="G39" s="361"/>
      <c r="H39" s="361"/>
      <c r="I39" s="361"/>
      <c r="J39" s="358"/>
      <c r="K39" s="358"/>
      <c r="L39" s="354" t="s">
        <v>463</v>
      </c>
      <c r="M39" s="355">
        <v>45805</v>
      </c>
      <c r="N39" s="355">
        <v>45807</v>
      </c>
      <c r="O39" s="356" t="s">
        <v>481</v>
      </c>
      <c r="P39" s="354">
        <f t="shared" si="0"/>
        <v>2</v>
      </c>
      <c r="Q39" s="354"/>
      <c r="R39" s="378"/>
      <c r="S39" s="358"/>
      <c r="T39" s="358"/>
      <c r="U39" s="358"/>
      <c r="V39" s="358"/>
    </row>
    <row r="40" spans="1:22" x14ac:dyDescent="0.35">
      <c r="A40" s="358"/>
      <c r="B40" s="358"/>
      <c r="C40" s="379"/>
      <c r="D40" s="360"/>
      <c r="E40" s="358"/>
      <c r="F40" s="358"/>
      <c r="G40" s="361"/>
      <c r="H40" s="361"/>
      <c r="I40" s="361"/>
      <c r="J40" s="358"/>
      <c r="K40" s="358"/>
      <c r="L40" s="354" t="s">
        <v>819</v>
      </c>
      <c r="M40" s="355">
        <v>45825</v>
      </c>
      <c r="N40" s="355">
        <v>45825</v>
      </c>
      <c r="O40" s="356" t="s">
        <v>472</v>
      </c>
      <c r="P40" s="354">
        <f t="shared" si="0"/>
        <v>0</v>
      </c>
      <c r="Q40" s="354"/>
      <c r="R40" s="378"/>
      <c r="S40" s="358"/>
      <c r="T40" s="358"/>
      <c r="U40" s="358"/>
      <c r="V40" s="358"/>
    </row>
    <row r="41" spans="1:22" x14ac:dyDescent="0.35">
      <c r="A41" s="358"/>
      <c r="B41" s="358"/>
      <c r="C41" s="379"/>
      <c r="D41" s="360"/>
      <c r="E41" s="358"/>
      <c r="F41" s="358"/>
      <c r="G41" s="361"/>
      <c r="H41" s="361"/>
      <c r="I41" s="361"/>
      <c r="J41" s="358"/>
      <c r="K41" s="358"/>
      <c r="L41" s="354" t="s">
        <v>826</v>
      </c>
      <c r="M41" s="355">
        <v>45855</v>
      </c>
      <c r="N41" s="355">
        <v>45859</v>
      </c>
      <c r="O41" s="356" t="s">
        <v>472</v>
      </c>
      <c r="P41" s="354">
        <f>N41-M41</f>
        <v>4</v>
      </c>
      <c r="Q41" s="354"/>
      <c r="R41" s="378"/>
      <c r="S41" s="358"/>
      <c r="T41" s="358"/>
      <c r="U41" s="358"/>
      <c r="V41" s="358"/>
    </row>
    <row r="42" spans="1:22" x14ac:dyDescent="0.35">
      <c r="A42" s="350">
        <v>5</v>
      </c>
      <c r="B42" s="350" t="s">
        <v>6</v>
      </c>
      <c r="C42" s="351" t="s">
        <v>498</v>
      </c>
      <c r="D42" s="352" t="s">
        <v>506</v>
      </c>
      <c r="E42" s="350" t="s">
        <v>508</v>
      </c>
      <c r="F42" s="350" t="s">
        <v>457</v>
      </c>
      <c r="G42" s="353">
        <v>45811</v>
      </c>
      <c r="H42" s="353">
        <f>G42+15</f>
        <v>45826</v>
      </c>
      <c r="I42" s="353">
        <v>45811</v>
      </c>
      <c r="J42" s="350">
        <f>I42-G42</f>
        <v>0</v>
      </c>
      <c r="K42" s="350">
        <f>R42-H42</f>
        <v>20</v>
      </c>
      <c r="L42" s="354" t="s">
        <v>458</v>
      </c>
      <c r="M42" s="355">
        <v>45811</v>
      </c>
      <c r="N42" s="355">
        <v>45818</v>
      </c>
      <c r="O42" s="356" t="s">
        <v>459</v>
      </c>
      <c r="P42" s="354">
        <f>N42-M42</f>
        <v>7</v>
      </c>
      <c r="Q42" s="354">
        <f>M43-N42</f>
        <v>15</v>
      </c>
      <c r="R42" s="353">
        <f>N43</f>
        <v>45846</v>
      </c>
      <c r="S42" s="350" t="s">
        <v>397</v>
      </c>
      <c r="T42" s="350" t="str">
        <f>O43</f>
        <v>CAT - I</v>
      </c>
      <c r="U42" s="350" t="s">
        <v>397</v>
      </c>
      <c r="V42" s="354">
        <f ca="1">V1-M42</f>
        <v>76</v>
      </c>
    </row>
    <row r="43" spans="1:22" x14ac:dyDescent="0.35">
      <c r="A43" s="358"/>
      <c r="B43" s="358"/>
      <c r="C43" s="359"/>
      <c r="D43" s="360"/>
      <c r="E43" s="358"/>
      <c r="F43" s="358"/>
      <c r="G43" s="361"/>
      <c r="H43" s="361"/>
      <c r="I43" s="361"/>
      <c r="J43" s="358"/>
      <c r="K43" s="358"/>
      <c r="L43" s="354" t="s">
        <v>460</v>
      </c>
      <c r="M43" s="355">
        <v>45833</v>
      </c>
      <c r="N43" s="355">
        <v>45846</v>
      </c>
      <c r="O43" s="356" t="s">
        <v>472</v>
      </c>
      <c r="P43" s="354">
        <f>N43-M43</f>
        <v>13</v>
      </c>
      <c r="Q43" s="354"/>
      <c r="R43" s="350"/>
      <c r="S43" s="358"/>
      <c r="T43" s="358"/>
      <c r="U43" s="358"/>
      <c r="V43" s="380"/>
    </row>
    <row r="44" spans="1:22" x14ac:dyDescent="0.35">
      <c r="A44" s="350">
        <v>6</v>
      </c>
      <c r="B44" s="350" t="s">
        <v>6</v>
      </c>
      <c r="C44" s="351" t="s">
        <v>498</v>
      </c>
      <c r="D44" s="352" t="s">
        <v>507</v>
      </c>
      <c r="E44" s="350" t="s">
        <v>508</v>
      </c>
      <c r="F44" s="350" t="s">
        <v>457</v>
      </c>
      <c r="G44" s="353">
        <v>45751</v>
      </c>
      <c r="H44" s="353">
        <f>G44+21</f>
        <v>45772</v>
      </c>
      <c r="I44" s="353">
        <v>45727</v>
      </c>
      <c r="J44" s="350">
        <f>I44-G44</f>
        <v>-24</v>
      </c>
      <c r="K44" s="350">
        <f>R44-H44</f>
        <v>-14</v>
      </c>
      <c r="L44" s="354" t="s">
        <v>458</v>
      </c>
      <c r="M44" s="355">
        <v>45727</v>
      </c>
      <c r="N44" s="355">
        <v>45736</v>
      </c>
      <c r="O44" s="356" t="s">
        <v>459</v>
      </c>
      <c r="P44" s="354">
        <f t="shared" ref="P44:P59" si="1">N44-M44</f>
        <v>9</v>
      </c>
      <c r="Q44" s="354">
        <f>M45-N44</f>
        <v>19</v>
      </c>
      <c r="R44" s="378">
        <v>45758</v>
      </c>
      <c r="S44" s="350" t="s">
        <v>397</v>
      </c>
      <c r="T44" s="350" t="str">
        <f>O45</f>
        <v>CAT - I</v>
      </c>
      <c r="U44" s="350" t="s">
        <v>397</v>
      </c>
      <c r="V44" s="350"/>
    </row>
    <row r="45" spans="1:22" x14ac:dyDescent="0.35">
      <c r="A45" s="358"/>
      <c r="B45" s="358"/>
      <c r="C45" s="359"/>
      <c r="D45" s="360"/>
      <c r="E45" s="358"/>
      <c r="F45" s="358"/>
      <c r="G45" s="361"/>
      <c r="H45" s="361"/>
      <c r="I45" s="361"/>
      <c r="J45" s="358"/>
      <c r="K45" s="358"/>
      <c r="L45" s="354" t="s">
        <v>460</v>
      </c>
      <c r="M45" s="355">
        <v>45755</v>
      </c>
      <c r="N45" s="355">
        <v>45758</v>
      </c>
      <c r="O45" s="356" t="s">
        <v>472</v>
      </c>
      <c r="P45" s="354">
        <f t="shared" si="1"/>
        <v>3</v>
      </c>
      <c r="Q45" s="354"/>
      <c r="R45" s="378"/>
      <c r="S45" s="358"/>
      <c r="T45" s="358"/>
      <c r="U45" s="358"/>
      <c r="V45" s="358"/>
    </row>
    <row r="46" spans="1:22" x14ac:dyDescent="0.35">
      <c r="A46" s="350">
        <v>7</v>
      </c>
      <c r="B46" s="350" t="s">
        <v>6</v>
      </c>
      <c r="C46" s="351" t="s">
        <v>498</v>
      </c>
      <c r="D46" s="352" t="s">
        <v>509</v>
      </c>
      <c r="E46" s="350" t="s">
        <v>510</v>
      </c>
      <c r="F46" s="350" t="s">
        <v>467</v>
      </c>
      <c r="G46" s="353">
        <v>45769</v>
      </c>
      <c r="H46" s="353">
        <f>G46+15</f>
        <v>45784</v>
      </c>
      <c r="I46" s="353">
        <v>45769</v>
      </c>
      <c r="J46" s="350">
        <f>I46-G46</f>
        <v>0</v>
      </c>
      <c r="K46" s="350">
        <f>R46-H46</f>
        <v>-5</v>
      </c>
      <c r="L46" s="354" t="s">
        <v>458</v>
      </c>
      <c r="M46" s="355">
        <v>45769</v>
      </c>
      <c r="N46" s="355">
        <v>45779</v>
      </c>
      <c r="O46" s="356" t="s">
        <v>511</v>
      </c>
      <c r="P46" s="354">
        <f t="shared" si="1"/>
        <v>10</v>
      </c>
      <c r="Q46" s="354">
        <f>M47-N46</f>
        <v>3</v>
      </c>
      <c r="R46" s="381">
        <f>N46</f>
        <v>45779</v>
      </c>
      <c r="S46" s="350" t="s">
        <v>397</v>
      </c>
      <c r="T46" s="350" t="str">
        <f>O47</f>
        <v xml:space="preserve">CAT -IV </v>
      </c>
      <c r="U46" s="350" t="s">
        <v>397</v>
      </c>
      <c r="V46" s="350"/>
    </row>
    <row r="47" spans="1:22" x14ac:dyDescent="0.35">
      <c r="A47" s="358"/>
      <c r="B47" s="358"/>
      <c r="C47" s="379"/>
      <c r="D47" s="360"/>
      <c r="E47" s="358"/>
      <c r="F47" s="358"/>
      <c r="G47" s="361"/>
      <c r="H47" s="361"/>
      <c r="I47" s="361"/>
      <c r="J47" s="358"/>
      <c r="K47" s="358"/>
      <c r="L47" s="354" t="s">
        <v>460</v>
      </c>
      <c r="M47" s="355">
        <v>45782</v>
      </c>
      <c r="N47" s="355">
        <v>45784</v>
      </c>
      <c r="O47" s="356" t="s">
        <v>511</v>
      </c>
      <c r="P47" s="354">
        <f t="shared" si="1"/>
        <v>2</v>
      </c>
      <c r="Q47" s="354">
        <f>M49-N47</f>
        <v>41</v>
      </c>
      <c r="R47" s="382"/>
      <c r="S47" s="358"/>
      <c r="T47" s="358"/>
      <c r="U47" s="358"/>
      <c r="V47" s="358"/>
    </row>
    <row r="48" spans="1:22" x14ac:dyDescent="0.35">
      <c r="A48" s="358"/>
      <c r="B48" s="358"/>
      <c r="C48" s="379"/>
      <c r="D48" s="360"/>
      <c r="E48" s="358"/>
      <c r="F48" s="358"/>
      <c r="G48" s="361"/>
      <c r="H48" s="361"/>
      <c r="I48" s="361"/>
      <c r="J48" s="358"/>
      <c r="K48" s="358"/>
      <c r="L48" s="354" t="s">
        <v>462</v>
      </c>
      <c r="M48" s="355">
        <v>45805</v>
      </c>
      <c r="N48" s="355">
        <v>45807</v>
      </c>
      <c r="O48" s="356" t="s">
        <v>511</v>
      </c>
      <c r="P48" s="354">
        <f t="shared" si="1"/>
        <v>2</v>
      </c>
      <c r="Q48" s="354">
        <f>M49-N48</f>
        <v>18</v>
      </c>
      <c r="R48" s="382"/>
      <c r="S48" s="358"/>
      <c r="T48" s="358"/>
      <c r="U48" s="358"/>
      <c r="V48" s="358"/>
    </row>
    <row r="49" spans="1:22" x14ac:dyDescent="0.35">
      <c r="A49" s="358"/>
      <c r="B49" s="358"/>
      <c r="C49" s="379"/>
      <c r="D49" s="360"/>
      <c r="E49" s="358"/>
      <c r="F49" s="358"/>
      <c r="G49" s="361"/>
      <c r="H49" s="361"/>
      <c r="I49" s="361"/>
      <c r="J49" s="358"/>
      <c r="K49" s="358"/>
      <c r="L49" s="354" t="s">
        <v>463</v>
      </c>
      <c r="M49" s="355">
        <v>45825</v>
      </c>
      <c r="N49" s="355">
        <v>45825</v>
      </c>
      <c r="O49" s="356" t="s">
        <v>511</v>
      </c>
      <c r="P49" s="354">
        <f t="shared" si="1"/>
        <v>0</v>
      </c>
      <c r="Q49" s="354"/>
      <c r="R49" s="382"/>
      <c r="S49" s="358"/>
      <c r="T49" s="358"/>
      <c r="U49" s="358"/>
      <c r="V49" s="358"/>
    </row>
    <row r="50" spans="1:22" x14ac:dyDescent="0.35">
      <c r="A50" s="358"/>
      <c r="B50" s="358"/>
      <c r="C50" s="379"/>
      <c r="D50" s="360"/>
      <c r="E50" s="358"/>
      <c r="F50" s="358"/>
      <c r="G50" s="361"/>
      <c r="H50" s="361"/>
      <c r="I50" s="361"/>
      <c r="J50" s="358"/>
      <c r="K50" s="358"/>
      <c r="L50" s="354" t="s">
        <v>819</v>
      </c>
      <c r="M50" s="355">
        <v>45838</v>
      </c>
      <c r="N50" s="355">
        <v>45838</v>
      </c>
      <c r="O50" s="356" t="s">
        <v>511</v>
      </c>
      <c r="P50" s="354">
        <f t="shared" si="1"/>
        <v>0</v>
      </c>
      <c r="Q50" s="354"/>
      <c r="R50" s="382"/>
      <c r="S50" s="358"/>
      <c r="T50" s="358"/>
      <c r="U50" s="358"/>
      <c r="V50" s="380"/>
    </row>
    <row r="51" spans="1:22" x14ac:dyDescent="0.35">
      <c r="A51" s="358"/>
      <c r="B51" s="358"/>
      <c r="C51" s="379"/>
      <c r="D51" s="360"/>
      <c r="E51" s="358"/>
      <c r="F51" s="358"/>
      <c r="G51" s="361"/>
      <c r="H51" s="361"/>
      <c r="I51" s="361"/>
      <c r="J51" s="358"/>
      <c r="K51" s="358"/>
      <c r="L51" s="354" t="s">
        <v>826</v>
      </c>
      <c r="M51" s="355">
        <v>45866</v>
      </c>
      <c r="N51" s="383">
        <v>45868</v>
      </c>
      <c r="O51" s="356" t="s">
        <v>511</v>
      </c>
      <c r="P51" s="354">
        <f>N51-M51</f>
        <v>2</v>
      </c>
      <c r="Q51" s="354"/>
      <c r="R51" s="384"/>
      <c r="S51" s="358"/>
      <c r="T51" s="358"/>
      <c r="U51" s="358"/>
      <c r="V51" s="380"/>
    </row>
    <row r="52" spans="1:22" x14ac:dyDescent="0.35">
      <c r="A52" s="350">
        <v>8</v>
      </c>
      <c r="B52" s="350" t="s">
        <v>6</v>
      </c>
      <c r="C52" s="351" t="s">
        <v>498</v>
      </c>
      <c r="D52" s="352" t="s">
        <v>512</v>
      </c>
      <c r="E52" s="350" t="s">
        <v>513</v>
      </c>
      <c r="F52" s="350" t="s">
        <v>467</v>
      </c>
      <c r="G52" s="353">
        <v>45811</v>
      </c>
      <c r="H52" s="353">
        <f>G52+15</f>
        <v>45826</v>
      </c>
      <c r="I52" s="353">
        <v>45811</v>
      </c>
      <c r="J52" s="350">
        <f>I52-G52</f>
        <v>0</v>
      </c>
      <c r="K52" s="350">
        <f>R52-H52</f>
        <v>20</v>
      </c>
      <c r="L52" s="354" t="s">
        <v>458</v>
      </c>
      <c r="M52" s="355">
        <v>45811</v>
      </c>
      <c r="N52" s="355">
        <v>45818</v>
      </c>
      <c r="O52" s="356" t="s">
        <v>468</v>
      </c>
      <c r="P52" s="354">
        <f t="shared" si="1"/>
        <v>7</v>
      </c>
      <c r="Q52" s="354">
        <f>M53-N52</f>
        <v>15</v>
      </c>
      <c r="R52" s="353">
        <f>N53</f>
        <v>45846</v>
      </c>
      <c r="S52" s="350" t="s">
        <v>397</v>
      </c>
      <c r="T52" s="350" t="str">
        <f>O53</f>
        <v xml:space="preserve">CAT -IV </v>
      </c>
      <c r="U52" s="350" t="s">
        <v>397</v>
      </c>
      <c r="V52" s="354"/>
    </row>
    <row r="53" spans="1:22" x14ac:dyDescent="0.35">
      <c r="A53" s="358"/>
      <c r="B53" s="358"/>
      <c r="C53" s="359"/>
      <c r="D53" s="360"/>
      <c r="E53" s="358"/>
      <c r="F53" s="358"/>
      <c r="G53" s="361"/>
      <c r="H53" s="361"/>
      <c r="I53" s="361"/>
      <c r="J53" s="358"/>
      <c r="K53" s="358"/>
      <c r="L53" s="354" t="s">
        <v>460</v>
      </c>
      <c r="M53" s="355">
        <v>45833</v>
      </c>
      <c r="N53" s="355">
        <v>45846</v>
      </c>
      <c r="O53" s="356" t="s">
        <v>511</v>
      </c>
      <c r="P53" s="354">
        <f t="shared" si="1"/>
        <v>13</v>
      </c>
      <c r="Q53" s="354"/>
      <c r="R53" s="358"/>
      <c r="S53" s="358"/>
      <c r="T53" s="358"/>
      <c r="U53" s="358"/>
      <c r="V53" s="380"/>
    </row>
    <row r="54" spans="1:22" ht="31.5" x14ac:dyDescent="0.35">
      <c r="A54" s="354">
        <v>9</v>
      </c>
      <c r="B54" s="354" t="s">
        <v>6</v>
      </c>
      <c r="C54" s="363" t="s">
        <v>498</v>
      </c>
      <c r="D54" s="364" t="s">
        <v>514</v>
      </c>
      <c r="E54" s="354" t="s">
        <v>515</v>
      </c>
      <c r="F54" s="354" t="s">
        <v>467</v>
      </c>
      <c r="G54" s="355">
        <v>45824</v>
      </c>
      <c r="H54" s="355">
        <f>G54+5</f>
        <v>45829</v>
      </c>
      <c r="I54" s="355">
        <v>45842</v>
      </c>
      <c r="J54" s="354">
        <f>I54-G54</f>
        <v>18</v>
      </c>
      <c r="K54" s="354">
        <f>R54-H54</f>
        <v>16</v>
      </c>
      <c r="L54" s="354" t="s">
        <v>458</v>
      </c>
      <c r="M54" s="355">
        <v>45842</v>
      </c>
      <c r="N54" s="355">
        <v>45845</v>
      </c>
      <c r="O54" s="356" t="s">
        <v>511</v>
      </c>
      <c r="P54" s="354">
        <f t="shared" si="1"/>
        <v>3</v>
      </c>
      <c r="Q54" s="354"/>
      <c r="R54" s="383">
        <v>45845</v>
      </c>
      <c r="S54" s="354" t="s">
        <v>397</v>
      </c>
      <c r="T54" s="354" t="s">
        <v>511</v>
      </c>
      <c r="U54" s="354" t="s">
        <v>397</v>
      </c>
      <c r="V54" s="354"/>
    </row>
    <row r="55" spans="1:22" ht="31.5" x14ac:dyDescent="0.35">
      <c r="A55" s="343">
        <v>10</v>
      </c>
      <c r="B55" s="343" t="s">
        <v>6</v>
      </c>
      <c r="C55" s="373" t="s">
        <v>498</v>
      </c>
      <c r="D55" s="374" t="s">
        <v>827</v>
      </c>
      <c r="E55" s="343" t="s">
        <v>828</v>
      </c>
      <c r="F55" s="343" t="s">
        <v>467</v>
      </c>
      <c r="G55" s="344">
        <v>45824</v>
      </c>
      <c r="H55" s="344">
        <f>G55+5</f>
        <v>45829</v>
      </c>
      <c r="I55" s="344">
        <v>45848</v>
      </c>
      <c r="J55" s="343">
        <f>I55-G55</f>
        <v>24</v>
      </c>
      <c r="K55" s="343">
        <f ca="1">I1-H55</f>
        <v>58</v>
      </c>
      <c r="L55" s="343" t="s">
        <v>458</v>
      </c>
      <c r="M55" s="344">
        <v>45848</v>
      </c>
      <c r="N55" s="344">
        <v>45850</v>
      </c>
      <c r="O55" s="345" t="s">
        <v>468</v>
      </c>
      <c r="P55" s="343">
        <f t="shared" si="1"/>
        <v>2</v>
      </c>
      <c r="Q55" s="343">
        <f ca="1">I1-N55</f>
        <v>37</v>
      </c>
      <c r="R55" s="385"/>
      <c r="S55" s="343" t="s">
        <v>489</v>
      </c>
      <c r="T55" s="343" t="str">
        <f>O55</f>
        <v>CAT -IV R</v>
      </c>
      <c r="U55" s="343" t="s">
        <v>464</v>
      </c>
      <c r="V55" s="343"/>
    </row>
    <row r="56" spans="1:22" ht="31.5" x14ac:dyDescent="0.35">
      <c r="A56" s="354">
        <v>11</v>
      </c>
      <c r="B56" s="354" t="s">
        <v>6</v>
      </c>
      <c r="C56" s="363" t="s">
        <v>498</v>
      </c>
      <c r="D56" s="364" t="s">
        <v>829</v>
      </c>
      <c r="E56" s="354" t="s">
        <v>830</v>
      </c>
      <c r="F56" s="354" t="s">
        <v>467</v>
      </c>
      <c r="G56" s="355">
        <v>45824</v>
      </c>
      <c r="H56" s="355">
        <f>G56+5</f>
        <v>45829</v>
      </c>
      <c r="I56" s="355">
        <v>45848</v>
      </c>
      <c r="J56" s="354">
        <f>I56-G56</f>
        <v>24</v>
      </c>
      <c r="K56" s="354">
        <f>R56-H56</f>
        <v>21</v>
      </c>
      <c r="L56" s="354" t="s">
        <v>458</v>
      </c>
      <c r="M56" s="355">
        <v>45848</v>
      </c>
      <c r="N56" s="355">
        <v>45850</v>
      </c>
      <c r="O56" s="356" t="s">
        <v>511</v>
      </c>
      <c r="P56" s="354">
        <f t="shared" si="1"/>
        <v>2</v>
      </c>
      <c r="Q56" s="354"/>
      <c r="R56" s="383">
        <f>N56</f>
        <v>45850</v>
      </c>
      <c r="S56" s="354" t="s">
        <v>397</v>
      </c>
      <c r="T56" s="354" t="s">
        <v>511</v>
      </c>
      <c r="U56" s="354" t="s">
        <v>397</v>
      </c>
      <c r="V56" s="354"/>
    </row>
    <row r="57" spans="1:22" x14ac:dyDescent="0.35">
      <c r="A57" s="339">
        <v>1</v>
      </c>
      <c r="B57" s="339" t="s">
        <v>6</v>
      </c>
      <c r="C57" s="340" t="s">
        <v>516</v>
      </c>
      <c r="D57" s="341" t="s">
        <v>517</v>
      </c>
      <c r="E57" s="339" t="s">
        <v>518</v>
      </c>
      <c r="F57" s="339" t="s">
        <v>457</v>
      </c>
      <c r="G57" s="342">
        <v>45763</v>
      </c>
      <c r="H57" s="342">
        <f>G57+21</f>
        <v>45784</v>
      </c>
      <c r="I57" s="342">
        <v>45763</v>
      </c>
      <c r="J57" s="339">
        <f>I57-G57</f>
        <v>0</v>
      </c>
      <c r="K57" s="339">
        <f ca="1">I1-H57</f>
        <v>103</v>
      </c>
      <c r="L57" s="343" t="s">
        <v>458</v>
      </c>
      <c r="M57" s="344">
        <v>45763</v>
      </c>
      <c r="N57" s="344">
        <v>45784</v>
      </c>
      <c r="O57" s="345" t="s">
        <v>459</v>
      </c>
      <c r="P57" s="343">
        <f t="shared" si="1"/>
        <v>21</v>
      </c>
      <c r="Q57" s="343">
        <f>M61-N57</f>
        <v>69</v>
      </c>
      <c r="R57" s="343"/>
      <c r="S57" s="339" t="s">
        <v>489</v>
      </c>
      <c r="T57" s="339" t="str">
        <f>O61</f>
        <v>CAT - II</v>
      </c>
      <c r="U57" s="339" t="s">
        <v>461</v>
      </c>
      <c r="V57" s="339"/>
    </row>
    <row r="58" spans="1:22" x14ac:dyDescent="0.35">
      <c r="A58" s="339"/>
      <c r="B58" s="339"/>
      <c r="C58" s="340"/>
      <c r="D58" s="341"/>
      <c r="E58" s="386"/>
      <c r="F58" s="386"/>
      <c r="G58" s="387"/>
      <c r="H58" s="387"/>
      <c r="I58" s="387"/>
      <c r="J58" s="386"/>
      <c r="K58" s="386"/>
      <c r="L58" s="343" t="s">
        <v>460</v>
      </c>
      <c r="M58" s="344">
        <v>45791</v>
      </c>
      <c r="N58" s="344">
        <v>45800</v>
      </c>
      <c r="O58" s="345" t="s">
        <v>459</v>
      </c>
      <c r="P58" s="343">
        <f t="shared" si="1"/>
        <v>9</v>
      </c>
      <c r="Q58" s="343">
        <f>M59-N58</f>
        <v>16</v>
      </c>
      <c r="R58" s="343"/>
      <c r="S58" s="386"/>
      <c r="T58" s="386"/>
      <c r="U58" s="386"/>
      <c r="V58" s="386"/>
    </row>
    <row r="59" spans="1:22" x14ac:dyDescent="0.35">
      <c r="A59" s="339"/>
      <c r="B59" s="339"/>
      <c r="C59" s="340"/>
      <c r="D59" s="341"/>
      <c r="E59" s="386"/>
      <c r="F59" s="386"/>
      <c r="G59" s="387"/>
      <c r="H59" s="387"/>
      <c r="I59" s="387"/>
      <c r="J59" s="386"/>
      <c r="K59" s="386"/>
      <c r="L59" s="343" t="s">
        <v>462</v>
      </c>
      <c r="M59" s="344">
        <v>45816</v>
      </c>
      <c r="N59" s="344">
        <v>45821</v>
      </c>
      <c r="O59" s="345" t="s">
        <v>459</v>
      </c>
      <c r="P59" s="343">
        <f t="shared" si="1"/>
        <v>5</v>
      </c>
      <c r="Q59" s="343">
        <f>M61-N59</f>
        <v>32</v>
      </c>
      <c r="R59" s="343"/>
      <c r="S59" s="386"/>
      <c r="T59" s="386"/>
      <c r="U59" s="386"/>
      <c r="V59" s="386"/>
    </row>
    <row r="60" spans="1:22" x14ac:dyDescent="0.35">
      <c r="A60" s="339"/>
      <c r="B60" s="339"/>
      <c r="C60" s="340"/>
      <c r="D60" s="341"/>
      <c r="E60" s="386"/>
      <c r="F60" s="386"/>
      <c r="G60" s="387"/>
      <c r="H60" s="387"/>
      <c r="I60" s="387"/>
      <c r="J60" s="386"/>
      <c r="K60" s="386"/>
      <c r="L60" s="343" t="s">
        <v>463</v>
      </c>
      <c r="M60" s="344">
        <v>45825</v>
      </c>
      <c r="N60" s="344">
        <v>45827</v>
      </c>
      <c r="O60" s="345" t="s">
        <v>481</v>
      </c>
      <c r="P60" s="343">
        <f>N60-M60</f>
        <v>2</v>
      </c>
      <c r="Q60" s="343"/>
      <c r="R60" s="343"/>
      <c r="S60" s="386"/>
      <c r="T60" s="386"/>
      <c r="U60" s="386"/>
      <c r="V60" s="386"/>
    </row>
    <row r="61" spans="1:22" x14ac:dyDescent="0.35">
      <c r="A61" s="339"/>
      <c r="B61" s="339"/>
      <c r="C61" s="340"/>
      <c r="D61" s="341"/>
      <c r="E61" s="386"/>
      <c r="F61" s="386"/>
      <c r="G61" s="387"/>
      <c r="H61" s="387"/>
      <c r="I61" s="387"/>
      <c r="J61" s="386"/>
      <c r="K61" s="386"/>
      <c r="L61" s="343" t="s">
        <v>819</v>
      </c>
      <c r="M61" s="344">
        <v>45853</v>
      </c>
      <c r="N61" s="344"/>
      <c r="O61" s="345" t="s">
        <v>481</v>
      </c>
      <c r="P61" s="343">
        <f ca="1">I1-M61</f>
        <v>34</v>
      </c>
      <c r="Q61" s="343"/>
      <c r="R61" s="343"/>
      <c r="S61" s="386"/>
      <c r="T61" s="386"/>
      <c r="U61" s="386"/>
      <c r="V61" s="386"/>
    </row>
    <row r="62" spans="1:22" ht="31.5" x14ac:dyDescent="0.35">
      <c r="A62" s="330">
        <v>2</v>
      </c>
      <c r="B62" s="330" t="s">
        <v>6</v>
      </c>
      <c r="C62" s="366" t="s">
        <v>516</v>
      </c>
      <c r="D62" s="367" t="s">
        <v>519</v>
      </c>
      <c r="E62" s="332" t="s">
        <v>520</v>
      </c>
      <c r="F62" s="330" t="s">
        <v>457</v>
      </c>
      <c r="G62" s="368">
        <v>45809</v>
      </c>
      <c r="H62" s="368">
        <f>G62+15</f>
        <v>45824</v>
      </c>
      <c r="I62" s="368"/>
      <c r="J62" s="330">
        <f ca="1">I1-H62</f>
        <v>63</v>
      </c>
      <c r="K62" s="330">
        <f ca="1">$I$1-H62</f>
        <v>63</v>
      </c>
      <c r="L62" s="332">
        <f ca="1">$I$1-H62</f>
        <v>63</v>
      </c>
      <c r="M62" s="369"/>
      <c r="N62" s="369"/>
      <c r="O62" s="370"/>
      <c r="P62" s="332"/>
      <c r="Q62" s="332"/>
      <c r="R62" s="332"/>
      <c r="S62" s="332"/>
      <c r="T62" s="332"/>
      <c r="U62" s="332"/>
      <c r="V62" s="332"/>
    </row>
    <row r="63" spans="1:22" ht="31.5" x14ac:dyDescent="0.35">
      <c r="A63" s="354">
        <v>3</v>
      </c>
      <c r="B63" s="354" t="s">
        <v>6</v>
      </c>
      <c r="C63" s="363" t="s">
        <v>516</v>
      </c>
      <c r="D63" s="364" t="s">
        <v>521</v>
      </c>
      <c r="E63" s="354" t="s">
        <v>856</v>
      </c>
      <c r="F63" s="354" t="s">
        <v>457</v>
      </c>
      <c r="G63" s="355">
        <v>45813</v>
      </c>
      <c r="H63" s="355">
        <f>G63+15</f>
        <v>45828</v>
      </c>
      <c r="I63" s="355">
        <f>M63</f>
        <v>45867</v>
      </c>
      <c r="J63" s="354">
        <f>I63-G63</f>
        <v>54</v>
      </c>
      <c r="K63" s="354">
        <f>R63-H63</f>
        <v>44</v>
      </c>
      <c r="L63" s="354" t="s">
        <v>462</v>
      </c>
      <c r="M63" s="355">
        <v>45867</v>
      </c>
      <c r="N63" s="355">
        <v>45872</v>
      </c>
      <c r="O63" s="356" t="s">
        <v>472</v>
      </c>
      <c r="P63" s="354"/>
      <c r="Q63" s="354"/>
      <c r="R63" s="355">
        <f>N63</f>
        <v>45872</v>
      </c>
      <c r="S63" s="354" t="s">
        <v>397</v>
      </c>
      <c r="T63" s="354" t="str">
        <f>O63</f>
        <v>CAT - I</v>
      </c>
      <c r="U63" s="354" t="s">
        <v>397</v>
      </c>
      <c r="V63" s="354"/>
    </row>
    <row r="64" spans="1:22" x14ac:dyDescent="0.35">
      <c r="A64" s="350">
        <v>3</v>
      </c>
      <c r="B64" s="350" t="s">
        <v>6</v>
      </c>
      <c r="C64" s="350" t="s">
        <v>516</v>
      </c>
      <c r="D64" s="351" t="s">
        <v>521</v>
      </c>
      <c r="E64" s="350" t="s">
        <v>857</v>
      </c>
      <c r="F64" s="350" t="s">
        <v>457</v>
      </c>
      <c r="G64" s="353">
        <v>45813</v>
      </c>
      <c r="H64" s="353">
        <f>G64+15</f>
        <v>45828</v>
      </c>
      <c r="I64" s="353">
        <f>M64</f>
        <v>45867</v>
      </c>
      <c r="J64" s="350">
        <f>I64-G64</f>
        <v>54</v>
      </c>
      <c r="K64" s="350">
        <f>R64-H64</f>
        <v>55</v>
      </c>
      <c r="L64" s="354" t="s">
        <v>458</v>
      </c>
      <c r="M64" s="355">
        <v>45867</v>
      </c>
      <c r="N64" s="355">
        <v>45872</v>
      </c>
      <c r="O64" s="356" t="s">
        <v>459</v>
      </c>
      <c r="P64" s="354">
        <f>N64-M64</f>
        <v>5</v>
      </c>
      <c r="Q64" s="354">
        <f>M65-N64</f>
        <v>9</v>
      </c>
      <c r="R64" s="371">
        <f>N65</f>
        <v>45883</v>
      </c>
      <c r="S64" s="350" t="s">
        <v>397</v>
      </c>
      <c r="T64" s="350" t="str">
        <f>O65</f>
        <v>CAT - I</v>
      </c>
      <c r="U64" s="350" t="s">
        <v>397</v>
      </c>
      <c r="V64" s="350"/>
    </row>
    <row r="65" spans="1:22" x14ac:dyDescent="0.35">
      <c r="A65" s="358"/>
      <c r="B65" s="358"/>
      <c r="C65" s="358"/>
      <c r="D65" s="359"/>
      <c r="E65" s="358"/>
      <c r="F65" s="358"/>
      <c r="G65" s="361"/>
      <c r="H65" s="361"/>
      <c r="I65" s="361"/>
      <c r="J65" s="358"/>
      <c r="K65" s="358"/>
      <c r="L65" s="354" t="s">
        <v>460</v>
      </c>
      <c r="M65" s="355">
        <v>45881</v>
      </c>
      <c r="N65" s="355">
        <v>45883</v>
      </c>
      <c r="O65" s="356" t="s">
        <v>472</v>
      </c>
      <c r="P65" s="354">
        <f>N65-M65</f>
        <v>2</v>
      </c>
      <c r="Q65" s="354"/>
      <c r="R65" s="372"/>
      <c r="S65" s="358"/>
      <c r="T65" s="358"/>
      <c r="U65" s="358"/>
      <c r="V65" s="358"/>
    </row>
    <row r="66" spans="1:22" ht="31.5" x14ac:dyDescent="0.35">
      <c r="A66" s="330">
        <v>4</v>
      </c>
      <c r="B66" s="330" t="s">
        <v>6</v>
      </c>
      <c r="C66" s="366" t="s">
        <v>516</v>
      </c>
      <c r="D66" s="367" t="s">
        <v>522</v>
      </c>
      <c r="E66" s="332" t="s">
        <v>523</v>
      </c>
      <c r="F66" s="332" t="s">
        <v>457</v>
      </c>
      <c r="G66" s="369">
        <v>45838</v>
      </c>
      <c r="H66" s="369">
        <f>G66+7</f>
        <v>45845</v>
      </c>
      <c r="I66" s="369"/>
      <c r="J66" s="332">
        <f ca="1">$I$1-G66</f>
        <v>49</v>
      </c>
      <c r="K66" s="330">
        <f ca="1">$I$1-H66</f>
        <v>42</v>
      </c>
      <c r="L66" s="332"/>
      <c r="M66" s="369"/>
      <c r="N66" s="369"/>
      <c r="O66" s="370"/>
      <c r="P66" s="332"/>
      <c r="Q66" s="332"/>
      <c r="R66" s="332"/>
      <c r="S66" s="332"/>
      <c r="T66" s="332"/>
      <c r="U66" s="332"/>
      <c r="V66" s="332"/>
    </row>
    <row r="67" spans="1:22" ht="31.5" x14ac:dyDescent="0.35">
      <c r="A67" s="330">
        <v>5</v>
      </c>
      <c r="B67" s="330" t="s">
        <v>6</v>
      </c>
      <c r="C67" s="366" t="s">
        <v>516</v>
      </c>
      <c r="D67" s="367" t="s">
        <v>524</v>
      </c>
      <c r="E67" s="332" t="s">
        <v>525</v>
      </c>
      <c r="F67" s="332" t="s">
        <v>457</v>
      </c>
      <c r="G67" s="369">
        <v>45874</v>
      </c>
      <c r="H67" s="369">
        <f>G67+12</f>
        <v>45886</v>
      </c>
      <c r="I67" s="369"/>
      <c r="J67" s="332">
        <f t="shared" ref="J67:K71" ca="1" si="2">$I$1-G67</f>
        <v>13</v>
      </c>
      <c r="K67" s="330">
        <f ca="1">$I$1-H67</f>
        <v>1</v>
      </c>
      <c r="L67" s="332"/>
      <c r="M67" s="369"/>
      <c r="N67" s="369"/>
      <c r="O67" s="370"/>
      <c r="P67" s="332"/>
      <c r="Q67" s="332"/>
      <c r="R67" s="332"/>
      <c r="S67" s="332"/>
      <c r="T67" s="332"/>
      <c r="U67" s="332"/>
      <c r="V67" s="332"/>
    </row>
    <row r="68" spans="1:22" ht="31.5" x14ac:dyDescent="0.35">
      <c r="A68" s="330">
        <v>6</v>
      </c>
      <c r="B68" s="330" t="s">
        <v>6</v>
      </c>
      <c r="C68" s="366" t="s">
        <v>516</v>
      </c>
      <c r="D68" s="367" t="s">
        <v>526</v>
      </c>
      <c r="E68" s="332" t="s">
        <v>527</v>
      </c>
      <c r="F68" s="332" t="s">
        <v>457</v>
      </c>
      <c r="G68" s="369">
        <v>45905</v>
      </c>
      <c r="H68" s="369">
        <f>G68+15</f>
        <v>45920</v>
      </c>
      <c r="I68" s="369"/>
      <c r="J68" s="332">
        <f t="shared" ca="1" si="2"/>
        <v>-18</v>
      </c>
      <c r="K68" s="330">
        <f t="shared" ca="1" si="2"/>
        <v>-33</v>
      </c>
      <c r="L68" s="332"/>
      <c r="M68" s="369"/>
      <c r="N68" s="369"/>
      <c r="O68" s="370"/>
      <c r="P68" s="332"/>
      <c r="Q68" s="332"/>
      <c r="R68" s="332"/>
      <c r="S68" s="332"/>
      <c r="T68" s="332"/>
      <c r="U68" s="332"/>
      <c r="V68" s="332"/>
    </row>
    <row r="69" spans="1:22" ht="31.5" x14ac:dyDescent="0.35">
      <c r="A69" s="330">
        <v>7</v>
      </c>
      <c r="B69" s="330" t="s">
        <v>6</v>
      </c>
      <c r="C69" s="366" t="s">
        <v>516</v>
      </c>
      <c r="D69" s="367" t="s">
        <v>528</v>
      </c>
      <c r="E69" s="332" t="s">
        <v>529</v>
      </c>
      <c r="F69" s="332" t="s">
        <v>457</v>
      </c>
      <c r="G69" s="369">
        <v>45908</v>
      </c>
      <c r="H69" s="369">
        <f>G69+15</f>
        <v>45923</v>
      </c>
      <c r="I69" s="369"/>
      <c r="J69" s="332">
        <f t="shared" ca="1" si="2"/>
        <v>-21</v>
      </c>
      <c r="K69" s="330">
        <f t="shared" ca="1" si="2"/>
        <v>-36</v>
      </c>
      <c r="L69" s="332"/>
      <c r="M69" s="369"/>
      <c r="N69" s="369"/>
      <c r="O69" s="370"/>
      <c r="P69" s="332"/>
      <c r="Q69" s="332"/>
      <c r="R69" s="332"/>
      <c r="S69" s="332"/>
      <c r="T69" s="332"/>
      <c r="U69" s="332"/>
      <c r="V69" s="332"/>
    </row>
    <row r="70" spans="1:22" ht="31.5" x14ac:dyDescent="0.35">
      <c r="A70" s="330">
        <v>8</v>
      </c>
      <c r="B70" s="330" t="s">
        <v>6</v>
      </c>
      <c r="C70" s="366" t="s">
        <v>516</v>
      </c>
      <c r="D70" s="367" t="s">
        <v>530</v>
      </c>
      <c r="E70" s="332" t="s">
        <v>531</v>
      </c>
      <c r="F70" s="332" t="s">
        <v>457</v>
      </c>
      <c r="G70" s="369">
        <v>45858</v>
      </c>
      <c r="H70" s="369">
        <f>G70+15</f>
        <v>45873</v>
      </c>
      <c r="I70" s="369"/>
      <c r="J70" s="332">
        <f t="shared" ca="1" si="2"/>
        <v>29</v>
      </c>
      <c r="K70" s="330">
        <f t="shared" ca="1" si="2"/>
        <v>14</v>
      </c>
      <c r="L70" s="332"/>
      <c r="M70" s="369"/>
      <c r="N70" s="369"/>
      <c r="O70" s="370"/>
      <c r="P70" s="332"/>
      <c r="Q70" s="332"/>
      <c r="R70" s="332"/>
      <c r="S70" s="332"/>
      <c r="T70" s="332"/>
      <c r="U70" s="332"/>
      <c r="V70" s="332"/>
    </row>
    <row r="71" spans="1:22" ht="31.5" x14ac:dyDescent="0.35">
      <c r="A71" s="330">
        <v>9</v>
      </c>
      <c r="B71" s="330" t="s">
        <v>6</v>
      </c>
      <c r="C71" s="366" t="s">
        <v>516</v>
      </c>
      <c r="D71" s="367" t="s">
        <v>532</v>
      </c>
      <c r="E71" s="332" t="s">
        <v>533</v>
      </c>
      <c r="F71" s="332" t="s">
        <v>457</v>
      </c>
      <c r="G71" s="369">
        <v>45868</v>
      </c>
      <c r="H71" s="369">
        <f>G71+15</f>
        <v>45883</v>
      </c>
      <c r="I71" s="369"/>
      <c r="J71" s="332">
        <f t="shared" ca="1" si="2"/>
        <v>19</v>
      </c>
      <c r="K71" s="330">
        <f t="shared" ca="1" si="2"/>
        <v>4</v>
      </c>
      <c r="L71" s="332"/>
      <c r="M71" s="369"/>
      <c r="N71" s="369"/>
      <c r="O71" s="370"/>
      <c r="P71" s="332"/>
      <c r="Q71" s="332"/>
      <c r="R71" s="332"/>
      <c r="S71" s="332"/>
      <c r="T71" s="332"/>
      <c r="U71" s="332"/>
      <c r="V71" s="332"/>
    </row>
    <row r="72" spans="1:22" x14ac:dyDescent="0.35">
      <c r="A72" s="339">
        <v>1</v>
      </c>
      <c r="B72" s="339" t="s">
        <v>6</v>
      </c>
      <c r="C72" s="340" t="s">
        <v>534</v>
      </c>
      <c r="D72" s="341" t="s">
        <v>535</v>
      </c>
      <c r="E72" s="339" t="s">
        <v>536</v>
      </c>
      <c r="F72" s="339" t="s">
        <v>457</v>
      </c>
      <c r="G72" s="342">
        <v>45794</v>
      </c>
      <c r="H72" s="342">
        <f>G72+7</f>
        <v>45801</v>
      </c>
      <c r="I72" s="342">
        <v>45834</v>
      </c>
      <c r="J72" s="339">
        <f>I72-G72</f>
        <v>40</v>
      </c>
      <c r="K72" s="339">
        <f ca="1">I1-H72</f>
        <v>86</v>
      </c>
      <c r="L72" s="343" t="s">
        <v>458</v>
      </c>
      <c r="M72" s="344">
        <v>45834</v>
      </c>
      <c r="N72" s="344">
        <v>45845</v>
      </c>
      <c r="O72" s="345" t="s">
        <v>459</v>
      </c>
      <c r="P72" s="343">
        <f>N72-M72</f>
        <v>11</v>
      </c>
      <c r="Q72" s="343">
        <f ca="1">I1-N72</f>
        <v>42</v>
      </c>
      <c r="R72" s="388"/>
      <c r="S72" s="339" t="s">
        <v>482</v>
      </c>
      <c r="T72" s="339" t="str">
        <f>O72</f>
        <v>CAT - III</v>
      </c>
      <c r="U72" s="339" t="s">
        <v>461</v>
      </c>
      <c r="V72" s="339"/>
    </row>
    <row r="73" spans="1:22" x14ac:dyDescent="0.35">
      <c r="A73" s="339"/>
      <c r="B73" s="339"/>
      <c r="C73" s="389"/>
      <c r="D73" s="341"/>
      <c r="E73" s="386"/>
      <c r="F73" s="386"/>
      <c r="G73" s="387"/>
      <c r="H73" s="387"/>
      <c r="I73" s="387"/>
      <c r="J73" s="386"/>
      <c r="K73" s="386"/>
      <c r="L73" s="343" t="s">
        <v>460</v>
      </c>
      <c r="M73" s="344">
        <v>45856</v>
      </c>
      <c r="N73" s="344">
        <v>45862</v>
      </c>
      <c r="O73" s="345" t="s">
        <v>459</v>
      </c>
      <c r="P73" s="343"/>
      <c r="Q73" s="343"/>
      <c r="R73" s="390"/>
      <c r="S73" s="386"/>
      <c r="T73" s="386"/>
      <c r="U73" s="386"/>
      <c r="V73" s="339"/>
    </row>
    <row r="74" spans="1:22" x14ac:dyDescent="0.35">
      <c r="A74" s="339"/>
      <c r="B74" s="339"/>
      <c r="C74" s="389"/>
      <c r="D74" s="341"/>
      <c r="E74" s="386"/>
      <c r="F74" s="386"/>
      <c r="G74" s="387"/>
      <c r="H74" s="387"/>
      <c r="I74" s="387"/>
      <c r="J74" s="386"/>
      <c r="K74" s="386"/>
      <c r="L74" s="343" t="s">
        <v>462</v>
      </c>
      <c r="M74" s="344">
        <v>45867</v>
      </c>
      <c r="N74" s="344"/>
      <c r="O74" s="345"/>
      <c r="P74" s="343"/>
      <c r="Q74" s="343"/>
      <c r="R74" s="391"/>
      <c r="S74" s="386"/>
      <c r="T74" s="386"/>
      <c r="U74" s="386"/>
      <c r="V74" s="339"/>
    </row>
    <row r="75" spans="1:22" x14ac:dyDescent="0.35">
      <c r="A75" s="388">
        <v>2</v>
      </c>
      <c r="B75" s="388" t="s">
        <v>6</v>
      </c>
      <c r="C75" s="392" t="s">
        <v>534</v>
      </c>
      <c r="D75" s="393" t="s">
        <v>535</v>
      </c>
      <c r="E75" s="339" t="s">
        <v>835</v>
      </c>
      <c r="F75" s="339" t="s">
        <v>457</v>
      </c>
      <c r="G75" s="342">
        <v>45794</v>
      </c>
      <c r="H75" s="342">
        <f>G75+7</f>
        <v>45801</v>
      </c>
      <c r="I75" s="342">
        <v>45860</v>
      </c>
      <c r="J75" s="339">
        <f>I75-G75</f>
        <v>66</v>
      </c>
      <c r="K75" s="339">
        <f ca="1">I1-H75</f>
        <v>86</v>
      </c>
      <c r="L75" s="343" t="s">
        <v>458</v>
      </c>
      <c r="M75" s="344">
        <v>45860</v>
      </c>
      <c r="N75" s="344">
        <v>45845</v>
      </c>
      <c r="O75" s="345" t="s">
        <v>459</v>
      </c>
      <c r="P75" s="343"/>
      <c r="Q75" s="343"/>
      <c r="R75" s="388"/>
      <c r="S75" s="339" t="s">
        <v>482</v>
      </c>
      <c r="T75" s="388" t="str">
        <f>O76</f>
        <v>CAT - III</v>
      </c>
      <c r="U75" s="339" t="s">
        <v>461</v>
      </c>
      <c r="V75" s="343"/>
    </row>
    <row r="76" spans="1:22" x14ac:dyDescent="0.35">
      <c r="A76" s="390"/>
      <c r="B76" s="390"/>
      <c r="C76" s="394"/>
      <c r="D76" s="395"/>
      <c r="E76" s="386"/>
      <c r="F76" s="386"/>
      <c r="G76" s="387"/>
      <c r="H76" s="387"/>
      <c r="I76" s="387"/>
      <c r="J76" s="386"/>
      <c r="K76" s="386"/>
      <c r="L76" s="343" t="s">
        <v>460</v>
      </c>
      <c r="M76" s="344">
        <v>45855</v>
      </c>
      <c r="N76" s="344">
        <v>45862</v>
      </c>
      <c r="O76" s="345" t="s">
        <v>459</v>
      </c>
      <c r="P76" s="343"/>
      <c r="Q76" s="343"/>
      <c r="R76" s="390"/>
      <c r="S76" s="386"/>
      <c r="T76" s="390"/>
      <c r="U76" s="386"/>
      <c r="V76" s="343"/>
    </row>
    <row r="77" spans="1:22" x14ac:dyDescent="0.35">
      <c r="A77" s="391"/>
      <c r="B77" s="391"/>
      <c r="C77" s="396"/>
      <c r="D77" s="397"/>
      <c r="E77" s="386"/>
      <c r="F77" s="386"/>
      <c r="G77" s="387"/>
      <c r="H77" s="387"/>
      <c r="I77" s="387"/>
      <c r="J77" s="386"/>
      <c r="K77" s="386"/>
      <c r="L77" s="343" t="s">
        <v>462</v>
      </c>
      <c r="M77" s="344">
        <v>45867</v>
      </c>
      <c r="N77" s="344"/>
      <c r="O77" s="345"/>
      <c r="P77" s="343"/>
      <c r="Q77" s="343"/>
      <c r="R77" s="391"/>
      <c r="S77" s="386"/>
      <c r="T77" s="391"/>
      <c r="U77" s="386"/>
      <c r="V77" s="343"/>
    </row>
    <row r="78" spans="1:22" x14ac:dyDescent="0.35">
      <c r="A78" s="339">
        <v>3</v>
      </c>
      <c r="B78" s="339" t="s">
        <v>6</v>
      </c>
      <c r="C78" s="389" t="s">
        <v>534</v>
      </c>
      <c r="D78" s="341" t="s">
        <v>537</v>
      </c>
      <c r="E78" s="339" t="s">
        <v>843</v>
      </c>
      <c r="F78" s="339" t="s">
        <v>457</v>
      </c>
      <c r="G78" s="342">
        <v>45794</v>
      </c>
      <c r="H78" s="342">
        <f>G78+7</f>
        <v>45801</v>
      </c>
      <c r="I78" s="342">
        <v>45834</v>
      </c>
      <c r="J78" s="339">
        <f>I78-G78</f>
        <v>40</v>
      </c>
      <c r="K78" s="339">
        <f ca="1">I1-H78</f>
        <v>86</v>
      </c>
      <c r="L78" s="343" t="s">
        <v>458</v>
      </c>
      <c r="M78" s="344">
        <v>45834</v>
      </c>
      <c r="N78" s="344">
        <v>45845</v>
      </c>
      <c r="O78" s="345" t="s">
        <v>459</v>
      </c>
      <c r="P78" s="343">
        <f>N78-M78</f>
        <v>11</v>
      </c>
      <c r="Q78" s="343">
        <f>M79-N78</f>
        <v>10</v>
      </c>
      <c r="R78" s="388"/>
      <c r="S78" s="339" t="s">
        <v>482</v>
      </c>
      <c r="T78" s="339" t="s">
        <v>459</v>
      </c>
      <c r="U78" s="339" t="s">
        <v>461</v>
      </c>
      <c r="V78" s="339"/>
    </row>
    <row r="79" spans="1:22" x14ac:dyDescent="0.35">
      <c r="A79" s="339"/>
      <c r="B79" s="339"/>
      <c r="C79" s="389"/>
      <c r="D79" s="341"/>
      <c r="E79" s="386"/>
      <c r="F79" s="386"/>
      <c r="G79" s="387"/>
      <c r="H79" s="387"/>
      <c r="I79" s="387"/>
      <c r="J79" s="386"/>
      <c r="K79" s="386"/>
      <c r="L79" s="343" t="s">
        <v>460</v>
      </c>
      <c r="M79" s="344">
        <v>45855</v>
      </c>
      <c r="N79" s="344"/>
      <c r="O79" s="345" t="s">
        <v>459</v>
      </c>
      <c r="P79" s="343"/>
      <c r="Q79" s="343"/>
      <c r="R79" s="390"/>
      <c r="S79" s="386"/>
      <c r="T79" s="386"/>
      <c r="U79" s="386"/>
      <c r="V79" s="339"/>
    </row>
    <row r="80" spans="1:22" x14ac:dyDescent="0.35">
      <c r="A80" s="339"/>
      <c r="B80" s="339"/>
      <c r="C80" s="389"/>
      <c r="D80" s="341"/>
      <c r="E80" s="386"/>
      <c r="F80" s="386"/>
      <c r="G80" s="387"/>
      <c r="H80" s="387"/>
      <c r="I80" s="387"/>
      <c r="J80" s="386"/>
      <c r="K80" s="386"/>
      <c r="L80" s="343" t="s">
        <v>458</v>
      </c>
      <c r="M80" s="344">
        <v>45867</v>
      </c>
      <c r="N80" s="344">
        <v>45872</v>
      </c>
      <c r="O80" s="345" t="s">
        <v>481</v>
      </c>
      <c r="P80" s="343">
        <f>N80-M80</f>
        <v>5</v>
      </c>
      <c r="Q80" s="343">
        <f ca="1">I1-N80</f>
        <v>15</v>
      </c>
      <c r="R80" s="390"/>
      <c r="S80" s="386"/>
      <c r="T80" s="386"/>
      <c r="U80" s="386"/>
      <c r="V80" s="339"/>
    </row>
    <row r="81" spans="1:22" x14ac:dyDescent="0.35">
      <c r="A81" s="339"/>
      <c r="B81" s="339"/>
      <c r="C81" s="389"/>
      <c r="D81" s="341"/>
      <c r="E81" s="386"/>
      <c r="F81" s="386"/>
      <c r="G81" s="387"/>
      <c r="H81" s="387"/>
      <c r="I81" s="387"/>
      <c r="J81" s="386"/>
      <c r="K81" s="386"/>
      <c r="L81" s="343" t="s">
        <v>460</v>
      </c>
      <c r="M81" s="344">
        <v>45873</v>
      </c>
      <c r="N81" s="344"/>
      <c r="O81" s="345"/>
      <c r="P81" s="343">
        <f ca="1">I1-M81</f>
        <v>14</v>
      </c>
      <c r="Q81" s="343"/>
      <c r="R81" s="391"/>
      <c r="S81" s="386"/>
      <c r="T81" s="386"/>
      <c r="U81" s="386"/>
      <c r="V81" s="343"/>
    </row>
    <row r="82" spans="1:22" x14ac:dyDescent="0.35">
      <c r="A82" s="339">
        <v>4</v>
      </c>
      <c r="B82" s="339" t="s">
        <v>6</v>
      </c>
      <c r="C82" s="340" t="s">
        <v>534</v>
      </c>
      <c r="D82" s="341" t="s">
        <v>538</v>
      </c>
      <c r="E82" s="339" t="s">
        <v>539</v>
      </c>
      <c r="F82" s="339" t="s">
        <v>457</v>
      </c>
      <c r="G82" s="342">
        <v>45797</v>
      </c>
      <c r="H82" s="342">
        <f>G82+12</f>
        <v>45809</v>
      </c>
      <c r="I82" s="342">
        <f>M82</f>
        <v>45860</v>
      </c>
      <c r="J82" s="339">
        <f>I82-G82</f>
        <v>63</v>
      </c>
      <c r="K82" s="339">
        <f ca="1">I1-H82</f>
        <v>78</v>
      </c>
      <c r="L82" s="343" t="s">
        <v>458</v>
      </c>
      <c r="M82" s="344">
        <v>45860</v>
      </c>
      <c r="N82" s="344"/>
      <c r="O82" s="345"/>
      <c r="P82" s="343"/>
      <c r="Q82" s="343"/>
      <c r="R82" s="343"/>
      <c r="S82" s="339" t="s">
        <v>482</v>
      </c>
      <c r="T82" s="339"/>
      <c r="U82" s="339" t="s">
        <v>461</v>
      </c>
      <c r="V82" s="343"/>
    </row>
    <row r="83" spans="1:22" x14ac:dyDescent="0.35">
      <c r="A83" s="339"/>
      <c r="B83" s="339"/>
      <c r="C83" s="340"/>
      <c r="D83" s="341"/>
      <c r="E83" s="386"/>
      <c r="F83" s="386"/>
      <c r="G83" s="387"/>
      <c r="H83" s="387"/>
      <c r="I83" s="387"/>
      <c r="J83" s="386"/>
      <c r="K83" s="339"/>
      <c r="L83" s="343" t="s">
        <v>458</v>
      </c>
      <c r="M83" s="344">
        <v>45870</v>
      </c>
      <c r="N83" s="344"/>
      <c r="O83" s="345"/>
      <c r="P83" s="343"/>
      <c r="Q83" s="343"/>
      <c r="R83" s="343"/>
      <c r="S83" s="339"/>
      <c r="T83" s="339"/>
      <c r="U83" s="339"/>
      <c r="V83" s="343"/>
    </row>
    <row r="84" spans="1:22" x14ac:dyDescent="0.35">
      <c r="A84" s="339">
        <v>5</v>
      </c>
      <c r="B84" s="339" t="s">
        <v>6</v>
      </c>
      <c r="C84" s="339" t="s">
        <v>534</v>
      </c>
      <c r="D84" s="340" t="s">
        <v>540</v>
      </c>
      <c r="E84" s="339" t="s">
        <v>844</v>
      </c>
      <c r="F84" s="339" t="s">
        <v>457</v>
      </c>
      <c r="G84" s="342">
        <v>45792</v>
      </c>
      <c r="H84" s="342">
        <f>G84+12</f>
        <v>45804</v>
      </c>
      <c r="I84" s="342">
        <f>M84</f>
        <v>45861</v>
      </c>
      <c r="J84" s="339">
        <f>I84-G84</f>
        <v>69</v>
      </c>
      <c r="K84" s="339">
        <f ca="1">I1-H84</f>
        <v>83</v>
      </c>
      <c r="L84" s="343" t="s">
        <v>458</v>
      </c>
      <c r="M84" s="344">
        <v>45861</v>
      </c>
      <c r="N84" s="344">
        <v>45872</v>
      </c>
      <c r="O84" s="345" t="s">
        <v>459</v>
      </c>
      <c r="P84" s="343">
        <f>N84-M84</f>
        <v>11</v>
      </c>
      <c r="Q84" s="343">
        <f ca="1">I1-N84</f>
        <v>15</v>
      </c>
      <c r="R84" s="343"/>
      <c r="S84" s="339" t="s">
        <v>482</v>
      </c>
      <c r="T84" s="339" t="str">
        <f>O84</f>
        <v>CAT - III</v>
      </c>
      <c r="U84" s="339" t="s">
        <v>461</v>
      </c>
      <c r="V84" s="343"/>
    </row>
    <row r="85" spans="1:22" x14ac:dyDescent="0.35">
      <c r="A85" s="339"/>
      <c r="B85" s="386"/>
      <c r="C85" s="386"/>
      <c r="D85" s="398"/>
      <c r="E85" s="386"/>
      <c r="F85" s="386"/>
      <c r="G85" s="387"/>
      <c r="H85" s="387"/>
      <c r="I85" s="387"/>
      <c r="J85" s="386"/>
      <c r="K85" s="339"/>
      <c r="L85" s="343" t="s">
        <v>460</v>
      </c>
      <c r="M85" s="344">
        <v>45880</v>
      </c>
      <c r="N85" s="344"/>
      <c r="O85" s="345"/>
      <c r="P85" s="343">
        <f ca="1">I1-M85</f>
        <v>7</v>
      </c>
      <c r="Q85" s="343"/>
      <c r="R85" s="343"/>
      <c r="S85" s="339"/>
      <c r="T85" s="339"/>
      <c r="U85" s="339"/>
      <c r="V85" s="343"/>
    </row>
    <row r="86" spans="1:22" x14ac:dyDescent="0.35">
      <c r="A86" s="343">
        <v>6</v>
      </c>
      <c r="B86" s="339" t="s">
        <v>6</v>
      </c>
      <c r="C86" s="389" t="s">
        <v>534</v>
      </c>
      <c r="D86" s="340" t="s">
        <v>541</v>
      </c>
      <c r="E86" s="339" t="s">
        <v>845</v>
      </c>
      <c r="F86" s="339" t="s">
        <v>457</v>
      </c>
      <c r="G86" s="342">
        <v>45802</v>
      </c>
      <c r="H86" s="342">
        <f>G86+15</f>
        <v>45817</v>
      </c>
      <c r="I86" s="342">
        <f>M86</f>
        <v>45861</v>
      </c>
      <c r="J86" s="339">
        <f>I86-G86</f>
        <v>59</v>
      </c>
      <c r="K86" s="388">
        <f ca="1">I1-H86</f>
        <v>70</v>
      </c>
      <c r="L86" s="343" t="s">
        <v>458</v>
      </c>
      <c r="M86" s="344">
        <v>45861</v>
      </c>
      <c r="N86" s="344">
        <v>45872</v>
      </c>
      <c r="O86" s="345" t="s">
        <v>459</v>
      </c>
      <c r="P86" s="343">
        <f>N86-M86</f>
        <v>11</v>
      </c>
      <c r="Q86" s="343">
        <f ca="1">I1-N86</f>
        <v>15</v>
      </c>
      <c r="R86" s="343"/>
      <c r="S86" s="339" t="s">
        <v>482</v>
      </c>
      <c r="T86" s="339" t="str">
        <f>O86</f>
        <v>CAT - III</v>
      </c>
      <c r="U86" s="339" t="s">
        <v>461</v>
      </c>
      <c r="V86" s="343"/>
    </row>
    <row r="87" spans="1:22" x14ac:dyDescent="0.35">
      <c r="A87" s="343"/>
      <c r="B87" s="339"/>
      <c r="C87" s="389"/>
      <c r="D87" s="340"/>
      <c r="E87" s="339"/>
      <c r="F87" s="339"/>
      <c r="G87" s="387"/>
      <c r="H87" s="387"/>
      <c r="I87" s="387"/>
      <c r="J87" s="386"/>
      <c r="K87" s="391"/>
      <c r="L87" s="343" t="s">
        <v>460</v>
      </c>
      <c r="M87" s="344">
        <v>45880</v>
      </c>
      <c r="N87" s="344"/>
      <c r="O87" s="345"/>
      <c r="P87" s="343">
        <f ca="1">I1-M87</f>
        <v>7</v>
      </c>
      <c r="Q87" s="343"/>
      <c r="R87" s="343"/>
      <c r="S87" s="339"/>
      <c r="T87" s="339"/>
      <c r="U87" s="339"/>
      <c r="V87" s="343"/>
    </row>
    <row r="88" spans="1:22" x14ac:dyDescent="0.35">
      <c r="A88" s="339">
        <v>7</v>
      </c>
      <c r="B88" s="339" t="s">
        <v>6</v>
      </c>
      <c r="C88" s="339" t="s">
        <v>534</v>
      </c>
      <c r="D88" s="399" t="s">
        <v>542</v>
      </c>
      <c r="E88" s="339" t="s">
        <v>543</v>
      </c>
      <c r="F88" s="339" t="s">
        <v>457</v>
      </c>
      <c r="G88" s="342">
        <v>45810</v>
      </c>
      <c r="H88" s="342">
        <f>G88+12</f>
        <v>45822</v>
      </c>
      <c r="I88" s="342">
        <f>M88</f>
        <v>45869</v>
      </c>
      <c r="J88" s="339">
        <f>I88-G88</f>
        <v>59</v>
      </c>
      <c r="K88" s="388">
        <f ca="1">I1-H88</f>
        <v>65</v>
      </c>
      <c r="L88" s="343" t="s">
        <v>458</v>
      </c>
      <c r="M88" s="344">
        <v>45869</v>
      </c>
      <c r="N88" s="344"/>
      <c r="O88" s="345"/>
      <c r="P88" s="343">
        <f>M89-M88</f>
        <v>11</v>
      </c>
      <c r="Q88" s="343"/>
      <c r="R88" s="343"/>
      <c r="S88" s="339" t="s">
        <v>482</v>
      </c>
      <c r="T88" s="343"/>
      <c r="U88" s="339" t="s">
        <v>461</v>
      </c>
      <c r="V88" s="343"/>
    </row>
    <row r="89" spans="1:22" x14ac:dyDescent="0.35">
      <c r="A89" s="339"/>
      <c r="B89" s="386"/>
      <c r="C89" s="386"/>
      <c r="D89" s="400"/>
      <c r="E89" s="386"/>
      <c r="F89" s="386"/>
      <c r="G89" s="387"/>
      <c r="H89" s="387"/>
      <c r="I89" s="387"/>
      <c r="J89" s="386"/>
      <c r="K89" s="391"/>
      <c r="L89" s="343" t="s">
        <v>458</v>
      </c>
      <c r="M89" s="344">
        <v>45880</v>
      </c>
      <c r="N89" s="344"/>
      <c r="O89" s="345"/>
      <c r="P89" s="343">
        <f ca="1">I1-M89</f>
        <v>7</v>
      </c>
      <c r="Q89" s="343"/>
      <c r="R89" s="343"/>
      <c r="S89" s="339"/>
      <c r="T89" s="343"/>
      <c r="U89" s="339"/>
      <c r="V89" s="343"/>
    </row>
    <row r="90" spans="1:22" ht="42" x14ac:dyDescent="0.35">
      <c r="A90" s="330">
        <v>8</v>
      </c>
      <c r="B90" s="330" t="s">
        <v>6</v>
      </c>
      <c r="C90" s="366" t="s">
        <v>534</v>
      </c>
      <c r="D90" s="367" t="s">
        <v>544</v>
      </c>
      <c r="E90" s="330" t="s">
        <v>545</v>
      </c>
      <c r="F90" s="330" t="s">
        <v>457</v>
      </c>
      <c r="G90" s="368">
        <v>45836</v>
      </c>
      <c r="H90" s="368">
        <f>G90+15</f>
        <v>45851</v>
      </c>
      <c r="I90" s="369"/>
      <c r="J90" s="330">
        <f ca="1">I1-G90</f>
        <v>51</v>
      </c>
      <c r="K90" s="332">
        <f ca="1">$I$1-H90</f>
        <v>36</v>
      </c>
      <c r="L90" s="257"/>
      <c r="M90" s="369"/>
      <c r="N90" s="369"/>
      <c r="O90" s="370"/>
      <c r="P90" s="332"/>
      <c r="Q90" s="332"/>
      <c r="R90" s="332"/>
      <c r="S90" s="332"/>
      <c r="T90" s="332"/>
      <c r="U90" s="332"/>
      <c r="V90" s="332"/>
    </row>
    <row r="91" spans="1:22" ht="42" x14ac:dyDescent="0.35">
      <c r="A91" s="330">
        <v>9</v>
      </c>
      <c r="B91" s="330" t="s">
        <v>6</v>
      </c>
      <c r="C91" s="366" t="s">
        <v>534</v>
      </c>
      <c r="D91" s="367" t="s">
        <v>546</v>
      </c>
      <c r="E91" s="330" t="s">
        <v>547</v>
      </c>
      <c r="F91" s="330" t="s">
        <v>457</v>
      </c>
      <c r="G91" s="368">
        <v>45840</v>
      </c>
      <c r="H91" s="368">
        <f>G91+12</f>
        <v>45852</v>
      </c>
      <c r="I91" s="368"/>
      <c r="J91" s="330">
        <f ca="1">$I$1-G91</f>
        <v>47</v>
      </c>
      <c r="K91" s="332">
        <f ca="1">$I$1-H91</f>
        <v>35</v>
      </c>
      <c r="L91" s="257"/>
      <c r="M91" s="369"/>
      <c r="N91" s="369"/>
      <c r="O91" s="370"/>
      <c r="P91" s="332"/>
      <c r="Q91" s="332"/>
      <c r="R91" s="332"/>
      <c r="S91" s="332"/>
      <c r="T91" s="332"/>
      <c r="U91" s="332"/>
      <c r="V91" s="332"/>
    </row>
    <row r="92" spans="1:22" ht="42" x14ac:dyDescent="0.35">
      <c r="A92" s="330">
        <v>10</v>
      </c>
      <c r="B92" s="330" t="s">
        <v>6</v>
      </c>
      <c r="C92" s="366" t="s">
        <v>534</v>
      </c>
      <c r="D92" s="367" t="s">
        <v>548</v>
      </c>
      <c r="E92" s="330" t="s">
        <v>549</v>
      </c>
      <c r="F92" s="330" t="s">
        <v>457</v>
      </c>
      <c r="G92" s="368">
        <v>45843</v>
      </c>
      <c r="H92" s="368">
        <f>G92+12</f>
        <v>45855</v>
      </c>
      <c r="I92" s="368"/>
      <c r="J92" s="330">
        <f ca="1">I1-G92</f>
        <v>44</v>
      </c>
      <c r="K92" s="332">
        <f ca="1">$I$1-H92</f>
        <v>32</v>
      </c>
      <c r="L92" s="257"/>
      <c r="M92" s="369"/>
      <c r="N92" s="369"/>
      <c r="O92" s="370"/>
      <c r="P92" s="332"/>
      <c r="Q92" s="332"/>
      <c r="R92" s="332"/>
      <c r="S92" s="332"/>
      <c r="T92" s="332"/>
      <c r="U92" s="332"/>
      <c r="V92" s="332"/>
    </row>
    <row r="93" spans="1:22" ht="42" x14ac:dyDescent="0.35">
      <c r="A93" s="343">
        <v>11</v>
      </c>
      <c r="B93" s="343" t="s">
        <v>6</v>
      </c>
      <c r="C93" s="373" t="s">
        <v>534</v>
      </c>
      <c r="D93" s="374" t="s">
        <v>836</v>
      </c>
      <c r="E93" s="343" t="s">
        <v>837</v>
      </c>
      <c r="F93" s="343" t="s">
        <v>457</v>
      </c>
      <c r="G93" s="344">
        <v>45818</v>
      </c>
      <c r="H93" s="344">
        <f>G93+15</f>
        <v>45833</v>
      </c>
      <c r="I93" s="344">
        <f>M93</f>
        <v>45880</v>
      </c>
      <c r="J93" s="343">
        <f>I93-G93</f>
        <v>62</v>
      </c>
      <c r="K93" s="343">
        <f ca="1">I1-H93</f>
        <v>54</v>
      </c>
      <c r="L93" s="343" t="s">
        <v>458</v>
      </c>
      <c r="M93" s="344">
        <v>45880</v>
      </c>
      <c r="N93" s="344"/>
      <c r="O93" s="345"/>
      <c r="P93" s="343"/>
      <c r="Q93" s="343"/>
      <c r="R93" s="343"/>
      <c r="S93" s="343" t="s">
        <v>482</v>
      </c>
      <c r="T93" s="343"/>
      <c r="U93" s="343" t="s">
        <v>461</v>
      </c>
      <c r="V93" s="343" t="s">
        <v>858</v>
      </c>
    </row>
    <row r="94" spans="1:22" ht="42" x14ac:dyDescent="0.35">
      <c r="A94" s="343">
        <v>12</v>
      </c>
      <c r="B94" s="343" t="s">
        <v>6</v>
      </c>
      <c r="C94" s="373" t="s">
        <v>534</v>
      </c>
      <c r="D94" s="374" t="s">
        <v>838</v>
      </c>
      <c r="E94" s="343" t="s">
        <v>839</v>
      </c>
      <c r="F94" s="343" t="s">
        <v>457</v>
      </c>
      <c r="G94" s="344">
        <v>45818</v>
      </c>
      <c r="H94" s="344">
        <f>G94+15</f>
        <v>45833</v>
      </c>
      <c r="I94" s="344">
        <f>M94</f>
        <v>45880</v>
      </c>
      <c r="J94" s="343">
        <f>I94-G94</f>
        <v>62</v>
      </c>
      <c r="K94" s="343">
        <f ca="1">I1-H94</f>
        <v>54</v>
      </c>
      <c r="L94" s="343" t="s">
        <v>458</v>
      </c>
      <c r="M94" s="344">
        <v>45880</v>
      </c>
      <c r="N94" s="344"/>
      <c r="O94" s="345"/>
      <c r="P94" s="343"/>
      <c r="Q94" s="343"/>
      <c r="R94" s="343"/>
      <c r="S94" s="343" t="s">
        <v>482</v>
      </c>
      <c r="T94" s="343"/>
      <c r="U94" s="343" t="s">
        <v>461</v>
      </c>
      <c r="V94" s="343" t="s">
        <v>858</v>
      </c>
    </row>
    <row r="95" spans="1:22" ht="42" x14ac:dyDescent="0.35">
      <c r="A95" s="330">
        <v>1</v>
      </c>
      <c r="B95" s="330" t="s">
        <v>6</v>
      </c>
      <c r="C95" s="366" t="s">
        <v>550</v>
      </c>
      <c r="D95" s="367" t="s">
        <v>551</v>
      </c>
      <c r="E95" s="332" t="s">
        <v>552</v>
      </c>
      <c r="F95" s="330" t="s">
        <v>467</v>
      </c>
      <c r="G95" s="368">
        <v>45828</v>
      </c>
      <c r="H95" s="368">
        <f>G95+14</f>
        <v>45842</v>
      </c>
      <c r="I95" s="368"/>
      <c r="J95" s="330">
        <f t="shared" ref="J95:K96" ca="1" si="3">$I$1-G95</f>
        <v>59</v>
      </c>
      <c r="K95" s="332">
        <f t="shared" ca="1" si="3"/>
        <v>45</v>
      </c>
      <c r="L95" s="332"/>
      <c r="M95" s="369"/>
      <c r="N95" s="369"/>
      <c r="O95" s="370"/>
      <c r="P95" s="332"/>
      <c r="Q95" s="332"/>
      <c r="R95" s="332"/>
      <c r="S95" s="332"/>
      <c r="T95" s="332"/>
      <c r="U95" s="332"/>
      <c r="V95" s="332"/>
    </row>
    <row r="96" spans="1:22" ht="42" x14ac:dyDescent="0.35">
      <c r="A96" s="330">
        <v>2</v>
      </c>
      <c r="B96" s="330" t="s">
        <v>6</v>
      </c>
      <c r="C96" s="366" t="s">
        <v>550</v>
      </c>
      <c r="D96" s="367" t="s">
        <v>553</v>
      </c>
      <c r="E96" s="332" t="s">
        <v>554</v>
      </c>
      <c r="F96" s="330" t="s">
        <v>467</v>
      </c>
      <c r="G96" s="368">
        <v>45833</v>
      </c>
      <c r="H96" s="368">
        <f>G96+14</f>
        <v>45847</v>
      </c>
      <c r="I96" s="368"/>
      <c r="J96" s="330">
        <f t="shared" ca="1" si="3"/>
        <v>54</v>
      </c>
      <c r="K96" s="332">
        <f t="shared" ca="1" si="3"/>
        <v>40</v>
      </c>
      <c r="L96" s="332"/>
      <c r="M96" s="369"/>
      <c r="N96" s="369"/>
      <c r="O96" s="370"/>
      <c r="P96" s="332"/>
      <c r="Q96" s="332"/>
      <c r="R96" s="332"/>
      <c r="S96" s="332"/>
      <c r="T96" s="332"/>
      <c r="U96" s="332"/>
      <c r="V96" s="332"/>
    </row>
    <row r="97" spans="1:22" x14ac:dyDescent="0.35">
      <c r="A97" s="339">
        <v>3</v>
      </c>
      <c r="B97" s="339" t="s">
        <v>6</v>
      </c>
      <c r="C97" s="340" t="s">
        <v>550</v>
      </c>
      <c r="D97" s="341" t="s">
        <v>555</v>
      </c>
      <c r="E97" s="339" t="s">
        <v>556</v>
      </c>
      <c r="F97" s="339" t="s">
        <v>467</v>
      </c>
      <c r="G97" s="342">
        <v>45738</v>
      </c>
      <c r="H97" s="342">
        <f>G97+15</f>
        <v>45753</v>
      </c>
      <c r="I97" s="342">
        <f>M97</f>
        <v>45799</v>
      </c>
      <c r="J97" s="339">
        <f>I97-G97</f>
        <v>61</v>
      </c>
      <c r="K97" s="339">
        <f ca="1">I1-H97</f>
        <v>134</v>
      </c>
      <c r="L97" s="343" t="s">
        <v>458</v>
      </c>
      <c r="M97" s="344">
        <v>45799</v>
      </c>
      <c r="N97" s="344">
        <v>45800</v>
      </c>
      <c r="O97" s="345" t="s">
        <v>468</v>
      </c>
      <c r="P97" s="343">
        <f t="shared" ref="P97:P102" si="4">N97-M97</f>
        <v>1</v>
      </c>
      <c r="Q97" s="343">
        <f>M98-N97</f>
        <v>15</v>
      </c>
      <c r="R97" s="339"/>
      <c r="S97" s="339" t="s">
        <v>489</v>
      </c>
      <c r="T97" s="339" t="str">
        <f>O98</f>
        <v>CAT -IV R</v>
      </c>
      <c r="U97" s="339" t="s">
        <v>464</v>
      </c>
      <c r="V97" s="339">
        <f ca="1">V1-N97</f>
        <v>87</v>
      </c>
    </row>
    <row r="98" spans="1:22" x14ac:dyDescent="0.35">
      <c r="A98" s="339"/>
      <c r="B98" s="339"/>
      <c r="C98" s="340"/>
      <c r="D98" s="341"/>
      <c r="E98" s="386"/>
      <c r="F98" s="346"/>
      <c r="G98" s="349"/>
      <c r="H98" s="349"/>
      <c r="I98" s="349"/>
      <c r="J98" s="346"/>
      <c r="K98" s="346"/>
      <c r="L98" s="343" t="s">
        <v>460</v>
      </c>
      <c r="M98" s="344">
        <v>45815</v>
      </c>
      <c r="N98" s="344">
        <v>45826</v>
      </c>
      <c r="O98" s="345" t="s">
        <v>468</v>
      </c>
      <c r="P98" s="343">
        <f t="shared" si="4"/>
        <v>11</v>
      </c>
      <c r="Q98" s="343">
        <f ca="1">I1-N98</f>
        <v>61</v>
      </c>
      <c r="R98" s="386"/>
      <c r="S98" s="386"/>
      <c r="T98" s="386"/>
      <c r="U98" s="386"/>
      <c r="V98" s="386"/>
    </row>
    <row r="99" spans="1:22" x14ac:dyDescent="0.35">
      <c r="A99" s="350">
        <v>4</v>
      </c>
      <c r="B99" s="350" t="s">
        <v>6</v>
      </c>
      <c r="C99" s="351" t="s">
        <v>550</v>
      </c>
      <c r="D99" s="352" t="s">
        <v>557</v>
      </c>
      <c r="E99" s="350" t="s">
        <v>558</v>
      </c>
      <c r="F99" s="350" t="s">
        <v>457</v>
      </c>
      <c r="G99" s="353">
        <v>45719</v>
      </c>
      <c r="H99" s="353">
        <f>G99+15</f>
        <v>45734</v>
      </c>
      <c r="I99" s="353">
        <v>45719</v>
      </c>
      <c r="J99" s="350">
        <f>I99-G99</f>
        <v>0</v>
      </c>
      <c r="K99" s="350">
        <f>R99-H99</f>
        <v>66</v>
      </c>
      <c r="L99" s="354" t="s">
        <v>458</v>
      </c>
      <c r="M99" s="355">
        <v>45719</v>
      </c>
      <c r="N99" s="355">
        <v>45721</v>
      </c>
      <c r="O99" s="356" t="s">
        <v>459</v>
      </c>
      <c r="P99" s="354">
        <f t="shared" si="4"/>
        <v>2</v>
      </c>
      <c r="Q99" s="354">
        <f>M100-N99</f>
        <v>15</v>
      </c>
      <c r="R99" s="357">
        <f>N101</f>
        <v>45800</v>
      </c>
      <c r="S99" s="350" t="str">
        <f>U99</f>
        <v>Approved</v>
      </c>
      <c r="T99" s="350" t="str">
        <f>O100</f>
        <v>CAT - I</v>
      </c>
      <c r="U99" s="350" t="s">
        <v>397</v>
      </c>
      <c r="V99" s="350">
        <f>N101-M101</f>
        <v>1</v>
      </c>
    </row>
    <row r="100" spans="1:22" x14ac:dyDescent="0.35">
      <c r="A100" s="358"/>
      <c r="B100" s="358"/>
      <c r="C100" s="359"/>
      <c r="D100" s="360"/>
      <c r="E100" s="358"/>
      <c r="F100" s="358"/>
      <c r="G100" s="361"/>
      <c r="H100" s="361"/>
      <c r="I100" s="361"/>
      <c r="J100" s="358"/>
      <c r="K100" s="358"/>
      <c r="L100" s="354" t="s">
        <v>460</v>
      </c>
      <c r="M100" s="355">
        <v>45736</v>
      </c>
      <c r="N100" s="355">
        <v>45738</v>
      </c>
      <c r="O100" s="356" t="s">
        <v>472</v>
      </c>
      <c r="P100" s="354">
        <f t="shared" si="4"/>
        <v>2</v>
      </c>
      <c r="Q100" s="354">
        <f>M101-N100</f>
        <v>61</v>
      </c>
      <c r="R100" s="362"/>
      <c r="S100" s="358"/>
      <c r="T100" s="358"/>
      <c r="U100" s="358"/>
      <c r="V100" s="358"/>
    </row>
    <row r="101" spans="1:22" x14ac:dyDescent="0.35">
      <c r="A101" s="358"/>
      <c r="B101" s="358"/>
      <c r="C101" s="359"/>
      <c r="D101" s="360"/>
      <c r="E101" s="358"/>
      <c r="F101" s="358"/>
      <c r="G101" s="361"/>
      <c r="H101" s="361"/>
      <c r="I101" s="361"/>
      <c r="J101" s="358"/>
      <c r="K101" s="358"/>
      <c r="L101" s="354" t="s">
        <v>462</v>
      </c>
      <c r="M101" s="355">
        <v>45799</v>
      </c>
      <c r="N101" s="355">
        <v>45800</v>
      </c>
      <c r="O101" s="356" t="s">
        <v>472</v>
      </c>
      <c r="P101" s="354">
        <f t="shared" si="4"/>
        <v>1</v>
      </c>
      <c r="Q101" s="354"/>
      <c r="R101" s="362"/>
      <c r="S101" s="358"/>
      <c r="T101" s="358"/>
      <c r="U101" s="358"/>
      <c r="V101" s="358"/>
    </row>
    <row r="102" spans="1:22" x14ac:dyDescent="0.35">
      <c r="A102" s="350">
        <v>5</v>
      </c>
      <c r="B102" s="350" t="s">
        <v>6</v>
      </c>
      <c r="C102" s="350" t="s">
        <v>550</v>
      </c>
      <c r="D102" s="377" t="s">
        <v>559</v>
      </c>
      <c r="E102" s="350" t="s">
        <v>560</v>
      </c>
      <c r="F102" s="350" t="s">
        <v>457</v>
      </c>
      <c r="G102" s="353">
        <v>45853</v>
      </c>
      <c r="H102" s="353">
        <f>G102+15</f>
        <v>45868</v>
      </c>
      <c r="I102" s="353">
        <f>M102</f>
        <v>45835</v>
      </c>
      <c r="J102" s="350">
        <f>I102-G102</f>
        <v>-18</v>
      </c>
      <c r="K102" s="350">
        <f>R102-H102</f>
        <v>10</v>
      </c>
      <c r="L102" s="350" t="s">
        <v>458</v>
      </c>
      <c r="M102" s="355">
        <v>45835</v>
      </c>
      <c r="N102" s="355">
        <v>45863</v>
      </c>
      <c r="O102" s="356" t="s">
        <v>481</v>
      </c>
      <c r="P102" s="354">
        <f t="shared" si="4"/>
        <v>28</v>
      </c>
      <c r="Q102" s="354">
        <f>M103-N102</f>
        <v>11</v>
      </c>
      <c r="R102" s="353">
        <f>N103</f>
        <v>45878</v>
      </c>
      <c r="S102" s="350" t="s">
        <v>397</v>
      </c>
      <c r="T102" s="350" t="str">
        <f>O103</f>
        <v>CAT - I</v>
      </c>
      <c r="U102" s="350" t="s">
        <v>397</v>
      </c>
      <c r="V102" s="350"/>
    </row>
    <row r="103" spans="1:22" x14ac:dyDescent="0.35">
      <c r="A103" s="358"/>
      <c r="B103" s="358"/>
      <c r="C103" s="358"/>
      <c r="D103" s="401"/>
      <c r="E103" s="358"/>
      <c r="F103" s="358"/>
      <c r="G103" s="361"/>
      <c r="H103" s="361"/>
      <c r="I103" s="361"/>
      <c r="J103" s="358"/>
      <c r="K103" s="358"/>
      <c r="L103" s="350"/>
      <c r="M103" s="355">
        <v>45874</v>
      </c>
      <c r="N103" s="355">
        <v>45878</v>
      </c>
      <c r="O103" s="356" t="s">
        <v>472</v>
      </c>
      <c r="P103" s="354">
        <f>N103-M103</f>
        <v>4</v>
      </c>
      <c r="Q103" s="354"/>
      <c r="R103" s="358"/>
      <c r="S103" s="358"/>
      <c r="T103" s="358"/>
      <c r="U103" s="358"/>
      <c r="V103" s="358"/>
    </row>
    <row r="104" spans="1:22" ht="42" x14ac:dyDescent="0.35">
      <c r="A104" s="343">
        <v>6</v>
      </c>
      <c r="B104" s="343" t="s">
        <v>6</v>
      </c>
      <c r="C104" s="373" t="s">
        <v>550</v>
      </c>
      <c r="D104" s="374" t="s">
        <v>387</v>
      </c>
      <c r="E104" s="343" t="s">
        <v>561</v>
      </c>
      <c r="F104" s="343" t="s">
        <v>457</v>
      </c>
      <c r="G104" s="344">
        <v>45795</v>
      </c>
      <c r="H104" s="344">
        <f t="shared" ref="H104:H116" si="5">G104+15</f>
        <v>45810</v>
      </c>
      <c r="I104" s="344">
        <f>M104</f>
        <v>45849</v>
      </c>
      <c r="J104" s="343">
        <f>I104-G104</f>
        <v>54</v>
      </c>
      <c r="K104" s="343">
        <f ca="1">I1-H104</f>
        <v>77</v>
      </c>
      <c r="L104" s="343" t="s">
        <v>458</v>
      </c>
      <c r="M104" s="344">
        <v>45849</v>
      </c>
      <c r="N104" s="344">
        <v>45868</v>
      </c>
      <c r="O104" s="345" t="s">
        <v>459</v>
      </c>
      <c r="P104" s="343">
        <f>N104-M104</f>
        <v>19</v>
      </c>
      <c r="Q104" s="343">
        <f ca="1">I1-N104</f>
        <v>19</v>
      </c>
      <c r="R104" s="343"/>
      <c r="S104" s="343" t="s">
        <v>482</v>
      </c>
      <c r="T104" s="343" t="s">
        <v>459</v>
      </c>
      <c r="U104" s="343" t="s">
        <v>464</v>
      </c>
      <c r="V104" s="343"/>
    </row>
    <row r="105" spans="1:22" ht="42" x14ac:dyDescent="0.35">
      <c r="A105" s="330">
        <v>7</v>
      </c>
      <c r="B105" s="330" t="s">
        <v>6</v>
      </c>
      <c r="C105" s="366" t="s">
        <v>550</v>
      </c>
      <c r="D105" s="367" t="s">
        <v>562</v>
      </c>
      <c r="E105" s="332" t="s">
        <v>563</v>
      </c>
      <c r="F105" s="332" t="s">
        <v>457</v>
      </c>
      <c r="G105" s="369">
        <v>45800</v>
      </c>
      <c r="H105" s="369">
        <f t="shared" si="5"/>
        <v>45815</v>
      </c>
      <c r="I105" s="369"/>
      <c r="J105" s="330">
        <f t="shared" ref="J105:K122" ca="1" si="6">$I$1-G105</f>
        <v>87</v>
      </c>
      <c r="K105" s="332">
        <f t="shared" ca="1" si="6"/>
        <v>72</v>
      </c>
      <c r="L105" s="257"/>
      <c r="M105" s="369"/>
      <c r="N105" s="369"/>
      <c r="O105" s="370"/>
      <c r="P105" s="332"/>
      <c r="Q105" s="332"/>
      <c r="R105" s="332"/>
      <c r="S105" s="332"/>
      <c r="T105" s="332"/>
      <c r="U105" s="332"/>
      <c r="V105" s="332"/>
    </row>
    <row r="106" spans="1:22" ht="42" x14ac:dyDescent="0.35">
      <c r="A106" s="330">
        <v>8</v>
      </c>
      <c r="B106" s="330" t="s">
        <v>6</v>
      </c>
      <c r="C106" s="366" t="s">
        <v>550</v>
      </c>
      <c r="D106" s="367" t="s">
        <v>564</v>
      </c>
      <c r="E106" s="332" t="s">
        <v>565</v>
      </c>
      <c r="F106" s="332" t="s">
        <v>457</v>
      </c>
      <c r="G106" s="369">
        <v>45800</v>
      </c>
      <c r="H106" s="369">
        <f t="shared" si="5"/>
        <v>45815</v>
      </c>
      <c r="I106" s="369"/>
      <c r="J106" s="330">
        <f t="shared" ca="1" si="6"/>
        <v>87</v>
      </c>
      <c r="K106" s="332">
        <f t="shared" ca="1" si="6"/>
        <v>72</v>
      </c>
      <c r="L106" s="257"/>
      <c r="M106" s="369"/>
      <c r="N106" s="369"/>
      <c r="O106" s="370"/>
      <c r="P106" s="332"/>
      <c r="Q106" s="332"/>
      <c r="R106" s="332"/>
      <c r="S106" s="332"/>
      <c r="T106" s="332"/>
      <c r="U106" s="332"/>
      <c r="V106" s="332"/>
    </row>
    <row r="107" spans="1:22" ht="42" x14ac:dyDescent="0.35">
      <c r="A107" s="330">
        <v>9</v>
      </c>
      <c r="B107" s="330" t="s">
        <v>6</v>
      </c>
      <c r="C107" s="366" t="s">
        <v>550</v>
      </c>
      <c r="D107" s="367" t="s">
        <v>566</v>
      </c>
      <c r="E107" s="332" t="s">
        <v>567</v>
      </c>
      <c r="F107" s="332" t="s">
        <v>457</v>
      </c>
      <c r="G107" s="369">
        <v>45874</v>
      </c>
      <c r="H107" s="369">
        <f t="shared" si="5"/>
        <v>45889</v>
      </c>
      <c r="I107" s="369"/>
      <c r="J107" s="330">
        <f t="shared" ca="1" si="6"/>
        <v>13</v>
      </c>
      <c r="K107" s="332">
        <f t="shared" ca="1" si="6"/>
        <v>-2</v>
      </c>
      <c r="L107" s="257"/>
      <c r="M107" s="369"/>
      <c r="N107" s="369"/>
      <c r="O107" s="370"/>
      <c r="P107" s="332"/>
      <c r="Q107" s="332"/>
      <c r="R107" s="332"/>
      <c r="S107" s="332"/>
      <c r="T107" s="332"/>
      <c r="U107" s="332"/>
      <c r="V107" s="332"/>
    </row>
    <row r="108" spans="1:22" ht="42" x14ac:dyDescent="0.35">
      <c r="A108" s="330">
        <v>10</v>
      </c>
      <c r="B108" s="330" t="s">
        <v>6</v>
      </c>
      <c r="C108" s="366" t="s">
        <v>550</v>
      </c>
      <c r="D108" s="367" t="s">
        <v>568</v>
      </c>
      <c r="E108" s="332" t="s">
        <v>569</v>
      </c>
      <c r="F108" s="332" t="s">
        <v>457</v>
      </c>
      <c r="G108" s="369">
        <v>45877</v>
      </c>
      <c r="H108" s="369">
        <f t="shared" si="5"/>
        <v>45892</v>
      </c>
      <c r="I108" s="369"/>
      <c r="J108" s="330">
        <f t="shared" ca="1" si="6"/>
        <v>10</v>
      </c>
      <c r="K108" s="332">
        <f t="shared" ca="1" si="6"/>
        <v>-5</v>
      </c>
      <c r="L108" s="257"/>
      <c r="M108" s="369"/>
      <c r="N108" s="369"/>
      <c r="O108" s="370"/>
      <c r="P108" s="332"/>
      <c r="Q108" s="332"/>
      <c r="R108" s="332"/>
      <c r="S108" s="332"/>
      <c r="T108" s="332"/>
      <c r="U108" s="332"/>
      <c r="V108" s="332"/>
    </row>
    <row r="109" spans="1:22" ht="42" x14ac:dyDescent="0.35">
      <c r="A109" s="330">
        <v>11</v>
      </c>
      <c r="B109" s="330" t="s">
        <v>6</v>
      </c>
      <c r="C109" s="366" t="s">
        <v>550</v>
      </c>
      <c r="D109" s="367" t="s">
        <v>570</v>
      </c>
      <c r="E109" s="332" t="s">
        <v>571</v>
      </c>
      <c r="F109" s="332" t="s">
        <v>457</v>
      </c>
      <c r="G109" s="369">
        <v>45881</v>
      </c>
      <c r="H109" s="369">
        <f t="shared" si="5"/>
        <v>45896</v>
      </c>
      <c r="I109" s="369"/>
      <c r="J109" s="330">
        <f t="shared" ca="1" si="6"/>
        <v>6</v>
      </c>
      <c r="K109" s="332">
        <f t="shared" ca="1" si="6"/>
        <v>-9</v>
      </c>
      <c r="L109" s="257"/>
      <c r="M109" s="369"/>
      <c r="N109" s="369"/>
      <c r="O109" s="370"/>
      <c r="P109" s="332"/>
      <c r="Q109" s="332"/>
      <c r="R109" s="332"/>
      <c r="S109" s="332"/>
      <c r="T109" s="332"/>
      <c r="U109" s="332"/>
      <c r="V109" s="332"/>
    </row>
    <row r="110" spans="1:22" ht="42" x14ac:dyDescent="0.35">
      <c r="A110" s="330">
        <v>12</v>
      </c>
      <c r="B110" s="330" t="s">
        <v>6</v>
      </c>
      <c r="C110" s="366" t="s">
        <v>550</v>
      </c>
      <c r="D110" s="367" t="s">
        <v>572</v>
      </c>
      <c r="E110" s="332" t="s">
        <v>573</v>
      </c>
      <c r="F110" s="332" t="s">
        <v>457</v>
      </c>
      <c r="G110" s="369">
        <v>45843</v>
      </c>
      <c r="H110" s="369">
        <f t="shared" si="5"/>
        <v>45858</v>
      </c>
      <c r="I110" s="369"/>
      <c r="J110" s="330">
        <f t="shared" ca="1" si="6"/>
        <v>44</v>
      </c>
      <c r="K110" s="332">
        <f t="shared" ca="1" si="6"/>
        <v>29</v>
      </c>
      <c r="L110" s="257"/>
      <c r="M110" s="369"/>
      <c r="N110" s="369"/>
      <c r="O110" s="370"/>
      <c r="P110" s="332"/>
      <c r="Q110" s="332"/>
      <c r="R110" s="332"/>
      <c r="S110" s="332"/>
      <c r="T110" s="332"/>
      <c r="U110" s="332"/>
      <c r="V110" s="332"/>
    </row>
    <row r="111" spans="1:22" ht="42" x14ac:dyDescent="0.35">
      <c r="A111" s="330">
        <v>13</v>
      </c>
      <c r="B111" s="330" t="s">
        <v>6</v>
      </c>
      <c r="C111" s="366" t="s">
        <v>550</v>
      </c>
      <c r="D111" s="367" t="s">
        <v>574</v>
      </c>
      <c r="E111" s="332" t="s">
        <v>575</v>
      </c>
      <c r="F111" s="332" t="s">
        <v>457</v>
      </c>
      <c r="G111" s="369">
        <v>45848</v>
      </c>
      <c r="H111" s="369">
        <f t="shared" si="5"/>
        <v>45863</v>
      </c>
      <c r="I111" s="369"/>
      <c r="J111" s="330">
        <f t="shared" ca="1" si="6"/>
        <v>39</v>
      </c>
      <c r="K111" s="332">
        <f t="shared" ca="1" si="6"/>
        <v>24</v>
      </c>
      <c r="L111" s="257"/>
      <c r="M111" s="369"/>
      <c r="N111" s="369"/>
      <c r="O111" s="370"/>
      <c r="P111" s="332"/>
      <c r="Q111" s="332"/>
      <c r="R111" s="332"/>
      <c r="S111" s="332"/>
      <c r="T111" s="332"/>
      <c r="U111" s="332"/>
      <c r="V111" s="332"/>
    </row>
    <row r="112" spans="1:22" ht="42" x14ac:dyDescent="0.35">
      <c r="A112" s="330">
        <v>14</v>
      </c>
      <c r="B112" s="330" t="s">
        <v>6</v>
      </c>
      <c r="C112" s="366" t="s">
        <v>550</v>
      </c>
      <c r="D112" s="367" t="s">
        <v>576</v>
      </c>
      <c r="E112" s="332" t="s">
        <v>577</v>
      </c>
      <c r="F112" s="332" t="s">
        <v>457</v>
      </c>
      <c r="G112" s="369">
        <v>45833</v>
      </c>
      <c r="H112" s="369">
        <f t="shared" si="5"/>
        <v>45848</v>
      </c>
      <c r="I112" s="369"/>
      <c r="J112" s="330">
        <f t="shared" ca="1" si="6"/>
        <v>54</v>
      </c>
      <c r="K112" s="332">
        <f t="shared" ca="1" si="6"/>
        <v>39</v>
      </c>
      <c r="L112" s="257"/>
      <c r="M112" s="369"/>
      <c r="N112" s="369"/>
      <c r="O112" s="370"/>
      <c r="P112" s="332"/>
      <c r="Q112" s="332"/>
      <c r="R112" s="332"/>
      <c r="S112" s="332"/>
      <c r="T112" s="332"/>
      <c r="U112" s="332"/>
      <c r="V112" s="332"/>
    </row>
    <row r="113" spans="1:22" ht="42" x14ac:dyDescent="0.35">
      <c r="A113" s="343">
        <v>15</v>
      </c>
      <c r="B113" s="343" t="s">
        <v>6</v>
      </c>
      <c r="C113" s="373" t="s">
        <v>550</v>
      </c>
      <c r="D113" s="374" t="s">
        <v>578</v>
      </c>
      <c r="E113" s="343" t="s">
        <v>579</v>
      </c>
      <c r="F113" s="343" t="s">
        <v>457</v>
      </c>
      <c r="G113" s="344">
        <v>45838</v>
      </c>
      <c r="H113" s="344">
        <f t="shared" si="5"/>
        <v>45853</v>
      </c>
      <c r="I113" s="344">
        <v>45838</v>
      </c>
      <c r="J113" s="343">
        <f>I113-G113</f>
        <v>0</v>
      </c>
      <c r="K113" s="343">
        <f ca="1">I1-H113</f>
        <v>34</v>
      </c>
      <c r="L113" s="343" t="s">
        <v>458</v>
      </c>
      <c r="M113" s="344">
        <v>45838</v>
      </c>
      <c r="N113" s="344">
        <v>45882</v>
      </c>
      <c r="O113" s="345" t="s">
        <v>459</v>
      </c>
      <c r="P113" s="343">
        <f>N113-M113</f>
        <v>44</v>
      </c>
      <c r="Q113" s="343"/>
      <c r="R113" s="343"/>
      <c r="S113" s="343" t="s">
        <v>489</v>
      </c>
      <c r="T113" s="343" t="s">
        <v>459</v>
      </c>
      <c r="U113" s="343" t="s">
        <v>464</v>
      </c>
      <c r="V113" s="343"/>
    </row>
    <row r="114" spans="1:22" ht="42" x14ac:dyDescent="0.35">
      <c r="A114" s="330">
        <v>16</v>
      </c>
      <c r="B114" s="330" t="s">
        <v>6</v>
      </c>
      <c r="C114" s="366" t="s">
        <v>550</v>
      </c>
      <c r="D114" s="367" t="s">
        <v>580</v>
      </c>
      <c r="E114" s="332" t="s">
        <v>581</v>
      </c>
      <c r="F114" s="332" t="s">
        <v>457</v>
      </c>
      <c r="G114" s="369">
        <v>45843</v>
      </c>
      <c r="H114" s="369">
        <f t="shared" si="5"/>
        <v>45858</v>
      </c>
      <c r="I114" s="369"/>
      <c r="J114" s="330">
        <f t="shared" ca="1" si="6"/>
        <v>44</v>
      </c>
      <c r="K114" s="332">
        <f ca="1">$I$1-H114</f>
        <v>29</v>
      </c>
      <c r="L114" s="257"/>
      <c r="M114" s="369"/>
      <c r="N114" s="369"/>
      <c r="O114" s="370"/>
      <c r="P114" s="332"/>
      <c r="Q114" s="332"/>
      <c r="R114" s="332"/>
      <c r="S114" s="332"/>
      <c r="T114" s="332"/>
      <c r="U114" s="332"/>
      <c r="V114" s="332"/>
    </row>
    <row r="115" spans="1:22" ht="42" x14ac:dyDescent="0.35">
      <c r="A115" s="330">
        <v>17</v>
      </c>
      <c r="B115" s="330" t="s">
        <v>6</v>
      </c>
      <c r="C115" s="366" t="s">
        <v>550</v>
      </c>
      <c r="D115" s="367" t="s">
        <v>582</v>
      </c>
      <c r="E115" s="332" t="s">
        <v>583</v>
      </c>
      <c r="F115" s="332" t="s">
        <v>457</v>
      </c>
      <c r="G115" s="369">
        <v>45846</v>
      </c>
      <c r="H115" s="369">
        <f t="shared" si="5"/>
        <v>45861</v>
      </c>
      <c r="I115" s="368"/>
      <c r="J115" s="330">
        <f t="shared" ca="1" si="6"/>
        <v>41</v>
      </c>
      <c r="K115" s="332">
        <f ca="1">$I$1-H115</f>
        <v>26</v>
      </c>
      <c r="L115" s="257"/>
      <c r="M115" s="369"/>
      <c r="N115" s="369"/>
      <c r="O115" s="370"/>
      <c r="P115" s="332"/>
      <c r="Q115" s="332"/>
      <c r="R115" s="332"/>
      <c r="S115" s="332"/>
      <c r="T115" s="332"/>
      <c r="U115" s="332"/>
      <c r="V115" s="332"/>
    </row>
    <row r="116" spans="1:22" ht="42" x14ac:dyDescent="0.35">
      <c r="A116" s="330">
        <v>18</v>
      </c>
      <c r="B116" s="330" t="s">
        <v>6</v>
      </c>
      <c r="C116" s="366" t="s">
        <v>550</v>
      </c>
      <c r="D116" s="367" t="s">
        <v>584</v>
      </c>
      <c r="E116" s="332" t="s">
        <v>585</v>
      </c>
      <c r="F116" s="330" t="s">
        <v>467</v>
      </c>
      <c r="G116" s="368">
        <v>45848</v>
      </c>
      <c r="H116" s="369">
        <f t="shared" si="5"/>
        <v>45863</v>
      </c>
      <c r="I116" s="368"/>
      <c r="J116" s="330">
        <f t="shared" ca="1" si="6"/>
        <v>39</v>
      </c>
      <c r="K116" s="332">
        <f ca="1">$I$1-H116</f>
        <v>24</v>
      </c>
      <c r="L116" s="257"/>
      <c r="M116" s="369"/>
      <c r="N116" s="369"/>
      <c r="O116" s="370"/>
      <c r="P116" s="332"/>
      <c r="Q116" s="332"/>
      <c r="R116" s="332"/>
      <c r="S116" s="332"/>
      <c r="T116" s="332"/>
      <c r="U116" s="332"/>
      <c r="V116" s="332"/>
    </row>
    <row r="117" spans="1:22" ht="42" x14ac:dyDescent="0.35">
      <c r="A117" s="354">
        <v>19</v>
      </c>
      <c r="B117" s="354" t="s">
        <v>6</v>
      </c>
      <c r="C117" s="363" t="s">
        <v>550</v>
      </c>
      <c r="D117" s="364" t="s">
        <v>586</v>
      </c>
      <c r="E117" s="354" t="s">
        <v>587</v>
      </c>
      <c r="F117" s="354" t="s">
        <v>467</v>
      </c>
      <c r="G117" s="355">
        <v>45853</v>
      </c>
      <c r="H117" s="355">
        <f>G117+7</f>
        <v>45860</v>
      </c>
      <c r="I117" s="355">
        <f>M117</f>
        <v>45855</v>
      </c>
      <c r="J117" s="354">
        <f>I117-G117</f>
        <v>2</v>
      </c>
      <c r="K117" s="354">
        <f>R117-H117</f>
        <v>-1</v>
      </c>
      <c r="L117" s="354" t="s">
        <v>458</v>
      </c>
      <c r="M117" s="355">
        <v>45855</v>
      </c>
      <c r="N117" s="355">
        <v>45859</v>
      </c>
      <c r="O117" s="356" t="s">
        <v>511</v>
      </c>
      <c r="P117" s="354"/>
      <c r="Q117" s="354"/>
      <c r="R117" s="355">
        <f>N117</f>
        <v>45859</v>
      </c>
      <c r="S117" s="354" t="s">
        <v>397</v>
      </c>
      <c r="T117" s="354" t="str">
        <f>O117</f>
        <v xml:space="preserve">CAT -IV </v>
      </c>
      <c r="U117" s="354" t="s">
        <v>397</v>
      </c>
      <c r="V117" s="354"/>
    </row>
    <row r="118" spans="1:22" ht="42" x14ac:dyDescent="0.35">
      <c r="A118" s="330">
        <v>20</v>
      </c>
      <c r="B118" s="330" t="s">
        <v>6</v>
      </c>
      <c r="C118" s="366" t="s">
        <v>550</v>
      </c>
      <c r="D118" s="367" t="s">
        <v>588</v>
      </c>
      <c r="E118" s="332" t="s">
        <v>589</v>
      </c>
      <c r="F118" s="330" t="s">
        <v>457</v>
      </c>
      <c r="G118" s="368">
        <v>45853</v>
      </c>
      <c r="H118" s="369">
        <f t="shared" ref="H118:H123" si="7">G118+15</f>
        <v>45868</v>
      </c>
      <c r="I118" s="368"/>
      <c r="J118" s="330">
        <f t="shared" ca="1" si="6"/>
        <v>34</v>
      </c>
      <c r="K118" s="332">
        <f ca="1">$I$1-H118</f>
        <v>19</v>
      </c>
      <c r="L118" s="257"/>
      <c r="M118" s="369"/>
      <c r="N118" s="369"/>
      <c r="O118" s="370"/>
      <c r="P118" s="332"/>
      <c r="Q118" s="332"/>
      <c r="R118" s="332"/>
      <c r="S118" s="332"/>
      <c r="T118" s="332"/>
      <c r="U118" s="332"/>
      <c r="V118" s="332"/>
    </row>
    <row r="119" spans="1:22" ht="42" x14ac:dyDescent="0.35">
      <c r="A119" s="330">
        <v>21</v>
      </c>
      <c r="B119" s="330" t="s">
        <v>6</v>
      </c>
      <c r="C119" s="366" t="s">
        <v>550</v>
      </c>
      <c r="D119" s="367" t="s">
        <v>590</v>
      </c>
      <c r="E119" s="332" t="s">
        <v>591</v>
      </c>
      <c r="F119" s="330" t="s">
        <v>467</v>
      </c>
      <c r="G119" s="368">
        <v>45858</v>
      </c>
      <c r="H119" s="369">
        <f t="shared" si="7"/>
        <v>45873</v>
      </c>
      <c r="I119" s="368"/>
      <c r="J119" s="330">
        <f t="shared" ca="1" si="6"/>
        <v>29</v>
      </c>
      <c r="K119" s="332">
        <f ca="1">$I$1-H119</f>
        <v>14</v>
      </c>
      <c r="L119" s="257"/>
      <c r="M119" s="369"/>
      <c r="N119" s="369"/>
      <c r="O119" s="370"/>
      <c r="P119" s="332"/>
      <c r="Q119" s="332"/>
      <c r="R119" s="332"/>
      <c r="S119" s="332"/>
      <c r="T119" s="332"/>
      <c r="U119" s="332"/>
      <c r="V119" s="332"/>
    </row>
    <row r="120" spans="1:22" ht="42" x14ac:dyDescent="0.35">
      <c r="A120" s="330">
        <v>22</v>
      </c>
      <c r="B120" s="330" t="s">
        <v>6</v>
      </c>
      <c r="C120" s="366" t="s">
        <v>550</v>
      </c>
      <c r="D120" s="367" t="s">
        <v>592</v>
      </c>
      <c r="E120" s="332" t="s">
        <v>593</v>
      </c>
      <c r="F120" s="330" t="s">
        <v>457</v>
      </c>
      <c r="G120" s="368">
        <v>45826</v>
      </c>
      <c r="H120" s="369">
        <f t="shared" si="7"/>
        <v>45841</v>
      </c>
      <c r="I120" s="368"/>
      <c r="J120" s="330">
        <f t="shared" ca="1" si="6"/>
        <v>61</v>
      </c>
      <c r="K120" s="332">
        <f ca="1">$I$1-H120</f>
        <v>46</v>
      </c>
      <c r="L120" s="257"/>
      <c r="M120" s="369"/>
      <c r="N120" s="369"/>
      <c r="O120" s="370"/>
      <c r="P120" s="332"/>
      <c r="Q120" s="332"/>
      <c r="R120" s="332"/>
      <c r="S120" s="332"/>
      <c r="T120" s="332"/>
      <c r="U120" s="332"/>
      <c r="V120" s="332"/>
    </row>
    <row r="121" spans="1:22" ht="42" x14ac:dyDescent="0.35">
      <c r="A121" s="330">
        <v>23</v>
      </c>
      <c r="B121" s="330" t="s">
        <v>6</v>
      </c>
      <c r="C121" s="366" t="s">
        <v>550</v>
      </c>
      <c r="D121" s="367" t="s">
        <v>594</v>
      </c>
      <c r="E121" s="332" t="s">
        <v>595</v>
      </c>
      <c r="F121" s="330" t="s">
        <v>467</v>
      </c>
      <c r="G121" s="368">
        <v>45833</v>
      </c>
      <c r="H121" s="369">
        <f t="shared" si="7"/>
        <v>45848</v>
      </c>
      <c r="I121" s="368"/>
      <c r="J121" s="330">
        <f t="shared" ca="1" si="6"/>
        <v>54</v>
      </c>
      <c r="K121" s="332">
        <f ca="1">$I$1-H121</f>
        <v>39</v>
      </c>
      <c r="L121" s="257"/>
      <c r="M121" s="369"/>
      <c r="N121" s="369"/>
      <c r="O121" s="370"/>
      <c r="P121" s="332"/>
      <c r="Q121" s="332"/>
      <c r="R121" s="332"/>
      <c r="S121" s="332"/>
      <c r="T121" s="332"/>
      <c r="U121" s="332"/>
      <c r="V121" s="332"/>
    </row>
    <row r="122" spans="1:22" ht="42" x14ac:dyDescent="0.35">
      <c r="A122" s="330">
        <v>24</v>
      </c>
      <c r="B122" s="330" t="s">
        <v>6</v>
      </c>
      <c r="C122" s="366" t="s">
        <v>550</v>
      </c>
      <c r="D122" s="367" t="s">
        <v>596</v>
      </c>
      <c r="E122" s="332" t="s">
        <v>597</v>
      </c>
      <c r="F122" s="330" t="s">
        <v>457</v>
      </c>
      <c r="G122" s="368">
        <v>45863</v>
      </c>
      <c r="H122" s="369">
        <f t="shared" si="7"/>
        <v>45878</v>
      </c>
      <c r="I122" s="368"/>
      <c r="J122" s="330">
        <f t="shared" ca="1" si="6"/>
        <v>24</v>
      </c>
      <c r="K122" s="332">
        <f ca="1">$I$1-H122</f>
        <v>9</v>
      </c>
      <c r="L122" s="257"/>
      <c r="M122" s="369"/>
      <c r="N122" s="369"/>
      <c r="O122" s="370"/>
      <c r="P122" s="332"/>
      <c r="Q122" s="332"/>
      <c r="R122" s="332"/>
      <c r="S122" s="332"/>
      <c r="T122" s="332"/>
      <c r="U122" s="332"/>
      <c r="V122" s="332"/>
    </row>
    <row r="123" spans="1:22" x14ac:dyDescent="0.35">
      <c r="A123" s="350">
        <v>25</v>
      </c>
      <c r="B123" s="350" t="s">
        <v>6</v>
      </c>
      <c r="C123" s="350" t="s">
        <v>550</v>
      </c>
      <c r="D123" s="377" t="s">
        <v>598</v>
      </c>
      <c r="E123" s="350" t="s">
        <v>599</v>
      </c>
      <c r="F123" s="350" t="s">
        <v>457</v>
      </c>
      <c r="G123" s="353">
        <v>45828</v>
      </c>
      <c r="H123" s="353">
        <f t="shared" si="7"/>
        <v>45843</v>
      </c>
      <c r="I123" s="353">
        <f>M123</f>
        <v>45849</v>
      </c>
      <c r="J123" s="350">
        <f>I123-G123</f>
        <v>21</v>
      </c>
      <c r="K123" s="350">
        <f>R123-H123</f>
        <v>40</v>
      </c>
      <c r="L123" s="354" t="s">
        <v>458</v>
      </c>
      <c r="M123" s="355">
        <v>45849</v>
      </c>
      <c r="N123" s="355">
        <v>45862</v>
      </c>
      <c r="O123" s="356" t="s">
        <v>459</v>
      </c>
      <c r="P123" s="354"/>
      <c r="Q123" s="354"/>
      <c r="R123" s="371">
        <f>N126</f>
        <v>45883</v>
      </c>
      <c r="S123" s="350" t="s">
        <v>397</v>
      </c>
      <c r="T123" s="350" t="str">
        <f>O126</f>
        <v>CAT - I</v>
      </c>
      <c r="U123" s="350" t="s">
        <v>397</v>
      </c>
      <c r="V123" s="350"/>
    </row>
    <row r="124" spans="1:22" x14ac:dyDescent="0.35">
      <c r="A124" s="358"/>
      <c r="B124" s="358"/>
      <c r="C124" s="358"/>
      <c r="D124" s="401"/>
      <c r="E124" s="358"/>
      <c r="F124" s="358"/>
      <c r="G124" s="361"/>
      <c r="H124" s="361"/>
      <c r="I124" s="361"/>
      <c r="J124" s="358"/>
      <c r="K124" s="358"/>
      <c r="L124" s="354" t="s">
        <v>460</v>
      </c>
      <c r="M124" s="355">
        <v>45864</v>
      </c>
      <c r="N124" s="355"/>
      <c r="O124" s="356"/>
      <c r="P124" s="354"/>
      <c r="Q124" s="354"/>
      <c r="R124" s="376"/>
      <c r="S124" s="358"/>
      <c r="T124" s="358"/>
      <c r="U124" s="358"/>
      <c r="V124" s="358"/>
    </row>
    <row r="125" spans="1:22" x14ac:dyDescent="0.35">
      <c r="A125" s="358"/>
      <c r="B125" s="358"/>
      <c r="C125" s="358"/>
      <c r="D125" s="401"/>
      <c r="E125" s="358"/>
      <c r="F125" s="358"/>
      <c r="G125" s="361"/>
      <c r="H125" s="361"/>
      <c r="I125" s="361"/>
      <c r="J125" s="358"/>
      <c r="K125" s="358"/>
      <c r="L125" s="354" t="s">
        <v>460</v>
      </c>
      <c r="M125" s="355">
        <v>45882</v>
      </c>
      <c r="N125" s="355"/>
      <c r="O125" s="356"/>
      <c r="P125" s="354"/>
      <c r="Q125" s="354"/>
      <c r="R125" s="376"/>
      <c r="S125" s="358"/>
      <c r="T125" s="358"/>
      <c r="U125" s="358"/>
      <c r="V125" s="358"/>
    </row>
    <row r="126" spans="1:22" x14ac:dyDescent="0.35">
      <c r="A126" s="358"/>
      <c r="B126" s="358"/>
      <c r="C126" s="358"/>
      <c r="D126" s="401"/>
      <c r="E126" s="358"/>
      <c r="F126" s="358"/>
      <c r="G126" s="361"/>
      <c r="H126" s="361"/>
      <c r="I126" s="361"/>
      <c r="J126" s="358"/>
      <c r="K126" s="358"/>
      <c r="L126" s="354" t="s">
        <v>460</v>
      </c>
      <c r="M126" s="355">
        <v>45883</v>
      </c>
      <c r="N126" s="355">
        <v>45883</v>
      </c>
      <c r="O126" s="356" t="s">
        <v>472</v>
      </c>
      <c r="P126" s="354"/>
      <c r="Q126" s="354"/>
      <c r="R126" s="372"/>
      <c r="S126" s="358"/>
      <c r="T126" s="358"/>
      <c r="U126" s="358"/>
      <c r="V126" s="358"/>
    </row>
    <row r="127" spans="1:22" x14ac:dyDescent="0.35">
      <c r="A127" s="350">
        <v>26</v>
      </c>
      <c r="B127" s="350" t="s">
        <v>6</v>
      </c>
      <c r="C127" s="351" t="s">
        <v>550</v>
      </c>
      <c r="D127" s="352" t="s">
        <v>600</v>
      </c>
      <c r="E127" s="350" t="s">
        <v>601</v>
      </c>
      <c r="F127" s="350" t="s">
        <v>467</v>
      </c>
      <c r="G127" s="353">
        <v>45833</v>
      </c>
      <c r="H127" s="353">
        <f>G127+15</f>
        <v>45848</v>
      </c>
      <c r="I127" s="353">
        <f>M127</f>
        <v>45849</v>
      </c>
      <c r="J127" s="350">
        <f>I127-G127</f>
        <v>16</v>
      </c>
      <c r="K127" s="350">
        <f>R127-H127</f>
        <v>35</v>
      </c>
      <c r="L127" s="354" t="s">
        <v>458</v>
      </c>
      <c r="M127" s="355">
        <v>45849</v>
      </c>
      <c r="N127" s="355">
        <v>45862</v>
      </c>
      <c r="O127" s="356" t="s">
        <v>459</v>
      </c>
      <c r="P127" s="354"/>
      <c r="Q127" s="354"/>
      <c r="R127" s="371">
        <f>N128</f>
        <v>45883</v>
      </c>
      <c r="S127" s="350" t="s">
        <v>397</v>
      </c>
      <c r="T127" s="350" t="str">
        <f>O128</f>
        <v>CAT - I</v>
      </c>
      <c r="U127" s="350" t="s">
        <v>397</v>
      </c>
      <c r="V127" s="350"/>
    </row>
    <row r="128" spans="1:22" x14ac:dyDescent="0.35">
      <c r="A128" s="358"/>
      <c r="B128" s="358"/>
      <c r="C128" s="379"/>
      <c r="D128" s="360"/>
      <c r="E128" s="358"/>
      <c r="F128" s="358"/>
      <c r="G128" s="361"/>
      <c r="H128" s="361"/>
      <c r="I128" s="361"/>
      <c r="J128" s="358"/>
      <c r="K128" s="358"/>
      <c r="L128" s="354" t="s">
        <v>460</v>
      </c>
      <c r="M128" s="355">
        <v>45864</v>
      </c>
      <c r="N128" s="355">
        <v>45883</v>
      </c>
      <c r="O128" s="356" t="s">
        <v>472</v>
      </c>
      <c r="P128" s="354"/>
      <c r="Q128" s="354"/>
      <c r="R128" s="372"/>
      <c r="S128" s="358"/>
      <c r="T128" s="358"/>
      <c r="U128" s="358"/>
      <c r="V128" s="358"/>
    </row>
    <row r="129" spans="1:22" ht="42" x14ac:dyDescent="0.35">
      <c r="A129" s="330">
        <v>27</v>
      </c>
      <c r="B129" s="330" t="s">
        <v>6</v>
      </c>
      <c r="C129" s="366" t="s">
        <v>550</v>
      </c>
      <c r="D129" s="367" t="s">
        <v>602</v>
      </c>
      <c r="E129" s="332" t="s">
        <v>603</v>
      </c>
      <c r="F129" s="330" t="s">
        <v>457</v>
      </c>
      <c r="G129" s="369">
        <v>45836</v>
      </c>
      <c r="H129" s="369">
        <f>G129+15</f>
        <v>45851</v>
      </c>
      <c r="I129" s="368"/>
      <c r="J129" s="330">
        <f t="shared" ref="J129:J131" ca="1" si="8">$I$1-G129</f>
        <v>51</v>
      </c>
      <c r="K129" s="332">
        <f ca="1">$I$1-H129</f>
        <v>36</v>
      </c>
      <c r="L129" s="257"/>
      <c r="M129" s="369"/>
      <c r="N129" s="369"/>
      <c r="O129" s="370"/>
      <c r="P129" s="332"/>
      <c r="Q129" s="332"/>
      <c r="R129" s="332"/>
      <c r="S129" s="332"/>
      <c r="T129" s="332"/>
      <c r="U129" s="332"/>
      <c r="V129" s="332"/>
    </row>
    <row r="130" spans="1:22" ht="42" x14ac:dyDescent="0.35">
      <c r="A130" s="330">
        <v>28</v>
      </c>
      <c r="B130" s="330" t="s">
        <v>6</v>
      </c>
      <c r="C130" s="366" t="s">
        <v>550</v>
      </c>
      <c r="D130" s="367" t="s">
        <v>604</v>
      </c>
      <c r="E130" s="332" t="s">
        <v>605</v>
      </c>
      <c r="F130" s="332" t="s">
        <v>457</v>
      </c>
      <c r="G130" s="369">
        <v>45858</v>
      </c>
      <c r="H130" s="369">
        <f>G130+15</f>
        <v>45873</v>
      </c>
      <c r="I130" s="368"/>
      <c r="J130" s="330">
        <f t="shared" ca="1" si="8"/>
        <v>29</v>
      </c>
      <c r="K130" s="332">
        <f ca="1">$I$1-H130</f>
        <v>14</v>
      </c>
      <c r="L130" s="257"/>
      <c r="M130" s="369"/>
      <c r="N130" s="369"/>
      <c r="O130" s="370"/>
      <c r="P130" s="332"/>
      <c r="Q130" s="332"/>
      <c r="R130" s="332"/>
      <c r="S130" s="332"/>
      <c r="T130" s="332"/>
      <c r="U130" s="332"/>
      <c r="V130" s="332"/>
    </row>
    <row r="131" spans="1:22" ht="42" x14ac:dyDescent="0.35">
      <c r="A131" s="330">
        <v>29</v>
      </c>
      <c r="B131" s="330" t="s">
        <v>6</v>
      </c>
      <c r="C131" s="366" t="s">
        <v>550</v>
      </c>
      <c r="D131" s="367" t="s">
        <v>606</v>
      </c>
      <c r="E131" s="332" t="s">
        <v>607</v>
      </c>
      <c r="F131" s="332" t="s">
        <v>457</v>
      </c>
      <c r="G131" s="369">
        <v>45863</v>
      </c>
      <c r="H131" s="369">
        <f>G131+15</f>
        <v>45878</v>
      </c>
      <c r="I131" s="368"/>
      <c r="J131" s="330">
        <f t="shared" ca="1" si="8"/>
        <v>24</v>
      </c>
      <c r="K131" s="332">
        <f ca="1">$I$1-H131</f>
        <v>9</v>
      </c>
      <c r="L131" s="257"/>
      <c r="M131" s="369"/>
      <c r="N131" s="369"/>
      <c r="O131" s="370"/>
      <c r="P131" s="332"/>
      <c r="Q131" s="332"/>
      <c r="R131" s="332"/>
      <c r="S131" s="332"/>
      <c r="T131" s="332"/>
      <c r="U131" s="332"/>
      <c r="V131" s="332"/>
    </row>
    <row r="132" spans="1:22" x14ac:dyDescent="0.35">
      <c r="A132" s="350">
        <v>1</v>
      </c>
      <c r="B132" s="350" t="s">
        <v>608</v>
      </c>
      <c r="C132" s="351" t="s">
        <v>609</v>
      </c>
      <c r="D132" s="352" t="s">
        <v>610</v>
      </c>
      <c r="E132" s="350" t="s">
        <v>611</v>
      </c>
      <c r="F132" s="350" t="s">
        <v>457</v>
      </c>
      <c r="G132" s="353">
        <v>45719</v>
      </c>
      <c r="H132" s="353">
        <f>G132+15</f>
        <v>45734</v>
      </c>
      <c r="I132" s="353">
        <f>M132</f>
        <v>45714</v>
      </c>
      <c r="J132" s="350">
        <f>I132-G132</f>
        <v>-5</v>
      </c>
      <c r="K132" s="350">
        <f>R132-H132</f>
        <v>86</v>
      </c>
      <c r="L132" s="354" t="s">
        <v>458</v>
      </c>
      <c r="M132" s="355">
        <v>45714</v>
      </c>
      <c r="N132" s="355">
        <v>45721</v>
      </c>
      <c r="O132" s="356" t="s">
        <v>459</v>
      </c>
      <c r="P132" s="354">
        <f t="shared" ref="P132:P142" si="9">N132-M132</f>
        <v>7</v>
      </c>
      <c r="Q132" s="354">
        <f>M133-N132</f>
        <v>33</v>
      </c>
      <c r="R132" s="353">
        <f>N135</f>
        <v>45820</v>
      </c>
      <c r="S132" s="350" t="s">
        <v>397</v>
      </c>
      <c r="T132" s="350" t="str">
        <f>O135</f>
        <v>CAT - I</v>
      </c>
      <c r="U132" s="350" t="s">
        <v>397</v>
      </c>
      <c r="V132" s="350"/>
    </row>
    <row r="133" spans="1:22" x14ac:dyDescent="0.35">
      <c r="A133" s="358"/>
      <c r="B133" s="358"/>
      <c r="C133" s="359"/>
      <c r="D133" s="360"/>
      <c r="E133" s="358"/>
      <c r="F133" s="358"/>
      <c r="G133" s="361"/>
      <c r="H133" s="361"/>
      <c r="I133" s="361"/>
      <c r="J133" s="358"/>
      <c r="K133" s="358"/>
      <c r="L133" s="354" t="s">
        <v>460</v>
      </c>
      <c r="M133" s="355">
        <v>45754</v>
      </c>
      <c r="N133" s="355">
        <v>45763</v>
      </c>
      <c r="O133" s="356" t="s">
        <v>459</v>
      </c>
      <c r="P133" s="354">
        <f t="shared" si="9"/>
        <v>9</v>
      </c>
      <c r="Q133" s="354">
        <f>M134-N133</f>
        <v>4</v>
      </c>
      <c r="R133" s="358"/>
      <c r="S133" s="358"/>
      <c r="T133" s="358"/>
      <c r="U133" s="358"/>
      <c r="V133" s="358"/>
    </row>
    <row r="134" spans="1:22" x14ac:dyDescent="0.35">
      <c r="A134" s="358"/>
      <c r="B134" s="358"/>
      <c r="C134" s="359"/>
      <c r="D134" s="360"/>
      <c r="E134" s="358"/>
      <c r="F134" s="358"/>
      <c r="G134" s="361"/>
      <c r="H134" s="361"/>
      <c r="I134" s="361"/>
      <c r="J134" s="358"/>
      <c r="K134" s="358"/>
      <c r="L134" s="354" t="s">
        <v>462</v>
      </c>
      <c r="M134" s="355">
        <v>45767</v>
      </c>
      <c r="N134" s="355">
        <v>45770</v>
      </c>
      <c r="O134" s="356" t="s">
        <v>481</v>
      </c>
      <c r="P134" s="354">
        <f t="shared" si="9"/>
        <v>3</v>
      </c>
      <c r="Q134" s="354">
        <f>M135-N134</f>
        <v>1</v>
      </c>
      <c r="R134" s="358"/>
      <c r="S134" s="358"/>
      <c r="T134" s="358"/>
      <c r="U134" s="358"/>
      <c r="V134" s="358"/>
    </row>
    <row r="135" spans="1:22" x14ac:dyDescent="0.35">
      <c r="A135" s="358"/>
      <c r="B135" s="358"/>
      <c r="C135" s="359"/>
      <c r="D135" s="360"/>
      <c r="E135" s="358"/>
      <c r="F135" s="358"/>
      <c r="G135" s="361"/>
      <c r="H135" s="361"/>
      <c r="I135" s="361"/>
      <c r="J135" s="358"/>
      <c r="K135" s="358"/>
      <c r="L135" s="354" t="s">
        <v>463</v>
      </c>
      <c r="M135" s="355">
        <v>45771</v>
      </c>
      <c r="N135" s="355">
        <v>45820</v>
      </c>
      <c r="O135" s="356" t="s">
        <v>472</v>
      </c>
      <c r="P135" s="354">
        <f t="shared" si="9"/>
        <v>49</v>
      </c>
      <c r="Q135" s="354"/>
      <c r="R135" s="358"/>
      <c r="S135" s="358"/>
      <c r="T135" s="358"/>
      <c r="U135" s="358"/>
      <c r="V135" s="358"/>
    </row>
    <row r="136" spans="1:22" x14ac:dyDescent="0.35">
      <c r="A136" s="339">
        <v>2</v>
      </c>
      <c r="B136" s="339" t="s">
        <v>608</v>
      </c>
      <c r="C136" s="340" t="s">
        <v>609</v>
      </c>
      <c r="D136" s="341" t="s">
        <v>821</v>
      </c>
      <c r="E136" s="339" t="s">
        <v>612</v>
      </c>
      <c r="F136" s="339" t="s">
        <v>457</v>
      </c>
      <c r="G136" s="342">
        <v>45755</v>
      </c>
      <c r="H136" s="342">
        <f>G136+15</f>
        <v>45770</v>
      </c>
      <c r="I136" s="342">
        <v>45772</v>
      </c>
      <c r="J136" s="339">
        <f>I136-G136</f>
        <v>17</v>
      </c>
      <c r="K136" s="339">
        <f ca="1">I1-H136</f>
        <v>117</v>
      </c>
      <c r="L136" s="343" t="s">
        <v>458</v>
      </c>
      <c r="M136" s="344">
        <v>45772</v>
      </c>
      <c r="N136" s="344">
        <v>45790</v>
      </c>
      <c r="O136" s="345" t="s">
        <v>459</v>
      </c>
      <c r="P136" s="343">
        <f t="shared" si="9"/>
        <v>18</v>
      </c>
      <c r="Q136" s="343">
        <f>M137-N136</f>
        <v>3</v>
      </c>
      <c r="R136" s="339"/>
      <c r="S136" s="339" t="s">
        <v>482</v>
      </c>
      <c r="T136" s="339" t="str">
        <f>O136</f>
        <v>CAT - III</v>
      </c>
      <c r="U136" s="339" t="s">
        <v>464</v>
      </c>
      <c r="V136" s="339">
        <f ca="1">V1-M137</f>
        <v>94</v>
      </c>
    </row>
    <row r="137" spans="1:22" x14ac:dyDescent="0.35">
      <c r="A137" s="402"/>
      <c r="B137" s="402"/>
      <c r="C137" s="403"/>
      <c r="D137" s="404"/>
      <c r="E137" s="386"/>
      <c r="F137" s="386"/>
      <c r="G137" s="387"/>
      <c r="H137" s="387"/>
      <c r="I137" s="387"/>
      <c r="J137" s="386"/>
      <c r="K137" s="386"/>
      <c r="L137" s="343" t="s">
        <v>460</v>
      </c>
      <c r="M137" s="344">
        <v>45793</v>
      </c>
      <c r="N137" s="344">
        <v>45827</v>
      </c>
      <c r="O137" s="345"/>
      <c r="P137" s="343">
        <f t="shared" si="9"/>
        <v>34</v>
      </c>
      <c r="Q137" s="343">
        <f ca="1">I1-N137</f>
        <v>60</v>
      </c>
      <c r="R137" s="386"/>
      <c r="S137" s="386"/>
      <c r="T137" s="386"/>
      <c r="U137" s="386"/>
      <c r="V137" s="386"/>
    </row>
    <row r="138" spans="1:22" x14ac:dyDescent="0.35">
      <c r="A138" s="350">
        <v>3</v>
      </c>
      <c r="B138" s="350" t="s">
        <v>608</v>
      </c>
      <c r="C138" s="351" t="s">
        <v>609</v>
      </c>
      <c r="D138" s="352" t="s">
        <v>613</v>
      </c>
      <c r="E138" s="350" t="s">
        <v>614</v>
      </c>
      <c r="F138" s="350" t="s">
        <v>457</v>
      </c>
      <c r="G138" s="353">
        <v>45762</v>
      </c>
      <c r="H138" s="353">
        <f>G138+15</f>
        <v>45777</v>
      </c>
      <c r="I138" s="353">
        <v>45790</v>
      </c>
      <c r="J138" s="350">
        <f>I138-G138</f>
        <v>28</v>
      </c>
      <c r="K138" s="350">
        <f>R138-H138</f>
        <v>63</v>
      </c>
      <c r="L138" s="354" t="s">
        <v>458</v>
      </c>
      <c r="M138" s="355">
        <v>45790</v>
      </c>
      <c r="N138" s="355">
        <v>45821</v>
      </c>
      <c r="O138" s="356" t="s">
        <v>459</v>
      </c>
      <c r="P138" s="354">
        <f t="shared" si="9"/>
        <v>31</v>
      </c>
      <c r="Q138" s="354">
        <f>M139-N138</f>
        <v>11</v>
      </c>
      <c r="R138" s="353">
        <f>N139</f>
        <v>45840</v>
      </c>
      <c r="S138" s="350" t="s">
        <v>397</v>
      </c>
      <c r="T138" s="350" t="str">
        <f>O139</f>
        <v>CAT - I</v>
      </c>
      <c r="U138" s="350" t="s">
        <v>397</v>
      </c>
      <c r="V138" s="354">
        <f ca="1">V1-M138</f>
        <v>97</v>
      </c>
    </row>
    <row r="139" spans="1:22" x14ac:dyDescent="0.35">
      <c r="A139" s="358"/>
      <c r="B139" s="358"/>
      <c r="C139" s="359"/>
      <c r="D139" s="360"/>
      <c r="E139" s="358"/>
      <c r="F139" s="358"/>
      <c r="G139" s="361"/>
      <c r="H139" s="361"/>
      <c r="I139" s="361"/>
      <c r="J139" s="358"/>
      <c r="K139" s="358"/>
      <c r="L139" s="354" t="s">
        <v>460</v>
      </c>
      <c r="M139" s="355">
        <v>45832</v>
      </c>
      <c r="N139" s="355">
        <v>45840</v>
      </c>
      <c r="O139" s="356" t="s">
        <v>472</v>
      </c>
      <c r="P139" s="354">
        <f t="shared" si="9"/>
        <v>8</v>
      </c>
      <c r="Q139" s="354"/>
      <c r="R139" s="358"/>
      <c r="S139" s="358"/>
      <c r="T139" s="358"/>
      <c r="U139" s="358"/>
      <c r="V139" s="354"/>
    </row>
    <row r="140" spans="1:22" x14ac:dyDescent="0.35">
      <c r="A140" s="339">
        <v>4</v>
      </c>
      <c r="B140" s="339" t="s">
        <v>608</v>
      </c>
      <c r="C140" s="340" t="s">
        <v>609</v>
      </c>
      <c r="D140" s="341" t="s">
        <v>615</v>
      </c>
      <c r="E140" s="339" t="s">
        <v>616</v>
      </c>
      <c r="F140" s="339" t="s">
        <v>457</v>
      </c>
      <c r="G140" s="342">
        <v>45780</v>
      </c>
      <c r="H140" s="342">
        <f>G140+15</f>
        <v>45795</v>
      </c>
      <c r="I140" s="342">
        <v>45758</v>
      </c>
      <c r="J140" s="339">
        <f>I140-G140</f>
        <v>-22</v>
      </c>
      <c r="K140" s="339">
        <f ca="1">I1-H140</f>
        <v>92</v>
      </c>
      <c r="L140" s="343" t="s">
        <v>458</v>
      </c>
      <c r="M140" s="344">
        <v>45758</v>
      </c>
      <c r="N140" s="344">
        <v>45766</v>
      </c>
      <c r="O140" s="345" t="s">
        <v>459</v>
      </c>
      <c r="P140" s="343">
        <f t="shared" si="9"/>
        <v>8</v>
      </c>
      <c r="Q140" s="343">
        <f>M141-N140</f>
        <v>27</v>
      </c>
      <c r="R140" s="339"/>
      <c r="S140" s="339" t="s">
        <v>482</v>
      </c>
      <c r="T140" s="339" t="str">
        <f>O142</f>
        <v>CAT - II</v>
      </c>
      <c r="U140" s="339" t="s">
        <v>461</v>
      </c>
      <c r="V140" s="339">
        <f ca="1">V1-N142</f>
        <v>60</v>
      </c>
    </row>
    <row r="141" spans="1:22" x14ac:dyDescent="0.35">
      <c r="A141" s="402"/>
      <c r="B141" s="402"/>
      <c r="C141" s="405"/>
      <c r="D141" s="404"/>
      <c r="E141" s="386"/>
      <c r="F141" s="386"/>
      <c r="G141" s="387"/>
      <c r="H141" s="387"/>
      <c r="I141" s="387"/>
      <c r="J141" s="386"/>
      <c r="K141" s="386"/>
      <c r="L141" s="343" t="s">
        <v>460</v>
      </c>
      <c r="M141" s="344">
        <v>45793</v>
      </c>
      <c r="N141" s="344">
        <v>45808</v>
      </c>
      <c r="O141" s="345" t="s">
        <v>459</v>
      </c>
      <c r="P141" s="343">
        <f t="shared" si="9"/>
        <v>15</v>
      </c>
      <c r="Q141" s="343">
        <f>M142-N141</f>
        <v>15</v>
      </c>
      <c r="R141" s="339"/>
      <c r="S141" s="339"/>
      <c r="T141" s="339"/>
      <c r="U141" s="339"/>
      <c r="V141" s="339"/>
    </row>
    <row r="142" spans="1:22" x14ac:dyDescent="0.35">
      <c r="A142" s="402"/>
      <c r="B142" s="402"/>
      <c r="C142" s="405"/>
      <c r="D142" s="404"/>
      <c r="E142" s="386"/>
      <c r="F142" s="386"/>
      <c r="G142" s="387"/>
      <c r="H142" s="387"/>
      <c r="I142" s="387"/>
      <c r="J142" s="386"/>
      <c r="K142" s="386"/>
      <c r="L142" s="343" t="s">
        <v>462</v>
      </c>
      <c r="M142" s="344">
        <v>45823</v>
      </c>
      <c r="N142" s="344">
        <v>45827</v>
      </c>
      <c r="O142" s="345" t="s">
        <v>481</v>
      </c>
      <c r="P142" s="343">
        <f t="shared" si="9"/>
        <v>4</v>
      </c>
      <c r="Q142" s="343">
        <f>M143-N142</f>
        <v>24</v>
      </c>
      <c r="R142" s="339"/>
      <c r="S142" s="339"/>
      <c r="T142" s="339"/>
      <c r="U142" s="339"/>
      <c r="V142" s="339"/>
    </row>
    <row r="143" spans="1:22" x14ac:dyDescent="0.35">
      <c r="A143" s="402"/>
      <c r="B143" s="402"/>
      <c r="C143" s="405"/>
      <c r="D143" s="404"/>
      <c r="E143" s="386"/>
      <c r="F143" s="386"/>
      <c r="G143" s="387"/>
      <c r="H143" s="387"/>
      <c r="I143" s="387"/>
      <c r="J143" s="386"/>
      <c r="K143" s="386"/>
      <c r="L143" s="343" t="s">
        <v>463</v>
      </c>
      <c r="M143" s="344">
        <v>45851</v>
      </c>
      <c r="N143" s="344"/>
      <c r="O143" s="345"/>
      <c r="P143" s="343">
        <f ca="1">I1-M143</f>
        <v>36</v>
      </c>
      <c r="Q143" s="343"/>
      <c r="R143" s="339"/>
      <c r="S143" s="339"/>
      <c r="T143" s="339"/>
      <c r="U143" s="339"/>
      <c r="V143" s="339"/>
    </row>
    <row r="144" spans="1:22" x14ac:dyDescent="0.35">
      <c r="A144" s="339">
        <v>5</v>
      </c>
      <c r="B144" s="339" t="s">
        <v>608</v>
      </c>
      <c r="C144" s="341" t="s">
        <v>609</v>
      </c>
      <c r="D144" s="341" t="s">
        <v>617</v>
      </c>
      <c r="E144" s="339" t="s">
        <v>618</v>
      </c>
      <c r="F144" s="339" t="s">
        <v>457</v>
      </c>
      <c r="G144" s="342">
        <v>45835</v>
      </c>
      <c r="H144" s="342">
        <f>G144+15</f>
        <v>45850</v>
      </c>
      <c r="I144" s="342">
        <f>M144</f>
        <v>45845</v>
      </c>
      <c r="J144" s="339">
        <f>I144-G144</f>
        <v>10</v>
      </c>
      <c r="K144" s="339">
        <f ca="1">I1-H144</f>
        <v>37</v>
      </c>
      <c r="L144" s="343" t="s">
        <v>458</v>
      </c>
      <c r="M144" s="344">
        <v>45845</v>
      </c>
      <c r="N144" s="344"/>
      <c r="O144" s="345"/>
      <c r="P144" s="343">
        <f>M145-M144</f>
        <v>25</v>
      </c>
      <c r="Q144" s="343"/>
      <c r="R144" s="339"/>
      <c r="S144" s="339" t="s">
        <v>482</v>
      </c>
      <c r="T144" s="339" t="str">
        <f>O147</f>
        <v>CAT - II</v>
      </c>
      <c r="U144" s="339" t="s">
        <v>461</v>
      </c>
      <c r="V144" s="339"/>
    </row>
    <row r="145" spans="1:22" x14ac:dyDescent="0.35">
      <c r="A145" s="402"/>
      <c r="B145" s="402"/>
      <c r="C145" s="404"/>
      <c r="D145" s="404"/>
      <c r="E145" s="386"/>
      <c r="F145" s="386"/>
      <c r="G145" s="349"/>
      <c r="H145" s="349"/>
      <c r="I145" s="349"/>
      <c r="J145" s="386"/>
      <c r="K145" s="386"/>
      <c r="L145" s="343" t="s">
        <v>460</v>
      </c>
      <c r="M145" s="344">
        <v>45870</v>
      </c>
      <c r="N145" s="344"/>
      <c r="O145" s="345"/>
      <c r="P145" s="343">
        <f>M146-M145</f>
        <v>8</v>
      </c>
      <c r="Q145" s="343"/>
      <c r="R145" s="339"/>
      <c r="S145" s="339"/>
      <c r="T145" s="339"/>
      <c r="U145" s="339"/>
      <c r="V145" s="339"/>
    </row>
    <row r="146" spans="1:22" x14ac:dyDescent="0.35">
      <c r="A146" s="402"/>
      <c r="B146" s="402"/>
      <c r="C146" s="404"/>
      <c r="D146" s="404"/>
      <c r="E146" s="386"/>
      <c r="F146" s="386"/>
      <c r="G146" s="349"/>
      <c r="H146" s="349"/>
      <c r="I146" s="349"/>
      <c r="J146" s="386"/>
      <c r="K146" s="386"/>
      <c r="L146" s="343" t="s">
        <v>462</v>
      </c>
      <c r="M146" s="344">
        <v>45878</v>
      </c>
      <c r="N146" s="344"/>
      <c r="O146" s="345"/>
      <c r="P146" s="343">
        <f ca="1">I1-M146</f>
        <v>9</v>
      </c>
      <c r="Q146" s="343"/>
      <c r="R146" s="339"/>
      <c r="S146" s="339"/>
      <c r="T146" s="339"/>
      <c r="U146" s="339"/>
      <c r="V146" s="343"/>
    </row>
    <row r="147" spans="1:22" x14ac:dyDescent="0.35">
      <c r="A147" s="402"/>
      <c r="B147" s="402"/>
      <c r="C147" s="404"/>
      <c r="D147" s="404"/>
      <c r="E147" s="386"/>
      <c r="F147" s="386"/>
      <c r="G147" s="349"/>
      <c r="H147" s="349"/>
      <c r="I147" s="349"/>
      <c r="J147" s="386"/>
      <c r="K147" s="386"/>
      <c r="L147" s="343" t="s">
        <v>463</v>
      </c>
      <c r="M147" s="344">
        <v>45882</v>
      </c>
      <c r="N147" s="344">
        <v>45884</v>
      </c>
      <c r="O147" s="345" t="s">
        <v>481</v>
      </c>
      <c r="P147" s="343"/>
      <c r="Q147" s="343"/>
      <c r="R147" s="343"/>
      <c r="S147" s="343"/>
      <c r="T147" s="343"/>
      <c r="U147" s="343"/>
      <c r="V147" s="343"/>
    </row>
    <row r="148" spans="1:22" x14ac:dyDescent="0.35">
      <c r="A148" s="339">
        <v>6</v>
      </c>
      <c r="B148" s="339" t="s">
        <v>608</v>
      </c>
      <c r="C148" s="339" t="s">
        <v>609</v>
      </c>
      <c r="D148" s="341" t="s">
        <v>619</v>
      </c>
      <c r="E148" s="339" t="s">
        <v>620</v>
      </c>
      <c r="F148" s="339" t="s">
        <v>457</v>
      </c>
      <c r="G148" s="342">
        <v>45835</v>
      </c>
      <c r="H148" s="342">
        <f>G148+15</f>
        <v>45850</v>
      </c>
      <c r="I148" s="342">
        <f>M148</f>
        <v>45848</v>
      </c>
      <c r="J148" s="339">
        <f>I148-G148</f>
        <v>13</v>
      </c>
      <c r="K148" s="339">
        <f ca="1">I1-H148</f>
        <v>37</v>
      </c>
      <c r="L148" s="343" t="s">
        <v>458</v>
      </c>
      <c r="M148" s="344">
        <v>45848</v>
      </c>
      <c r="N148" s="344">
        <v>45864</v>
      </c>
      <c r="O148" s="345" t="s">
        <v>459</v>
      </c>
      <c r="P148" s="343">
        <f>N148-M148</f>
        <v>16</v>
      </c>
      <c r="Q148" s="343">
        <f>M149-N148</f>
        <v>14</v>
      </c>
      <c r="R148" s="343"/>
      <c r="S148" s="339" t="s">
        <v>489</v>
      </c>
      <c r="T148" s="339" t="str">
        <f>O149</f>
        <v>CAT - II</v>
      </c>
      <c r="U148" s="339" t="s">
        <v>464</v>
      </c>
      <c r="V148" s="339"/>
    </row>
    <row r="149" spans="1:22" x14ac:dyDescent="0.35">
      <c r="A149" s="402"/>
      <c r="B149" s="402"/>
      <c r="C149" s="386"/>
      <c r="D149" s="404"/>
      <c r="E149" s="386"/>
      <c r="F149" s="386"/>
      <c r="G149" s="349"/>
      <c r="H149" s="387"/>
      <c r="I149" s="349"/>
      <c r="J149" s="386"/>
      <c r="K149" s="386"/>
      <c r="L149" s="343" t="s">
        <v>460</v>
      </c>
      <c r="M149" s="344">
        <v>45878</v>
      </c>
      <c r="N149" s="344">
        <v>45883</v>
      </c>
      <c r="O149" s="345" t="s">
        <v>481</v>
      </c>
      <c r="P149" s="343">
        <f>N149-M149</f>
        <v>5</v>
      </c>
      <c r="Q149" s="343"/>
      <c r="R149" s="343"/>
      <c r="S149" s="339"/>
      <c r="T149" s="339"/>
      <c r="U149" s="339"/>
      <c r="V149" s="339"/>
    </row>
    <row r="150" spans="1:22" ht="31.5" x14ac:dyDescent="0.35">
      <c r="A150" s="330">
        <v>7</v>
      </c>
      <c r="B150" s="330" t="s">
        <v>608</v>
      </c>
      <c r="C150" s="366" t="s">
        <v>609</v>
      </c>
      <c r="D150" s="367" t="s">
        <v>621</v>
      </c>
      <c r="E150" s="332" t="s">
        <v>622</v>
      </c>
      <c r="F150" s="332" t="s">
        <v>457</v>
      </c>
      <c r="G150" s="369">
        <v>45835</v>
      </c>
      <c r="H150" s="369">
        <f>G150+15</f>
        <v>45850</v>
      </c>
      <c r="I150" s="368"/>
      <c r="J150" s="330">
        <f t="shared" ref="J150" ca="1" si="10">$I$1-G150</f>
        <v>52</v>
      </c>
      <c r="K150" s="332">
        <f ca="1">$I$1-H150</f>
        <v>37</v>
      </c>
      <c r="L150" s="257"/>
      <c r="M150" s="369"/>
      <c r="N150" s="369"/>
      <c r="O150" s="370"/>
      <c r="P150" s="332"/>
      <c r="Q150" s="332"/>
      <c r="R150" s="332"/>
      <c r="S150" s="332"/>
      <c r="T150" s="332"/>
      <c r="U150" s="332"/>
      <c r="V150" s="332"/>
    </row>
    <row r="151" spans="1:22" ht="31.5" x14ac:dyDescent="0.35">
      <c r="A151" s="343">
        <v>8</v>
      </c>
      <c r="B151" s="343" t="s">
        <v>608</v>
      </c>
      <c r="C151" s="373" t="s">
        <v>609</v>
      </c>
      <c r="D151" s="374" t="s">
        <v>623</v>
      </c>
      <c r="E151" s="343" t="s">
        <v>624</v>
      </c>
      <c r="F151" s="343" t="s">
        <v>457</v>
      </c>
      <c r="G151" s="344">
        <v>45835</v>
      </c>
      <c r="H151" s="344">
        <f>G151+15</f>
        <v>45850</v>
      </c>
      <c r="I151" s="344">
        <f>M151</f>
        <v>45845</v>
      </c>
      <c r="J151" s="343"/>
      <c r="K151" s="343">
        <f ca="1">I1-H151</f>
        <v>37</v>
      </c>
      <c r="L151" s="343" t="s">
        <v>458</v>
      </c>
      <c r="M151" s="344">
        <v>45845</v>
      </c>
      <c r="N151" s="344">
        <v>45877</v>
      </c>
      <c r="O151" s="345" t="s">
        <v>459</v>
      </c>
      <c r="P151" s="343">
        <f>N151-M151</f>
        <v>32</v>
      </c>
      <c r="Q151" s="343">
        <f ca="1">I1-N151</f>
        <v>10</v>
      </c>
      <c r="R151" s="343"/>
      <c r="S151" s="343" t="s">
        <v>489</v>
      </c>
      <c r="T151" s="343" t="str">
        <f>O151</f>
        <v>CAT - III</v>
      </c>
      <c r="U151" s="343" t="s">
        <v>464</v>
      </c>
      <c r="V151" s="343"/>
    </row>
    <row r="152" spans="1:22" x14ac:dyDescent="0.35">
      <c r="A152" s="339">
        <v>9</v>
      </c>
      <c r="B152" s="339" t="s">
        <v>608</v>
      </c>
      <c r="C152" s="340" t="s">
        <v>609</v>
      </c>
      <c r="D152" s="341" t="s">
        <v>625</v>
      </c>
      <c r="E152" s="339" t="s">
        <v>626</v>
      </c>
      <c r="F152" s="339" t="s">
        <v>457</v>
      </c>
      <c r="G152" s="342">
        <v>45768</v>
      </c>
      <c r="H152" s="342">
        <f>G152+21</f>
        <v>45789</v>
      </c>
      <c r="I152" s="342">
        <f>M152</f>
        <v>45804</v>
      </c>
      <c r="J152" s="339">
        <f>I152-G152</f>
        <v>36</v>
      </c>
      <c r="K152" s="339">
        <f ca="1">I1-H152</f>
        <v>98</v>
      </c>
      <c r="L152" s="343" t="s">
        <v>458</v>
      </c>
      <c r="M152" s="344">
        <v>45804</v>
      </c>
      <c r="N152" s="344">
        <v>45812</v>
      </c>
      <c r="O152" s="345" t="s">
        <v>459</v>
      </c>
      <c r="P152" s="343">
        <f>N152-M152</f>
        <v>8</v>
      </c>
      <c r="Q152" s="343">
        <f>M153-N152</f>
        <v>9</v>
      </c>
      <c r="R152" s="343"/>
      <c r="S152" s="339" t="s">
        <v>489</v>
      </c>
      <c r="T152" s="339" t="str">
        <f>O154</f>
        <v>CAT - II</v>
      </c>
      <c r="U152" s="339" t="s">
        <v>464</v>
      </c>
      <c r="V152" s="339">
        <f ca="1">V1-M152</f>
        <v>83</v>
      </c>
    </row>
    <row r="153" spans="1:22" x14ac:dyDescent="0.35">
      <c r="A153" s="402"/>
      <c r="B153" s="402"/>
      <c r="C153" s="403"/>
      <c r="D153" s="404"/>
      <c r="E153" s="386"/>
      <c r="F153" s="386"/>
      <c r="G153" s="387"/>
      <c r="H153" s="387"/>
      <c r="I153" s="387"/>
      <c r="J153" s="386"/>
      <c r="K153" s="386"/>
      <c r="L153" s="343" t="s">
        <v>460</v>
      </c>
      <c r="M153" s="344">
        <v>45821</v>
      </c>
      <c r="N153" s="344">
        <v>45825</v>
      </c>
      <c r="O153" s="345" t="s">
        <v>459</v>
      </c>
      <c r="P153" s="343">
        <f>N153-M153</f>
        <v>4</v>
      </c>
      <c r="Q153" s="343">
        <f>M154-N153</f>
        <v>1</v>
      </c>
      <c r="R153" s="343"/>
      <c r="S153" s="386"/>
      <c r="T153" s="386"/>
      <c r="U153" s="386"/>
      <c r="V153" s="386"/>
    </row>
    <row r="154" spans="1:22" x14ac:dyDescent="0.35">
      <c r="A154" s="402"/>
      <c r="B154" s="402"/>
      <c r="C154" s="403"/>
      <c r="D154" s="404"/>
      <c r="E154" s="386"/>
      <c r="F154" s="386"/>
      <c r="G154" s="387"/>
      <c r="H154" s="387"/>
      <c r="I154" s="387"/>
      <c r="J154" s="386"/>
      <c r="K154" s="386"/>
      <c r="L154" s="343" t="s">
        <v>462</v>
      </c>
      <c r="M154" s="344">
        <v>45826</v>
      </c>
      <c r="N154" s="344">
        <v>45828</v>
      </c>
      <c r="O154" s="345" t="s">
        <v>481</v>
      </c>
      <c r="P154" s="343">
        <f>N154-M154</f>
        <v>2</v>
      </c>
      <c r="Q154" s="343"/>
      <c r="R154" s="343"/>
      <c r="S154" s="386"/>
      <c r="T154" s="386"/>
      <c r="U154" s="386"/>
      <c r="V154" s="386"/>
    </row>
    <row r="155" spans="1:22" ht="31.5" x14ac:dyDescent="0.35">
      <c r="A155" s="343">
        <v>10</v>
      </c>
      <c r="B155" s="343" t="s">
        <v>608</v>
      </c>
      <c r="C155" s="373" t="s">
        <v>609</v>
      </c>
      <c r="D155" s="374" t="s">
        <v>627</v>
      </c>
      <c r="E155" s="343" t="s">
        <v>628</v>
      </c>
      <c r="F155" s="343" t="s">
        <v>457</v>
      </c>
      <c r="G155" s="344">
        <v>45800</v>
      </c>
      <c r="H155" s="344">
        <f t="shared" ref="H155:H172" si="11">G155+15</f>
        <v>45815</v>
      </c>
      <c r="I155" s="344">
        <v>45840</v>
      </c>
      <c r="J155" s="343">
        <f>I155-G155</f>
        <v>40</v>
      </c>
      <c r="K155" s="343">
        <f ca="1">I1-H155</f>
        <v>72</v>
      </c>
      <c r="L155" s="343" t="s">
        <v>458</v>
      </c>
      <c r="M155" s="344">
        <v>45840</v>
      </c>
      <c r="N155" s="344">
        <v>45863</v>
      </c>
      <c r="O155" s="345" t="s">
        <v>459</v>
      </c>
      <c r="P155" s="343">
        <f>N155-M155</f>
        <v>23</v>
      </c>
      <c r="Q155" s="343"/>
      <c r="R155" s="343"/>
      <c r="S155" s="343" t="s">
        <v>489</v>
      </c>
      <c r="T155" s="343" t="str">
        <f>O155</f>
        <v>CAT - III</v>
      </c>
      <c r="U155" s="343" t="s">
        <v>464</v>
      </c>
      <c r="V155" s="343">
        <f ca="1">V1-M155</f>
        <v>47</v>
      </c>
    </row>
    <row r="156" spans="1:22" ht="31.5" x14ac:dyDescent="0.35">
      <c r="A156" s="330">
        <v>11</v>
      </c>
      <c r="B156" s="330" t="s">
        <v>608</v>
      </c>
      <c r="C156" s="366" t="s">
        <v>609</v>
      </c>
      <c r="D156" s="367" t="s">
        <v>629</v>
      </c>
      <c r="E156" s="332" t="s">
        <v>630</v>
      </c>
      <c r="F156" s="332" t="s">
        <v>457</v>
      </c>
      <c r="G156" s="369">
        <v>45826</v>
      </c>
      <c r="H156" s="369">
        <f t="shared" si="11"/>
        <v>45841</v>
      </c>
      <c r="I156" s="368"/>
      <c r="J156" s="330">
        <f t="shared" ref="J156:J158" ca="1" si="12">$I$1-G156</f>
        <v>61</v>
      </c>
      <c r="K156" s="332">
        <f ca="1">$I$1-H156</f>
        <v>46</v>
      </c>
      <c r="L156" s="257"/>
      <c r="M156" s="369"/>
      <c r="N156" s="369"/>
      <c r="O156" s="370"/>
      <c r="P156" s="332"/>
      <c r="Q156" s="332"/>
      <c r="R156" s="332"/>
      <c r="S156" s="332"/>
      <c r="T156" s="332"/>
      <c r="U156" s="332"/>
      <c r="V156" s="332"/>
    </row>
    <row r="157" spans="1:22" ht="31.5" x14ac:dyDescent="0.35">
      <c r="A157" s="330">
        <v>12</v>
      </c>
      <c r="B157" s="330" t="s">
        <v>608</v>
      </c>
      <c r="C157" s="366" t="s">
        <v>609</v>
      </c>
      <c r="D157" s="367" t="s">
        <v>631</v>
      </c>
      <c r="E157" s="332" t="s">
        <v>632</v>
      </c>
      <c r="F157" s="332" t="s">
        <v>457</v>
      </c>
      <c r="G157" s="369">
        <v>45826</v>
      </c>
      <c r="H157" s="369">
        <f t="shared" si="11"/>
        <v>45841</v>
      </c>
      <c r="I157" s="368"/>
      <c r="J157" s="330">
        <f t="shared" ca="1" si="12"/>
        <v>61</v>
      </c>
      <c r="K157" s="332">
        <f ca="1">$I$1-H157</f>
        <v>46</v>
      </c>
      <c r="L157" s="257"/>
      <c r="M157" s="369"/>
      <c r="N157" s="369"/>
      <c r="O157" s="370"/>
      <c r="P157" s="332"/>
      <c r="Q157" s="332"/>
      <c r="R157" s="332"/>
      <c r="S157" s="332"/>
      <c r="T157" s="332"/>
      <c r="U157" s="332"/>
      <c r="V157" s="332"/>
    </row>
    <row r="158" spans="1:22" ht="31.5" x14ac:dyDescent="0.35">
      <c r="A158" s="330">
        <v>13</v>
      </c>
      <c r="B158" s="330" t="s">
        <v>608</v>
      </c>
      <c r="C158" s="366" t="s">
        <v>609</v>
      </c>
      <c r="D158" s="367" t="s">
        <v>633</v>
      </c>
      <c r="E158" s="332" t="s">
        <v>634</v>
      </c>
      <c r="F158" s="332" t="s">
        <v>457</v>
      </c>
      <c r="G158" s="369">
        <v>45826</v>
      </c>
      <c r="H158" s="369">
        <f t="shared" si="11"/>
        <v>45841</v>
      </c>
      <c r="I158" s="368"/>
      <c r="J158" s="330">
        <f t="shared" ca="1" si="12"/>
        <v>61</v>
      </c>
      <c r="K158" s="332">
        <f ca="1">$I$1-H158</f>
        <v>46</v>
      </c>
      <c r="L158" s="257"/>
      <c r="M158" s="406"/>
      <c r="N158" s="369"/>
      <c r="O158" s="370"/>
      <c r="P158" s="332"/>
      <c r="Q158" s="332"/>
      <c r="R158" s="332"/>
      <c r="S158" s="332"/>
      <c r="T158" s="332"/>
      <c r="U158" s="332"/>
      <c r="V158" s="332"/>
    </row>
    <row r="159" spans="1:22" ht="31.5" x14ac:dyDescent="0.35">
      <c r="A159" s="343">
        <v>14</v>
      </c>
      <c r="B159" s="343" t="s">
        <v>608</v>
      </c>
      <c r="C159" s="373" t="s">
        <v>609</v>
      </c>
      <c r="D159" s="374" t="s">
        <v>635</v>
      </c>
      <c r="E159" s="343" t="s">
        <v>636</v>
      </c>
      <c r="F159" s="343" t="s">
        <v>457</v>
      </c>
      <c r="G159" s="344">
        <v>45794</v>
      </c>
      <c r="H159" s="344">
        <f t="shared" si="11"/>
        <v>45809</v>
      </c>
      <c r="I159" s="344">
        <v>45840</v>
      </c>
      <c r="J159" s="343">
        <f>I159-G159</f>
        <v>46</v>
      </c>
      <c r="K159" s="343">
        <f ca="1">I1-H159</f>
        <v>78</v>
      </c>
      <c r="L159" s="343" t="s">
        <v>458</v>
      </c>
      <c r="M159" s="344">
        <v>45840</v>
      </c>
      <c r="N159" s="344">
        <v>45863</v>
      </c>
      <c r="O159" s="345" t="s">
        <v>459</v>
      </c>
      <c r="P159" s="343">
        <f ca="1">I1-M159</f>
        <v>47</v>
      </c>
      <c r="Q159" s="343"/>
      <c r="R159" s="343"/>
      <c r="S159" s="343" t="s">
        <v>489</v>
      </c>
      <c r="T159" s="343" t="str">
        <f>O159</f>
        <v>CAT - III</v>
      </c>
      <c r="U159" s="343" t="s">
        <v>464</v>
      </c>
      <c r="V159" s="343"/>
    </row>
    <row r="160" spans="1:22" ht="31.5" x14ac:dyDescent="0.35">
      <c r="A160" s="330">
        <v>15</v>
      </c>
      <c r="B160" s="330" t="s">
        <v>608</v>
      </c>
      <c r="C160" s="366" t="s">
        <v>609</v>
      </c>
      <c r="D160" s="367" t="s">
        <v>637</v>
      </c>
      <c r="E160" s="332" t="s">
        <v>638</v>
      </c>
      <c r="F160" s="332" t="s">
        <v>457</v>
      </c>
      <c r="G160" s="369">
        <v>45821</v>
      </c>
      <c r="H160" s="369">
        <f t="shared" si="11"/>
        <v>45836</v>
      </c>
      <c r="I160" s="368"/>
      <c r="J160" s="330">
        <f t="shared" ref="J160:J163" ca="1" si="13">$I$1-G160</f>
        <v>66</v>
      </c>
      <c r="K160" s="332">
        <f ca="1">$I$1-H160</f>
        <v>51</v>
      </c>
      <c r="L160" s="257"/>
      <c r="M160" s="369"/>
      <c r="N160" s="369"/>
      <c r="O160" s="370"/>
      <c r="P160" s="332"/>
      <c r="Q160" s="332"/>
      <c r="R160" s="332"/>
      <c r="S160" s="332"/>
      <c r="T160" s="332"/>
      <c r="U160" s="332"/>
      <c r="V160" s="332"/>
    </row>
    <row r="161" spans="1:22" ht="31.5" x14ac:dyDescent="0.35">
      <c r="A161" s="330">
        <v>16</v>
      </c>
      <c r="B161" s="330" t="s">
        <v>608</v>
      </c>
      <c r="C161" s="366" t="s">
        <v>609</v>
      </c>
      <c r="D161" s="367" t="s">
        <v>639</v>
      </c>
      <c r="E161" s="332" t="s">
        <v>640</v>
      </c>
      <c r="F161" s="332" t="s">
        <v>457</v>
      </c>
      <c r="G161" s="369">
        <v>45835</v>
      </c>
      <c r="H161" s="369">
        <f t="shared" si="11"/>
        <v>45850</v>
      </c>
      <c r="I161" s="368"/>
      <c r="J161" s="330">
        <f t="shared" ca="1" si="13"/>
        <v>52</v>
      </c>
      <c r="K161" s="332">
        <f ca="1">$I$1-H161</f>
        <v>37</v>
      </c>
      <c r="L161" s="257"/>
      <c r="M161" s="369"/>
      <c r="N161" s="369"/>
      <c r="O161" s="370"/>
      <c r="P161" s="332"/>
      <c r="Q161" s="332"/>
      <c r="R161" s="332"/>
      <c r="S161" s="332"/>
      <c r="T161" s="332"/>
      <c r="U161" s="332"/>
      <c r="V161" s="332"/>
    </row>
    <row r="162" spans="1:22" ht="31.5" x14ac:dyDescent="0.35">
      <c r="A162" s="330">
        <v>17</v>
      </c>
      <c r="B162" s="330" t="s">
        <v>608</v>
      </c>
      <c r="C162" s="366" t="s">
        <v>609</v>
      </c>
      <c r="D162" s="367" t="s">
        <v>641</v>
      </c>
      <c r="E162" s="332" t="s">
        <v>642</v>
      </c>
      <c r="F162" s="332" t="s">
        <v>467</v>
      </c>
      <c r="G162" s="369">
        <v>45842</v>
      </c>
      <c r="H162" s="369">
        <f t="shared" si="11"/>
        <v>45857</v>
      </c>
      <c r="I162" s="368"/>
      <c r="J162" s="330">
        <f t="shared" ca="1" si="13"/>
        <v>45</v>
      </c>
      <c r="K162" s="332">
        <f ca="1">$I$1-H162</f>
        <v>30</v>
      </c>
      <c r="L162" s="257"/>
      <c r="M162" s="369"/>
      <c r="N162" s="369"/>
      <c r="O162" s="370"/>
      <c r="P162" s="332"/>
      <c r="Q162" s="332"/>
      <c r="R162" s="332"/>
      <c r="S162" s="332"/>
      <c r="T162" s="332"/>
      <c r="U162" s="332"/>
      <c r="V162" s="332"/>
    </row>
    <row r="163" spans="1:22" ht="31.5" x14ac:dyDescent="0.35">
      <c r="A163" s="330">
        <v>18</v>
      </c>
      <c r="B163" s="330" t="s">
        <v>608</v>
      </c>
      <c r="C163" s="366" t="s">
        <v>609</v>
      </c>
      <c r="D163" s="367" t="s">
        <v>643</v>
      </c>
      <c r="E163" s="332" t="s">
        <v>644</v>
      </c>
      <c r="F163" s="332" t="s">
        <v>457</v>
      </c>
      <c r="G163" s="369">
        <v>45853</v>
      </c>
      <c r="H163" s="369">
        <f t="shared" si="11"/>
        <v>45868</v>
      </c>
      <c r="I163" s="368"/>
      <c r="J163" s="330">
        <f t="shared" ca="1" si="13"/>
        <v>34</v>
      </c>
      <c r="K163" s="332">
        <f ca="1">$I$1-H163</f>
        <v>19</v>
      </c>
      <c r="L163" s="257"/>
      <c r="M163" s="369"/>
      <c r="N163" s="369"/>
      <c r="O163" s="370"/>
      <c r="P163" s="332"/>
      <c r="Q163" s="332"/>
      <c r="R163" s="332"/>
      <c r="S163" s="332"/>
      <c r="T163" s="332"/>
      <c r="U163" s="332"/>
      <c r="V163" s="332"/>
    </row>
    <row r="164" spans="1:22" ht="31.5" x14ac:dyDescent="0.35">
      <c r="A164" s="343">
        <v>19</v>
      </c>
      <c r="B164" s="343" t="s">
        <v>608</v>
      </c>
      <c r="C164" s="373" t="s">
        <v>609</v>
      </c>
      <c r="D164" s="374" t="s">
        <v>645</v>
      </c>
      <c r="E164" s="343" t="s">
        <v>646</v>
      </c>
      <c r="F164" s="343" t="s">
        <v>457</v>
      </c>
      <c r="G164" s="344">
        <v>45838</v>
      </c>
      <c r="H164" s="344">
        <f t="shared" si="11"/>
        <v>45853</v>
      </c>
      <c r="I164" s="344">
        <f>M164</f>
        <v>45869</v>
      </c>
      <c r="J164" s="343">
        <f>I164-G164</f>
        <v>31</v>
      </c>
      <c r="K164" s="343">
        <f ca="1">I1-H164</f>
        <v>34</v>
      </c>
      <c r="L164" s="343" t="s">
        <v>458</v>
      </c>
      <c r="M164" s="344">
        <v>45869</v>
      </c>
      <c r="N164" s="344"/>
      <c r="O164" s="345"/>
      <c r="P164" s="343"/>
      <c r="Q164" s="343"/>
      <c r="R164" s="343"/>
      <c r="S164" s="343"/>
      <c r="T164" s="343"/>
      <c r="U164" s="343" t="s">
        <v>461</v>
      </c>
      <c r="V164" s="343"/>
    </row>
    <row r="165" spans="1:22" ht="31.5" x14ac:dyDescent="0.35">
      <c r="A165" s="330">
        <v>20</v>
      </c>
      <c r="B165" s="330" t="s">
        <v>608</v>
      </c>
      <c r="C165" s="366" t="s">
        <v>609</v>
      </c>
      <c r="D165" s="367" t="s">
        <v>647</v>
      </c>
      <c r="E165" s="332" t="s">
        <v>648</v>
      </c>
      <c r="F165" s="332" t="s">
        <v>457</v>
      </c>
      <c r="G165" s="369">
        <v>45850</v>
      </c>
      <c r="H165" s="369">
        <f t="shared" si="11"/>
        <v>45865</v>
      </c>
      <c r="I165" s="368"/>
      <c r="J165" s="330">
        <f t="shared" ref="J165:K170" ca="1" si="14">$I$1-G165</f>
        <v>37</v>
      </c>
      <c r="K165" s="332">
        <f t="shared" ca="1" si="14"/>
        <v>22</v>
      </c>
      <c r="L165" s="257"/>
      <c r="M165" s="369"/>
      <c r="N165" s="369"/>
      <c r="O165" s="370"/>
      <c r="P165" s="332"/>
      <c r="Q165" s="332"/>
      <c r="R165" s="332"/>
      <c r="S165" s="332"/>
      <c r="T165" s="332"/>
      <c r="U165" s="332"/>
      <c r="V165" s="332"/>
    </row>
    <row r="166" spans="1:22" ht="31.5" x14ac:dyDescent="0.35">
      <c r="A166" s="330">
        <v>21</v>
      </c>
      <c r="B166" s="330" t="s">
        <v>608</v>
      </c>
      <c r="C166" s="366" t="s">
        <v>609</v>
      </c>
      <c r="D166" s="367" t="s">
        <v>649</v>
      </c>
      <c r="E166" s="332" t="s">
        <v>650</v>
      </c>
      <c r="F166" s="332" t="s">
        <v>457</v>
      </c>
      <c r="G166" s="369">
        <v>45852</v>
      </c>
      <c r="H166" s="369">
        <f t="shared" si="11"/>
        <v>45867</v>
      </c>
      <c r="I166" s="368"/>
      <c r="J166" s="330">
        <f t="shared" ca="1" si="14"/>
        <v>35</v>
      </c>
      <c r="K166" s="332">
        <f t="shared" ca="1" si="14"/>
        <v>20</v>
      </c>
      <c r="L166" s="257"/>
      <c r="M166" s="369"/>
      <c r="N166" s="369"/>
      <c r="O166" s="370"/>
      <c r="P166" s="332"/>
      <c r="Q166" s="332"/>
      <c r="R166" s="332"/>
      <c r="S166" s="332"/>
      <c r="T166" s="332"/>
      <c r="U166" s="332"/>
      <c r="V166" s="332"/>
    </row>
    <row r="167" spans="1:22" ht="31.5" x14ac:dyDescent="0.35">
      <c r="A167" s="330">
        <v>22</v>
      </c>
      <c r="B167" s="330" t="s">
        <v>608</v>
      </c>
      <c r="C167" s="366" t="s">
        <v>609</v>
      </c>
      <c r="D167" s="367" t="s">
        <v>651</v>
      </c>
      <c r="E167" s="332" t="s">
        <v>652</v>
      </c>
      <c r="F167" s="332" t="s">
        <v>457</v>
      </c>
      <c r="G167" s="369">
        <v>45863</v>
      </c>
      <c r="H167" s="369">
        <f t="shared" si="11"/>
        <v>45878</v>
      </c>
      <c r="I167" s="368"/>
      <c r="J167" s="330">
        <f t="shared" ca="1" si="14"/>
        <v>24</v>
      </c>
      <c r="K167" s="332">
        <f t="shared" ca="1" si="14"/>
        <v>9</v>
      </c>
      <c r="L167" s="257"/>
      <c r="M167" s="369"/>
      <c r="N167" s="369"/>
      <c r="O167" s="370"/>
      <c r="P167" s="332"/>
      <c r="Q167" s="332"/>
      <c r="R167" s="332"/>
      <c r="S167" s="332"/>
      <c r="T167" s="332"/>
      <c r="U167" s="332"/>
      <c r="V167" s="332"/>
    </row>
    <row r="168" spans="1:22" ht="31.5" x14ac:dyDescent="0.35">
      <c r="A168" s="330">
        <v>23</v>
      </c>
      <c r="B168" s="330" t="s">
        <v>608</v>
      </c>
      <c r="C168" s="366" t="s">
        <v>609</v>
      </c>
      <c r="D168" s="367" t="s">
        <v>653</v>
      </c>
      <c r="E168" s="332" t="s">
        <v>654</v>
      </c>
      <c r="F168" s="332" t="s">
        <v>457</v>
      </c>
      <c r="G168" s="369">
        <v>45854</v>
      </c>
      <c r="H168" s="369">
        <f t="shared" si="11"/>
        <v>45869</v>
      </c>
      <c r="I168" s="368"/>
      <c r="J168" s="330">
        <f t="shared" ca="1" si="14"/>
        <v>33</v>
      </c>
      <c r="K168" s="332">
        <f t="shared" ca="1" si="14"/>
        <v>18</v>
      </c>
      <c r="L168" s="257"/>
      <c r="M168" s="369"/>
      <c r="N168" s="369"/>
      <c r="O168" s="370"/>
      <c r="P168" s="332"/>
      <c r="Q168" s="332"/>
      <c r="R168" s="332"/>
      <c r="S168" s="332"/>
      <c r="T168" s="332"/>
      <c r="U168" s="332"/>
      <c r="V168" s="332"/>
    </row>
    <row r="169" spans="1:22" ht="31.5" x14ac:dyDescent="0.35">
      <c r="A169" s="330">
        <v>24</v>
      </c>
      <c r="B169" s="330" t="s">
        <v>608</v>
      </c>
      <c r="C169" s="366" t="s">
        <v>609</v>
      </c>
      <c r="D169" s="367" t="s">
        <v>655</v>
      </c>
      <c r="E169" s="332" t="s">
        <v>656</v>
      </c>
      <c r="F169" s="332" t="s">
        <v>457</v>
      </c>
      <c r="G169" s="369">
        <v>45860</v>
      </c>
      <c r="H169" s="369">
        <f t="shared" si="11"/>
        <v>45875</v>
      </c>
      <c r="I169" s="368"/>
      <c r="J169" s="330">
        <f t="shared" ca="1" si="14"/>
        <v>27</v>
      </c>
      <c r="K169" s="332">
        <f t="shared" ca="1" si="14"/>
        <v>12</v>
      </c>
      <c r="L169" s="257"/>
      <c r="M169" s="369"/>
      <c r="N169" s="369"/>
      <c r="O169" s="370"/>
      <c r="P169" s="332"/>
      <c r="Q169" s="332"/>
      <c r="R169" s="332"/>
      <c r="S169" s="332"/>
      <c r="T169" s="332"/>
      <c r="U169" s="332"/>
      <c r="V169" s="332"/>
    </row>
    <row r="170" spans="1:22" ht="31.5" x14ac:dyDescent="0.35">
      <c r="A170" s="330">
        <v>25</v>
      </c>
      <c r="B170" s="330" t="s">
        <v>608</v>
      </c>
      <c r="C170" s="366" t="s">
        <v>609</v>
      </c>
      <c r="D170" s="367" t="s">
        <v>657</v>
      </c>
      <c r="E170" s="332" t="s">
        <v>658</v>
      </c>
      <c r="F170" s="332" t="s">
        <v>457</v>
      </c>
      <c r="G170" s="369">
        <v>45866</v>
      </c>
      <c r="H170" s="369">
        <f t="shared" si="11"/>
        <v>45881</v>
      </c>
      <c r="I170" s="368"/>
      <c r="J170" s="330">
        <f t="shared" ca="1" si="14"/>
        <v>21</v>
      </c>
      <c r="K170" s="332">
        <f t="shared" ca="1" si="14"/>
        <v>6</v>
      </c>
      <c r="L170" s="257"/>
      <c r="M170" s="369"/>
      <c r="N170" s="369"/>
      <c r="O170" s="370"/>
      <c r="P170" s="332"/>
      <c r="Q170" s="332"/>
      <c r="R170" s="332"/>
      <c r="S170" s="332"/>
      <c r="T170" s="332"/>
      <c r="U170" s="332"/>
      <c r="V170" s="332"/>
    </row>
    <row r="171" spans="1:22" ht="31.5" x14ac:dyDescent="0.35">
      <c r="A171" s="343">
        <v>1</v>
      </c>
      <c r="B171" s="343" t="s">
        <v>608</v>
      </c>
      <c r="C171" s="373" t="s">
        <v>659</v>
      </c>
      <c r="D171" s="374" t="s">
        <v>660</v>
      </c>
      <c r="E171" s="343" t="s">
        <v>661</v>
      </c>
      <c r="F171" s="343" t="s">
        <v>457</v>
      </c>
      <c r="G171" s="344">
        <v>45714</v>
      </c>
      <c r="H171" s="344">
        <f t="shared" si="11"/>
        <v>45729</v>
      </c>
      <c r="I171" s="344">
        <v>45714</v>
      </c>
      <c r="J171" s="343">
        <f>I171-G171</f>
        <v>0</v>
      </c>
      <c r="K171" s="343">
        <f ca="1">I1-H171</f>
        <v>158</v>
      </c>
      <c r="L171" s="343" t="s">
        <v>458</v>
      </c>
      <c r="M171" s="344">
        <v>45714</v>
      </c>
      <c r="N171" s="344"/>
      <c r="O171" s="345"/>
      <c r="P171" s="343">
        <f ca="1">I1-M171</f>
        <v>173</v>
      </c>
      <c r="Q171" s="343"/>
      <c r="R171" s="343"/>
      <c r="S171" s="343" t="s">
        <v>482</v>
      </c>
      <c r="T171" s="343"/>
      <c r="U171" s="343" t="s">
        <v>461</v>
      </c>
      <c r="V171" s="343">
        <f ca="1">V1-M171</f>
        <v>173</v>
      </c>
    </row>
    <row r="172" spans="1:22" ht="31.5" x14ac:dyDescent="0.35">
      <c r="A172" s="330">
        <v>2</v>
      </c>
      <c r="B172" s="330" t="s">
        <v>608</v>
      </c>
      <c r="C172" s="366" t="s">
        <v>659</v>
      </c>
      <c r="D172" s="367" t="s">
        <v>662</v>
      </c>
      <c r="E172" s="332" t="s">
        <v>663</v>
      </c>
      <c r="F172" s="332" t="s">
        <v>457</v>
      </c>
      <c r="G172" s="369">
        <v>45877</v>
      </c>
      <c r="H172" s="369">
        <f t="shared" si="11"/>
        <v>45892</v>
      </c>
      <c r="I172" s="368"/>
      <c r="J172" s="330">
        <f t="shared" ref="J172" ca="1" si="15">$I$1-G172</f>
        <v>10</v>
      </c>
      <c r="K172" s="332">
        <f ca="1">$I$1-H172</f>
        <v>-5</v>
      </c>
      <c r="L172" s="257"/>
      <c r="M172" s="369"/>
      <c r="N172" s="369"/>
      <c r="O172" s="370"/>
      <c r="P172" s="332"/>
      <c r="Q172" s="332"/>
      <c r="R172" s="332"/>
      <c r="S172" s="332"/>
      <c r="T172" s="332"/>
      <c r="U172" s="332"/>
      <c r="V172" s="332"/>
    </row>
    <row r="173" spans="1:22" ht="31.5" x14ac:dyDescent="0.35">
      <c r="A173" s="343">
        <v>3</v>
      </c>
      <c r="B173" s="343" t="s">
        <v>608</v>
      </c>
      <c r="C173" s="373" t="s">
        <v>659</v>
      </c>
      <c r="D173" s="374" t="s">
        <v>664</v>
      </c>
      <c r="E173" s="343" t="s">
        <v>665</v>
      </c>
      <c r="F173" s="343" t="s">
        <v>457</v>
      </c>
      <c r="G173" s="344">
        <v>45935</v>
      </c>
      <c r="H173" s="344">
        <f>G173+12</f>
        <v>45947</v>
      </c>
      <c r="I173" s="344">
        <f>M173</f>
        <v>45863</v>
      </c>
      <c r="J173" s="343">
        <f>I173-G173</f>
        <v>-72</v>
      </c>
      <c r="K173" s="343">
        <f ca="1">I1-H173</f>
        <v>-60</v>
      </c>
      <c r="L173" s="343" t="s">
        <v>458</v>
      </c>
      <c r="M173" s="344">
        <v>45863</v>
      </c>
      <c r="N173" s="344">
        <v>45876</v>
      </c>
      <c r="O173" s="345" t="s">
        <v>468</v>
      </c>
      <c r="P173" s="343">
        <f>N173-M173</f>
        <v>13</v>
      </c>
      <c r="Q173" s="343">
        <f ca="1">I1-N173</f>
        <v>11</v>
      </c>
      <c r="R173" s="343"/>
      <c r="S173" s="343" t="s">
        <v>489</v>
      </c>
      <c r="T173" s="343" t="str">
        <f>O173</f>
        <v>CAT -IV R</v>
      </c>
      <c r="U173" s="343" t="s">
        <v>464</v>
      </c>
      <c r="V173" s="343"/>
    </row>
    <row r="174" spans="1:22" x14ac:dyDescent="0.35">
      <c r="A174" s="350">
        <v>4</v>
      </c>
      <c r="B174" s="350" t="s">
        <v>608</v>
      </c>
      <c r="C174" s="351" t="s">
        <v>659</v>
      </c>
      <c r="D174" s="352" t="s">
        <v>666</v>
      </c>
      <c r="E174" s="350" t="s">
        <v>667</v>
      </c>
      <c r="F174" s="350" t="s">
        <v>457</v>
      </c>
      <c r="G174" s="353">
        <v>45754</v>
      </c>
      <c r="H174" s="353">
        <v>45815</v>
      </c>
      <c r="I174" s="353">
        <v>45773</v>
      </c>
      <c r="J174" s="350">
        <f>I174-G174</f>
        <v>19</v>
      </c>
      <c r="K174" s="350">
        <f>R174-H174</f>
        <v>-3</v>
      </c>
      <c r="L174" s="354" t="s">
        <v>458</v>
      </c>
      <c r="M174" s="355">
        <v>45773</v>
      </c>
      <c r="N174" s="355">
        <v>45777</v>
      </c>
      <c r="O174" s="356" t="s">
        <v>459</v>
      </c>
      <c r="P174" s="354">
        <f t="shared" ref="P174:P179" si="16">N174-M174</f>
        <v>4</v>
      </c>
      <c r="Q174" s="354">
        <f>M175-N174</f>
        <v>14</v>
      </c>
      <c r="R174" s="353">
        <f>N175</f>
        <v>45812</v>
      </c>
      <c r="S174" s="350" t="s">
        <v>482</v>
      </c>
      <c r="T174" s="350" t="s">
        <v>472</v>
      </c>
      <c r="U174" s="350" t="s">
        <v>397</v>
      </c>
      <c r="V174" s="350">
        <f>N175-M175</f>
        <v>21</v>
      </c>
    </row>
    <row r="175" spans="1:22" x14ac:dyDescent="0.35">
      <c r="A175" s="346"/>
      <c r="B175" s="346"/>
      <c r="C175" s="347"/>
      <c r="D175" s="348"/>
      <c r="E175" s="346"/>
      <c r="F175" s="346"/>
      <c r="G175" s="349"/>
      <c r="H175" s="349"/>
      <c r="I175" s="349"/>
      <c r="J175" s="346"/>
      <c r="K175" s="346"/>
      <c r="L175" s="354" t="s">
        <v>460</v>
      </c>
      <c r="M175" s="355">
        <v>45791</v>
      </c>
      <c r="N175" s="355">
        <v>45812</v>
      </c>
      <c r="O175" s="356" t="s">
        <v>472</v>
      </c>
      <c r="P175" s="354">
        <f t="shared" si="16"/>
        <v>21</v>
      </c>
      <c r="Q175" s="354"/>
      <c r="R175" s="350"/>
      <c r="S175" s="346"/>
      <c r="T175" s="346"/>
      <c r="U175" s="346"/>
      <c r="V175" s="346"/>
    </row>
    <row r="176" spans="1:22" x14ac:dyDescent="0.35">
      <c r="A176" s="350">
        <v>5</v>
      </c>
      <c r="B176" s="350" t="s">
        <v>608</v>
      </c>
      <c r="C176" s="351" t="s">
        <v>659</v>
      </c>
      <c r="D176" s="352" t="s">
        <v>668</v>
      </c>
      <c r="E176" s="350" t="s">
        <v>669</v>
      </c>
      <c r="F176" s="350" t="s">
        <v>457</v>
      </c>
      <c r="G176" s="353">
        <v>45754</v>
      </c>
      <c r="H176" s="353">
        <f>G176+15</f>
        <v>45769</v>
      </c>
      <c r="I176" s="353">
        <v>45791</v>
      </c>
      <c r="J176" s="350">
        <f>I176-G176</f>
        <v>37</v>
      </c>
      <c r="K176" s="350">
        <f>R176-H176</f>
        <v>106</v>
      </c>
      <c r="L176" s="354" t="s">
        <v>458</v>
      </c>
      <c r="M176" s="355">
        <v>45791</v>
      </c>
      <c r="N176" s="355">
        <v>45809</v>
      </c>
      <c r="O176" s="356" t="s">
        <v>459</v>
      </c>
      <c r="P176" s="354">
        <f t="shared" si="16"/>
        <v>18</v>
      </c>
      <c r="Q176" s="354">
        <f>M177-N176</f>
        <v>3</v>
      </c>
      <c r="R176" s="371">
        <f>N180</f>
        <v>45875</v>
      </c>
      <c r="S176" s="350" t="s">
        <v>482</v>
      </c>
      <c r="T176" s="350" t="str">
        <f>O180</f>
        <v>CAT - I</v>
      </c>
      <c r="U176" s="350" t="s">
        <v>397</v>
      </c>
      <c r="V176" s="350"/>
    </row>
    <row r="177" spans="1:22" x14ac:dyDescent="0.35">
      <c r="A177" s="346"/>
      <c r="B177" s="346"/>
      <c r="C177" s="347"/>
      <c r="D177" s="348"/>
      <c r="E177" s="346"/>
      <c r="F177" s="346"/>
      <c r="G177" s="349"/>
      <c r="H177" s="349"/>
      <c r="I177" s="349"/>
      <c r="J177" s="346"/>
      <c r="K177" s="346"/>
      <c r="L177" s="354" t="s">
        <v>460</v>
      </c>
      <c r="M177" s="355">
        <v>45812</v>
      </c>
      <c r="N177" s="355">
        <v>45820</v>
      </c>
      <c r="O177" s="356" t="s">
        <v>459</v>
      </c>
      <c r="P177" s="354">
        <f t="shared" si="16"/>
        <v>8</v>
      </c>
      <c r="Q177" s="354">
        <f>M178-N177</f>
        <v>1</v>
      </c>
      <c r="R177" s="376"/>
      <c r="S177" s="346"/>
      <c r="T177" s="346"/>
      <c r="U177" s="346"/>
      <c r="V177" s="346"/>
    </row>
    <row r="178" spans="1:22" x14ac:dyDescent="0.35">
      <c r="A178" s="346"/>
      <c r="B178" s="346"/>
      <c r="C178" s="347"/>
      <c r="D178" s="348"/>
      <c r="E178" s="346"/>
      <c r="F178" s="346"/>
      <c r="G178" s="349"/>
      <c r="H178" s="349"/>
      <c r="I178" s="349"/>
      <c r="J178" s="346"/>
      <c r="K178" s="346"/>
      <c r="L178" s="354" t="s">
        <v>462</v>
      </c>
      <c r="M178" s="355">
        <v>45821</v>
      </c>
      <c r="N178" s="355">
        <v>45830</v>
      </c>
      <c r="O178" s="356" t="s">
        <v>472</v>
      </c>
      <c r="P178" s="354">
        <f t="shared" si="16"/>
        <v>9</v>
      </c>
      <c r="Q178" s="354"/>
      <c r="R178" s="376"/>
      <c r="S178" s="346"/>
      <c r="T178" s="346"/>
      <c r="U178" s="346"/>
      <c r="V178" s="346"/>
    </row>
    <row r="179" spans="1:22" x14ac:dyDescent="0.35">
      <c r="A179" s="346"/>
      <c r="B179" s="346"/>
      <c r="C179" s="347"/>
      <c r="D179" s="348"/>
      <c r="E179" s="346"/>
      <c r="F179" s="346"/>
      <c r="G179" s="349"/>
      <c r="H179" s="349"/>
      <c r="I179" s="349"/>
      <c r="J179" s="346"/>
      <c r="K179" s="346"/>
      <c r="L179" s="354" t="s">
        <v>463</v>
      </c>
      <c r="M179" s="355">
        <v>45858</v>
      </c>
      <c r="N179" s="355">
        <v>45863</v>
      </c>
      <c r="O179" s="356" t="s">
        <v>481</v>
      </c>
      <c r="P179" s="354">
        <f t="shared" si="16"/>
        <v>5</v>
      </c>
      <c r="Q179" s="354">
        <f>N179-M179</f>
        <v>5</v>
      </c>
      <c r="R179" s="376"/>
      <c r="S179" s="346"/>
      <c r="T179" s="346"/>
      <c r="U179" s="346"/>
      <c r="V179" s="346"/>
    </row>
    <row r="180" spans="1:22" x14ac:dyDescent="0.35">
      <c r="A180" s="346"/>
      <c r="B180" s="346"/>
      <c r="C180" s="347"/>
      <c r="D180" s="348"/>
      <c r="E180" s="346"/>
      <c r="F180" s="346"/>
      <c r="G180" s="349"/>
      <c r="H180" s="349"/>
      <c r="I180" s="349"/>
      <c r="J180" s="346"/>
      <c r="K180" s="346"/>
      <c r="L180" s="354" t="s">
        <v>819</v>
      </c>
      <c r="M180" s="355">
        <v>45867</v>
      </c>
      <c r="N180" s="355">
        <v>45875</v>
      </c>
      <c r="O180" s="356" t="s">
        <v>472</v>
      </c>
      <c r="P180" s="354">
        <f>M180-N179</f>
        <v>4</v>
      </c>
      <c r="Q180" s="354">
        <f>N180-M180</f>
        <v>8</v>
      </c>
      <c r="R180" s="372"/>
      <c r="S180" s="346"/>
      <c r="T180" s="346"/>
      <c r="U180" s="346"/>
      <c r="V180" s="346"/>
    </row>
    <row r="181" spans="1:22" ht="31.5" x14ac:dyDescent="0.35">
      <c r="A181" s="330">
        <v>6</v>
      </c>
      <c r="B181" s="330" t="s">
        <v>608</v>
      </c>
      <c r="C181" s="366" t="s">
        <v>659</v>
      </c>
      <c r="D181" s="367" t="s">
        <v>670</v>
      </c>
      <c r="E181" s="332" t="s">
        <v>671</v>
      </c>
      <c r="F181" s="332" t="s">
        <v>457</v>
      </c>
      <c r="G181" s="369">
        <v>45811</v>
      </c>
      <c r="H181" s="369">
        <f>G181+15</f>
        <v>45826</v>
      </c>
      <c r="I181" s="369"/>
      <c r="J181" s="330">
        <f t="shared" ref="J181" ca="1" si="17">$I$1-G181</f>
        <v>76</v>
      </c>
      <c r="K181" s="332">
        <f ca="1">$I$1-H181</f>
        <v>61</v>
      </c>
      <c r="L181" s="257"/>
      <c r="M181" s="369"/>
      <c r="N181" s="369"/>
      <c r="O181" s="370"/>
      <c r="P181" s="332"/>
      <c r="Q181" s="332"/>
      <c r="R181" s="332"/>
      <c r="S181" s="332"/>
      <c r="T181" s="332"/>
      <c r="U181" s="332"/>
      <c r="V181" s="332"/>
    </row>
    <row r="182" spans="1:22" x14ac:dyDescent="0.35">
      <c r="A182" s="339">
        <v>7</v>
      </c>
      <c r="B182" s="339" t="s">
        <v>608</v>
      </c>
      <c r="C182" s="340" t="s">
        <v>659</v>
      </c>
      <c r="D182" s="341" t="s">
        <v>672</v>
      </c>
      <c r="E182" s="339" t="s">
        <v>673</v>
      </c>
      <c r="F182" s="339" t="s">
        <v>457</v>
      </c>
      <c r="G182" s="342">
        <v>45808</v>
      </c>
      <c r="H182" s="342">
        <f>G182+15</f>
        <v>45823</v>
      </c>
      <c r="I182" s="342">
        <f>M182</f>
        <v>45856</v>
      </c>
      <c r="J182" s="339">
        <f>I182-G182</f>
        <v>48</v>
      </c>
      <c r="K182" s="339">
        <f ca="1">I1-H182</f>
        <v>64</v>
      </c>
      <c r="L182" s="343" t="s">
        <v>458</v>
      </c>
      <c r="M182" s="344">
        <v>45856</v>
      </c>
      <c r="N182" s="344">
        <v>45863</v>
      </c>
      <c r="O182" s="345" t="s">
        <v>459</v>
      </c>
      <c r="P182" s="343"/>
      <c r="Q182" s="343"/>
      <c r="R182" s="343"/>
      <c r="S182" s="339" t="s">
        <v>482</v>
      </c>
      <c r="T182" s="339" t="str">
        <f>O182</f>
        <v>CAT - III</v>
      </c>
      <c r="U182" s="339" t="s">
        <v>461</v>
      </c>
      <c r="V182" s="339"/>
    </row>
    <row r="183" spans="1:22" x14ac:dyDescent="0.35">
      <c r="A183" s="402"/>
      <c r="B183" s="402"/>
      <c r="C183" s="403"/>
      <c r="D183" s="404"/>
      <c r="E183" s="386"/>
      <c r="F183" s="386"/>
      <c r="G183" s="387"/>
      <c r="H183" s="387"/>
      <c r="I183" s="387"/>
      <c r="J183" s="386"/>
      <c r="K183" s="386"/>
      <c r="L183" s="343" t="s">
        <v>460</v>
      </c>
      <c r="M183" s="344">
        <v>45883</v>
      </c>
      <c r="N183" s="344"/>
      <c r="O183" s="345"/>
      <c r="P183" s="343"/>
      <c r="Q183" s="343"/>
      <c r="R183" s="343"/>
      <c r="S183" s="386"/>
      <c r="T183" s="386"/>
      <c r="U183" s="386"/>
      <c r="V183" s="386"/>
    </row>
    <row r="184" spans="1:22" ht="31.5" x14ac:dyDescent="0.35">
      <c r="A184" s="330">
        <v>8</v>
      </c>
      <c r="B184" s="330" t="s">
        <v>608</v>
      </c>
      <c r="C184" s="366" t="s">
        <v>659</v>
      </c>
      <c r="D184" s="367" t="s">
        <v>674</v>
      </c>
      <c r="E184" s="332" t="s">
        <v>675</v>
      </c>
      <c r="F184" s="332" t="s">
        <v>457</v>
      </c>
      <c r="G184" s="369">
        <v>45831</v>
      </c>
      <c r="H184" s="369">
        <f>G184+15</f>
        <v>45846</v>
      </c>
      <c r="I184" s="369"/>
      <c r="J184" s="330">
        <f t="shared" ref="J184:J185" ca="1" si="18">$I$1-G184</f>
        <v>56</v>
      </c>
      <c r="K184" s="332">
        <f ca="1">$I$1-H184</f>
        <v>41</v>
      </c>
      <c r="L184" s="257"/>
      <c r="M184" s="369"/>
      <c r="N184" s="369"/>
      <c r="O184" s="370"/>
      <c r="P184" s="332"/>
      <c r="Q184" s="332"/>
      <c r="R184" s="332"/>
      <c r="S184" s="332"/>
      <c r="T184" s="332"/>
      <c r="U184" s="332"/>
      <c r="V184" s="332"/>
    </row>
    <row r="185" spans="1:22" ht="31.5" x14ac:dyDescent="0.35">
      <c r="A185" s="330">
        <v>9</v>
      </c>
      <c r="B185" s="330" t="s">
        <v>608</v>
      </c>
      <c r="C185" s="366" t="s">
        <v>659</v>
      </c>
      <c r="D185" s="367" t="s">
        <v>676</v>
      </c>
      <c r="E185" s="332" t="s">
        <v>677</v>
      </c>
      <c r="F185" s="332" t="s">
        <v>467</v>
      </c>
      <c r="G185" s="369">
        <v>45808</v>
      </c>
      <c r="H185" s="369">
        <f>G185+15</f>
        <v>45823</v>
      </c>
      <c r="I185" s="369"/>
      <c r="J185" s="330">
        <f t="shared" ca="1" si="18"/>
        <v>79</v>
      </c>
      <c r="K185" s="332">
        <f ca="1">$I$1-H185</f>
        <v>64</v>
      </c>
      <c r="L185" s="257"/>
      <c r="M185" s="369"/>
      <c r="N185" s="369"/>
      <c r="O185" s="370"/>
      <c r="P185" s="332"/>
      <c r="Q185" s="332"/>
      <c r="R185" s="332"/>
      <c r="S185" s="332"/>
      <c r="T185" s="332"/>
      <c r="U185" s="332"/>
      <c r="V185" s="332"/>
    </row>
    <row r="186" spans="1:22" x14ac:dyDescent="0.35">
      <c r="A186" s="350">
        <v>10</v>
      </c>
      <c r="B186" s="350" t="s">
        <v>608</v>
      </c>
      <c r="C186" s="351" t="s">
        <v>659</v>
      </c>
      <c r="D186" s="352" t="s">
        <v>678</v>
      </c>
      <c r="E186" s="350" t="s">
        <v>679</v>
      </c>
      <c r="F186" s="350" t="s">
        <v>457</v>
      </c>
      <c r="G186" s="353">
        <v>45783</v>
      </c>
      <c r="H186" s="353">
        <f>G186+15</f>
        <v>45798</v>
      </c>
      <c r="I186" s="353">
        <v>45792</v>
      </c>
      <c r="J186" s="350">
        <f>I186-G186</f>
        <v>9</v>
      </c>
      <c r="K186" s="350">
        <f>R186-H186</f>
        <v>15</v>
      </c>
      <c r="L186" s="354" t="s">
        <v>458</v>
      </c>
      <c r="M186" s="355">
        <v>45792</v>
      </c>
      <c r="N186" s="355">
        <v>45813</v>
      </c>
      <c r="O186" s="356" t="s">
        <v>459</v>
      </c>
      <c r="P186" s="354">
        <f>N186-M186</f>
        <v>21</v>
      </c>
      <c r="Q186" s="354">
        <f>M187-N186</f>
        <v>0</v>
      </c>
      <c r="R186" s="357">
        <f>N186</f>
        <v>45813</v>
      </c>
      <c r="S186" s="350" t="s">
        <v>482</v>
      </c>
      <c r="T186" s="350" t="str">
        <f>O188</f>
        <v>CAT - I</v>
      </c>
      <c r="U186" s="350" t="s">
        <v>397</v>
      </c>
      <c r="V186" s="354"/>
    </row>
    <row r="187" spans="1:22" x14ac:dyDescent="0.35">
      <c r="A187" s="346"/>
      <c r="B187" s="346"/>
      <c r="C187" s="347"/>
      <c r="D187" s="348"/>
      <c r="E187" s="346"/>
      <c r="F187" s="346"/>
      <c r="G187" s="349"/>
      <c r="H187" s="349"/>
      <c r="I187" s="349"/>
      <c r="J187" s="346"/>
      <c r="K187" s="350"/>
      <c r="L187" s="354" t="s">
        <v>460</v>
      </c>
      <c r="M187" s="355">
        <v>45813</v>
      </c>
      <c r="N187" s="355">
        <v>45821</v>
      </c>
      <c r="O187" s="356" t="s">
        <v>481</v>
      </c>
      <c r="P187" s="354">
        <f>N187-M187</f>
        <v>8</v>
      </c>
      <c r="Q187" s="354">
        <f>M188-N187</f>
        <v>6</v>
      </c>
      <c r="R187" s="407"/>
      <c r="S187" s="346"/>
      <c r="T187" s="346"/>
      <c r="U187" s="346"/>
      <c r="V187" s="354"/>
    </row>
    <row r="188" spans="1:22" x14ac:dyDescent="0.35">
      <c r="A188" s="346"/>
      <c r="B188" s="346"/>
      <c r="C188" s="347"/>
      <c r="D188" s="348"/>
      <c r="E188" s="346"/>
      <c r="F188" s="346"/>
      <c r="G188" s="349"/>
      <c r="H188" s="349"/>
      <c r="I188" s="349"/>
      <c r="J188" s="346"/>
      <c r="K188" s="350"/>
      <c r="L188" s="354" t="s">
        <v>462</v>
      </c>
      <c r="M188" s="355">
        <v>45827</v>
      </c>
      <c r="N188" s="355">
        <v>45830</v>
      </c>
      <c r="O188" s="356" t="s">
        <v>472</v>
      </c>
      <c r="P188" s="354">
        <f>N188-M188</f>
        <v>3</v>
      </c>
      <c r="Q188" s="354"/>
      <c r="R188" s="407"/>
      <c r="S188" s="346"/>
      <c r="T188" s="346"/>
      <c r="U188" s="346"/>
      <c r="V188" s="354"/>
    </row>
    <row r="189" spans="1:22" x14ac:dyDescent="0.35">
      <c r="A189" s="350">
        <v>11</v>
      </c>
      <c r="B189" s="350" t="s">
        <v>608</v>
      </c>
      <c r="C189" s="350" t="s">
        <v>659</v>
      </c>
      <c r="D189" s="377" t="s">
        <v>680</v>
      </c>
      <c r="E189" s="350" t="s">
        <v>681</v>
      </c>
      <c r="F189" s="350" t="s">
        <v>457</v>
      </c>
      <c r="G189" s="353">
        <v>45783</v>
      </c>
      <c r="H189" s="353">
        <f>G189+15</f>
        <v>45798</v>
      </c>
      <c r="I189" s="353">
        <v>45791</v>
      </c>
      <c r="J189" s="350">
        <f>I189-G189</f>
        <v>8</v>
      </c>
      <c r="K189" s="408">
        <f>R189-H189</f>
        <v>78</v>
      </c>
      <c r="L189" s="354" t="s">
        <v>458</v>
      </c>
      <c r="M189" s="355">
        <v>45791</v>
      </c>
      <c r="N189" s="355">
        <v>45842</v>
      </c>
      <c r="O189" s="356" t="s">
        <v>459</v>
      </c>
      <c r="P189" s="354">
        <f>N189-M189</f>
        <v>51</v>
      </c>
      <c r="Q189" s="354">
        <f>M190-N189</f>
        <v>27</v>
      </c>
      <c r="R189" s="353">
        <f>N190</f>
        <v>45876</v>
      </c>
      <c r="S189" s="350" t="s">
        <v>397</v>
      </c>
      <c r="T189" s="350" t="str">
        <f>O190</f>
        <v>CAT - I</v>
      </c>
      <c r="U189" s="350" t="s">
        <v>397</v>
      </c>
      <c r="V189" s="350"/>
    </row>
    <row r="190" spans="1:22" x14ac:dyDescent="0.35">
      <c r="A190" s="346"/>
      <c r="B190" s="346"/>
      <c r="C190" s="346"/>
      <c r="D190" s="409"/>
      <c r="E190" s="346"/>
      <c r="F190" s="346"/>
      <c r="G190" s="349"/>
      <c r="H190" s="349"/>
      <c r="I190" s="349"/>
      <c r="J190" s="346"/>
      <c r="K190" s="372"/>
      <c r="L190" s="354" t="s">
        <v>460</v>
      </c>
      <c r="M190" s="355">
        <v>45869</v>
      </c>
      <c r="N190" s="355">
        <v>45876</v>
      </c>
      <c r="O190" s="356" t="s">
        <v>472</v>
      </c>
      <c r="P190" s="354">
        <f>N190-M190</f>
        <v>7</v>
      </c>
      <c r="Q190" s="354"/>
      <c r="R190" s="346"/>
      <c r="S190" s="346"/>
      <c r="T190" s="346"/>
      <c r="U190" s="346"/>
      <c r="V190" s="350"/>
    </row>
    <row r="191" spans="1:22" x14ac:dyDescent="0.35">
      <c r="A191" s="350">
        <v>12</v>
      </c>
      <c r="B191" s="350" t="s">
        <v>608</v>
      </c>
      <c r="C191" s="351" t="s">
        <v>659</v>
      </c>
      <c r="D191" s="352" t="s">
        <v>682</v>
      </c>
      <c r="E191" s="350" t="s">
        <v>683</v>
      </c>
      <c r="F191" s="350" t="s">
        <v>457</v>
      </c>
      <c r="G191" s="353">
        <v>45755</v>
      </c>
      <c r="H191" s="353">
        <f>G191+15</f>
        <v>45770</v>
      </c>
      <c r="I191" s="353">
        <v>45755</v>
      </c>
      <c r="J191" s="350">
        <f>I191-G191</f>
        <v>0</v>
      </c>
      <c r="K191" s="350">
        <f>R191-H191</f>
        <v>60</v>
      </c>
      <c r="L191" s="354" t="s">
        <v>458</v>
      </c>
      <c r="M191" s="355">
        <v>45755</v>
      </c>
      <c r="N191" s="355">
        <v>45770</v>
      </c>
      <c r="O191" s="356" t="s">
        <v>459</v>
      </c>
      <c r="P191" s="354">
        <f t="shared" ref="P191:P196" si="19">N191-M191</f>
        <v>15</v>
      </c>
      <c r="Q191" s="354">
        <f>M193-N191</f>
        <v>55</v>
      </c>
      <c r="R191" s="353">
        <f>N193</f>
        <v>45830</v>
      </c>
      <c r="S191" s="350" t="s">
        <v>482</v>
      </c>
      <c r="T191" s="350" t="str">
        <f>O193</f>
        <v>CAT - I</v>
      </c>
      <c r="U191" s="350" t="s">
        <v>397</v>
      </c>
      <c r="V191" s="350">
        <f ca="1">V1-M193</f>
        <v>62</v>
      </c>
    </row>
    <row r="192" spans="1:22" x14ac:dyDescent="0.35">
      <c r="A192" s="346"/>
      <c r="B192" s="346"/>
      <c r="C192" s="347"/>
      <c r="D192" s="348"/>
      <c r="E192" s="346"/>
      <c r="F192" s="346"/>
      <c r="G192" s="349"/>
      <c r="H192" s="349"/>
      <c r="I192" s="349"/>
      <c r="J192" s="346"/>
      <c r="K192" s="350"/>
      <c r="L192" s="354" t="s">
        <v>460</v>
      </c>
      <c r="M192" s="355">
        <v>45788</v>
      </c>
      <c r="N192" s="355">
        <v>45809</v>
      </c>
      <c r="O192" s="356" t="s">
        <v>459</v>
      </c>
      <c r="P192" s="354">
        <f t="shared" si="19"/>
        <v>21</v>
      </c>
      <c r="Q192" s="354">
        <f>M193-N192</f>
        <v>16</v>
      </c>
      <c r="R192" s="346"/>
      <c r="S192" s="346"/>
      <c r="T192" s="346"/>
      <c r="U192" s="346"/>
      <c r="V192" s="346"/>
    </row>
    <row r="193" spans="1:22" x14ac:dyDescent="0.35">
      <c r="A193" s="346"/>
      <c r="B193" s="346"/>
      <c r="C193" s="347"/>
      <c r="D193" s="348"/>
      <c r="E193" s="346"/>
      <c r="F193" s="346"/>
      <c r="G193" s="349"/>
      <c r="H193" s="349"/>
      <c r="I193" s="349"/>
      <c r="J193" s="346"/>
      <c r="K193" s="350"/>
      <c r="L193" s="354" t="s">
        <v>460</v>
      </c>
      <c r="M193" s="355">
        <v>45825</v>
      </c>
      <c r="N193" s="355">
        <v>45830</v>
      </c>
      <c r="O193" s="356" t="s">
        <v>472</v>
      </c>
      <c r="P193" s="354">
        <f t="shared" si="19"/>
        <v>5</v>
      </c>
      <c r="Q193" s="354">
        <f ca="1">I1-N193</f>
        <v>57</v>
      </c>
      <c r="R193" s="346"/>
      <c r="S193" s="346"/>
      <c r="T193" s="346"/>
      <c r="U193" s="346"/>
      <c r="V193" s="346"/>
    </row>
    <row r="194" spans="1:22" x14ac:dyDescent="0.35">
      <c r="A194" s="350">
        <v>13</v>
      </c>
      <c r="B194" s="350" t="s">
        <v>608</v>
      </c>
      <c r="C194" s="351" t="s">
        <v>659</v>
      </c>
      <c r="D194" s="352" t="s">
        <v>394</v>
      </c>
      <c r="E194" s="350" t="s">
        <v>684</v>
      </c>
      <c r="F194" s="350" t="s">
        <v>457</v>
      </c>
      <c r="G194" s="353">
        <v>45755</v>
      </c>
      <c r="H194" s="353">
        <f>G194+15</f>
        <v>45770</v>
      </c>
      <c r="I194" s="353">
        <v>45755</v>
      </c>
      <c r="J194" s="350">
        <f>I194-G194</f>
        <v>0</v>
      </c>
      <c r="K194" s="350">
        <f>R194-H194</f>
        <v>60</v>
      </c>
      <c r="L194" s="354" t="s">
        <v>458</v>
      </c>
      <c r="M194" s="355">
        <v>45755</v>
      </c>
      <c r="N194" s="355">
        <v>45770</v>
      </c>
      <c r="O194" s="356" t="s">
        <v>459</v>
      </c>
      <c r="P194" s="354">
        <f t="shared" si="19"/>
        <v>15</v>
      </c>
      <c r="Q194" s="354">
        <f>M196-N194</f>
        <v>55</v>
      </c>
      <c r="R194" s="353">
        <f>N196</f>
        <v>45830</v>
      </c>
      <c r="S194" s="350" t="s">
        <v>482</v>
      </c>
      <c r="T194" s="350" t="str">
        <f>O196</f>
        <v>CAT - I</v>
      </c>
      <c r="U194" s="350" t="s">
        <v>397</v>
      </c>
      <c r="V194" s="350">
        <f ca="1">V1-M196</f>
        <v>62</v>
      </c>
    </row>
    <row r="195" spans="1:22" x14ac:dyDescent="0.35">
      <c r="A195" s="346"/>
      <c r="B195" s="346"/>
      <c r="C195" s="347"/>
      <c r="D195" s="348"/>
      <c r="E195" s="346"/>
      <c r="F195" s="346"/>
      <c r="G195" s="349"/>
      <c r="H195" s="349"/>
      <c r="I195" s="349"/>
      <c r="J195" s="346"/>
      <c r="K195" s="346"/>
      <c r="L195" s="354" t="s">
        <v>460</v>
      </c>
      <c r="M195" s="355">
        <v>45787</v>
      </c>
      <c r="N195" s="355">
        <v>45809</v>
      </c>
      <c r="O195" s="356" t="s">
        <v>459</v>
      </c>
      <c r="P195" s="354">
        <f t="shared" si="19"/>
        <v>22</v>
      </c>
      <c r="Q195" s="354">
        <f>M196-N195</f>
        <v>16</v>
      </c>
      <c r="R195" s="346"/>
      <c r="S195" s="346"/>
      <c r="T195" s="346"/>
      <c r="U195" s="346"/>
      <c r="V195" s="346"/>
    </row>
    <row r="196" spans="1:22" x14ac:dyDescent="0.35">
      <c r="A196" s="346"/>
      <c r="B196" s="346"/>
      <c r="C196" s="347"/>
      <c r="D196" s="348"/>
      <c r="E196" s="346"/>
      <c r="F196" s="346"/>
      <c r="G196" s="349"/>
      <c r="H196" s="349"/>
      <c r="I196" s="349"/>
      <c r="J196" s="346"/>
      <c r="K196" s="346"/>
      <c r="L196" s="354" t="s">
        <v>462</v>
      </c>
      <c r="M196" s="355">
        <v>45825</v>
      </c>
      <c r="N196" s="355">
        <v>45830</v>
      </c>
      <c r="O196" s="356" t="s">
        <v>472</v>
      </c>
      <c r="P196" s="354">
        <f t="shared" si="19"/>
        <v>5</v>
      </c>
      <c r="Q196" s="354"/>
      <c r="R196" s="346"/>
      <c r="S196" s="346"/>
      <c r="T196" s="346"/>
      <c r="U196" s="346"/>
      <c r="V196" s="346"/>
    </row>
    <row r="197" spans="1:22" ht="31.5" x14ac:dyDescent="0.35">
      <c r="A197" s="343">
        <v>14</v>
      </c>
      <c r="B197" s="343" t="s">
        <v>608</v>
      </c>
      <c r="C197" s="373" t="s">
        <v>659</v>
      </c>
      <c r="D197" s="374" t="s">
        <v>685</v>
      </c>
      <c r="E197" s="343" t="s">
        <v>686</v>
      </c>
      <c r="F197" s="343" t="s">
        <v>467</v>
      </c>
      <c r="G197" s="344">
        <v>45807</v>
      </c>
      <c r="H197" s="344">
        <f>G197+15</f>
        <v>45822</v>
      </c>
      <c r="I197" s="344">
        <f>M197</f>
        <v>45869</v>
      </c>
      <c r="J197" s="343">
        <f>I197-G197</f>
        <v>62</v>
      </c>
      <c r="K197" s="343">
        <f ca="1">I1-H197</f>
        <v>65</v>
      </c>
      <c r="L197" s="343" t="s">
        <v>458</v>
      </c>
      <c r="M197" s="344">
        <v>45869</v>
      </c>
      <c r="N197" s="344"/>
      <c r="O197" s="345"/>
      <c r="P197" s="343"/>
      <c r="Q197" s="343"/>
      <c r="R197" s="343"/>
      <c r="S197" s="343"/>
      <c r="T197" s="343"/>
      <c r="U197" s="343" t="s">
        <v>461</v>
      </c>
      <c r="V197" s="343"/>
    </row>
    <row r="198" spans="1:22" ht="31.5" x14ac:dyDescent="0.35">
      <c r="A198" s="330">
        <v>15</v>
      </c>
      <c r="B198" s="330" t="s">
        <v>608</v>
      </c>
      <c r="C198" s="366" t="s">
        <v>659</v>
      </c>
      <c r="D198" s="367" t="s">
        <v>687</v>
      </c>
      <c r="E198" s="332" t="s">
        <v>688</v>
      </c>
      <c r="F198" s="332" t="s">
        <v>467</v>
      </c>
      <c r="G198" s="369">
        <v>45845</v>
      </c>
      <c r="H198" s="369">
        <f>G198+15</f>
        <v>45860</v>
      </c>
      <c r="I198" s="368"/>
      <c r="J198" s="330">
        <f t="shared" ref="J198" ca="1" si="20">$I$1-G198</f>
        <v>42</v>
      </c>
      <c r="K198" s="332">
        <f ca="1">$I$1-H198</f>
        <v>27</v>
      </c>
      <c r="L198" s="257"/>
      <c r="M198" s="369"/>
      <c r="N198" s="369"/>
      <c r="O198" s="370"/>
      <c r="P198" s="332"/>
      <c r="Q198" s="332"/>
      <c r="R198" s="332"/>
      <c r="S198" s="332"/>
      <c r="T198" s="332"/>
      <c r="U198" s="332"/>
      <c r="V198" s="332"/>
    </row>
    <row r="199" spans="1:22" x14ac:dyDescent="0.35">
      <c r="A199" s="350">
        <v>1</v>
      </c>
      <c r="B199" s="350" t="s">
        <v>689</v>
      </c>
      <c r="C199" s="351" t="s">
        <v>690</v>
      </c>
      <c r="D199" s="351" t="s">
        <v>691</v>
      </c>
      <c r="E199" s="350" t="s">
        <v>692</v>
      </c>
      <c r="F199" s="350" t="s">
        <v>457</v>
      </c>
      <c r="G199" s="410">
        <v>45797</v>
      </c>
      <c r="H199" s="410">
        <f>G199+15</f>
        <v>45812</v>
      </c>
      <c r="I199" s="410">
        <v>45813</v>
      </c>
      <c r="J199" s="350">
        <f>I199-G199</f>
        <v>16</v>
      </c>
      <c r="K199" s="350">
        <f>R199-H199</f>
        <v>64</v>
      </c>
      <c r="L199" s="354" t="s">
        <v>458</v>
      </c>
      <c r="M199" s="355">
        <v>45813</v>
      </c>
      <c r="N199" s="355">
        <v>45832</v>
      </c>
      <c r="O199" s="356" t="s">
        <v>459</v>
      </c>
      <c r="P199" s="354">
        <f>N199-M199</f>
        <v>19</v>
      </c>
      <c r="Q199" s="354">
        <f>M200-N199</f>
        <v>35</v>
      </c>
      <c r="R199" s="353">
        <f>N201</f>
        <v>45876</v>
      </c>
      <c r="S199" s="350" t="s">
        <v>397</v>
      </c>
      <c r="T199" s="350" t="str">
        <f>O201</f>
        <v>CAT - I</v>
      </c>
      <c r="U199" s="350" t="s">
        <v>397</v>
      </c>
      <c r="V199" s="350"/>
    </row>
    <row r="200" spans="1:22" x14ac:dyDescent="0.35">
      <c r="A200" s="358"/>
      <c r="B200" s="358"/>
      <c r="C200" s="379"/>
      <c r="D200" s="359"/>
      <c r="E200" s="358"/>
      <c r="F200" s="358"/>
      <c r="G200" s="411"/>
      <c r="H200" s="411"/>
      <c r="I200" s="411"/>
      <c r="J200" s="358"/>
      <c r="K200" s="358"/>
      <c r="L200" s="354" t="s">
        <v>460</v>
      </c>
      <c r="M200" s="355">
        <v>45867</v>
      </c>
      <c r="N200" s="355"/>
      <c r="O200" s="356"/>
      <c r="P200" s="354">
        <v>7</v>
      </c>
      <c r="Q200" s="354"/>
      <c r="R200" s="350"/>
      <c r="S200" s="358"/>
      <c r="T200" s="358"/>
      <c r="U200" s="358"/>
      <c r="V200" s="358"/>
    </row>
    <row r="201" spans="1:22" x14ac:dyDescent="0.35">
      <c r="A201" s="380"/>
      <c r="B201" s="358"/>
      <c r="C201" s="379"/>
      <c r="D201" s="359"/>
      <c r="E201" s="358"/>
      <c r="F201" s="358"/>
      <c r="G201" s="411"/>
      <c r="H201" s="411"/>
      <c r="I201" s="411"/>
      <c r="J201" s="358"/>
      <c r="K201" s="358"/>
      <c r="L201" s="354" t="s">
        <v>460</v>
      </c>
      <c r="M201" s="355">
        <v>45874</v>
      </c>
      <c r="N201" s="355">
        <v>45876</v>
      </c>
      <c r="O201" s="356" t="s">
        <v>472</v>
      </c>
      <c r="P201" s="354">
        <f>N201-M201</f>
        <v>2</v>
      </c>
      <c r="Q201" s="354"/>
      <c r="R201" s="350"/>
      <c r="S201" s="358"/>
      <c r="T201" s="358"/>
      <c r="U201" s="358"/>
      <c r="V201" s="358"/>
    </row>
    <row r="202" spans="1:22" x14ac:dyDescent="0.35">
      <c r="A202" s="350">
        <v>2</v>
      </c>
      <c r="B202" s="350" t="s">
        <v>689</v>
      </c>
      <c r="C202" s="351" t="s">
        <v>690</v>
      </c>
      <c r="D202" s="352" t="s">
        <v>840</v>
      </c>
      <c r="E202" s="350" t="s">
        <v>693</v>
      </c>
      <c r="F202" s="350" t="s">
        <v>457</v>
      </c>
      <c r="G202" s="410">
        <v>45797</v>
      </c>
      <c r="H202" s="410">
        <f>G202+15</f>
        <v>45812</v>
      </c>
      <c r="I202" s="410">
        <v>45813</v>
      </c>
      <c r="J202" s="350">
        <f>I202-G202</f>
        <v>16</v>
      </c>
      <c r="K202" s="350">
        <f>R202-H202</f>
        <v>50</v>
      </c>
      <c r="L202" s="354" t="s">
        <v>458</v>
      </c>
      <c r="M202" s="355">
        <v>45813</v>
      </c>
      <c r="N202" s="355">
        <v>45832</v>
      </c>
      <c r="O202" s="356" t="s">
        <v>459</v>
      </c>
      <c r="P202" s="354">
        <f>N202-M202</f>
        <v>19</v>
      </c>
      <c r="Q202" s="354">
        <f ca="1">I1-N202</f>
        <v>55</v>
      </c>
      <c r="R202" s="371">
        <f>N203</f>
        <v>45862</v>
      </c>
      <c r="S202" s="350" t="s">
        <v>397</v>
      </c>
      <c r="T202" s="350" t="str">
        <f>O203</f>
        <v>CAT - I</v>
      </c>
      <c r="U202" s="350" t="s">
        <v>397</v>
      </c>
      <c r="V202" s="350"/>
    </row>
    <row r="203" spans="1:22" x14ac:dyDescent="0.35">
      <c r="A203" s="358"/>
      <c r="B203" s="358"/>
      <c r="C203" s="379"/>
      <c r="D203" s="360"/>
      <c r="E203" s="358"/>
      <c r="F203" s="358"/>
      <c r="G203" s="411"/>
      <c r="H203" s="411"/>
      <c r="I203" s="411"/>
      <c r="J203" s="358"/>
      <c r="K203" s="358"/>
      <c r="L203" s="354" t="s">
        <v>460</v>
      </c>
      <c r="M203" s="355">
        <v>45855</v>
      </c>
      <c r="N203" s="355">
        <v>45862</v>
      </c>
      <c r="O203" s="356" t="s">
        <v>472</v>
      </c>
      <c r="P203" s="354"/>
      <c r="Q203" s="354"/>
      <c r="R203" s="372"/>
      <c r="S203" s="358"/>
      <c r="T203" s="358"/>
      <c r="U203" s="358"/>
      <c r="V203" s="358"/>
    </row>
    <row r="204" spans="1:22" ht="31.5" x14ac:dyDescent="0.35">
      <c r="A204" s="330">
        <v>3</v>
      </c>
      <c r="B204" s="330" t="s">
        <v>689</v>
      </c>
      <c r="C204" s="366" t="s">
        <v>690</v>
      </c>
      <c r="D204" s="367" t="s">
        <v>694</v>
      </c>
      <c r="E204" s="332" t="s">
        <v>695</v>
      </c>
      <c r="F204" s="332" t="s">
        <v>457</v>
      </c>
      <c r="G204" s="412">
        <v>45809</v>
      </c>
      <c r="H204" s="412">
        <f>G204+15</f>
        <v>45824</v>
      </c>
      <c r="I204" s="412"/>
      <c r="J204" s="330">
        <f t="shared" ref="J204" ca="1" si="21">$I$1-G204</f>
        <v>78</v>
      </c>
      <c r="K204" s="332">
        <f ca="1">$I$1-H204</f>
        <v>63</v>
      </c>
      <c r="L204" s="257"/>
      <c r="M204" s="369"/>
      <c r="N204" s="369"/>
      <c r="O204" s="370"/>
      <c r="P204" s="332"/>
      <c r="Q204" s="332"/>
      <c r="R204" s="332"/>
      <c r="S204" s="332"/>
      <c r="T204" s="332"/>
      <c r="U204" s="332"/>
      <c r="V204" s="332"/>
    </row>
    <row r="205" spans="1:22" x14ac:dyDescent="0.35">
      <c r="A205" s="339">
        <v>4</v>
      </c>
      <c r="B205" s="339" t="s">
        <v>689</v>
      </c>
      <c r="C205" s="340" t="s">
        <v>690</v>
      </c>
      <c r="D205" s="341" t="s">
        <v>696</v>
      </c>
      <c r="E205" s="339" t="s">
        <v>697</v>
      </c>
      <c r="F205" s="339" t="s">
        <v>457</v>
      </c>
      <c r="G205" s="413">
        <v>45797</v>
      </c>
      <c r="H205" s="413">
        <f>G205+15</f>
        <v>45812</v>
      </c>
      <c r="I205" s="413">
        <v>45817</v>
      </c>
      <c r="J205" s="339">
        <f>I205-G205</f>
        <v>20</v>
      </c>
      <c r="K205" s="339">
        <f ca="1">I1-H205</f>
        <v>75</v>
      </c>
      <c r="L205" s="343" t="s">
        <v>458</v>
      </c>
      <c r="M205" s="344">
        <v>45817</v>
      </c>
      <c r="N205" s="344">
        <v>45834</v>
      </c>
      <c r="O205" s="345" t="s">
        <v>459</v>
      </c>
      <c r="P205" s="343">
        <f>N205-M205</f>
        <v>17</v>
      </c>
      <c r="Q205" s="343">
        <f ca="1">I1-N205</f>
        <v>53</v>
      </c>
      <c r="R205" s="343"/>
      <c r="S205" s="339" t="s">
        <v>489</v>
      </c>
      <c r="T205" s="339" t="str">
        <f>O205</f>
        <v>CAT - III</v>
      </c>
      <c r="U205" s="339" t="s">
        <v>464</v>
      </c>
      <c r="V205" s="339"/>
    </row>
    <row r="206" spans="1:22" x14ac:dyDescent="0.35">
      <c r="A206" s="402"/>
      <c r="B206" s="402"/>
      <c r="C206" s="405"/>
      <c r="D206" s="404"/>
      <c r="E206" s="386"/>
      <c r="F206" s="386"/>
      <c r="G206" s="414"/>
      <c r="H206" s="414"/>
      <c r="I206" s="414"/>
      <c r="J206" s="386"/>
      <c r="K206" s="386"/>
      <c r="L206" s="343" t="s">
        <v>460</v>
      </c>
      <c r="M206" s="344">
        <v>45856</v>
      </c>
      <c r="N206" s="344">
        <v>45876</v>
      </c>
      <c r="O206" s="345" t="s">
        <v>459</v>
      </c>
      <c r="P206" s="343">
        <f>N206-M206</f>
        <v>20</v>
      </c>
      <c r="Q206" s="343">
        <f ca="1">I1-N206</f>
        <v>11</v>
      </c>
      <c r="R206" s="343"/>
      <c r="S206" s="339"/>
      <c r="T206" s="386"/>
      <c r="U206" s="386"/>
      <c r="V206" s="386"/>
    </row>
    <row r="207" spans="1:22" x14ac:dyDescent="0.35">
      <c r="A207" s="339">
        <v>5</v>
      </c>
      <c r="B207" s="339" t="s">
        <v>689</v>
      </c>
      <c r="C207" s="340" t="s">
        <v>690</v>
      </c>
      <c r="D207" s="341" t="s">
        <v>698</v>
      </c>
      <c r="E207" s="339" t="s">
        <v>699</v>
      </c>
      <c r="F207" s="339" t="s">
        <v>457</v>
      </c>
      <c r="G207" s="413">
        <v>45797</v>
      </c>
      <c r="H207" s="413">
        <f>G207+15</f>
        <v>45812</v>
      </c>
      <c r="I207" s="413">
        <v>45817</v>
      </c>
      <c r="J207" s="339">
        <f>I207-G207</f>
        <v>20</v>
      </c>
      <c r="K207" s="339">
        <f ca="1">I1-H207</f>
        <v>75</v>
      </c>
      <c r="L207" s="343" t="s">
        <v>458</v>
      </c>
      <c r="M207" s="344">
        <v>45817</v>
      </c>
      <c r="N207" s="344">
        <v>45835</v>
      </c>
      <c r="O207" s="345" t="s">
        <v>459</v>
      </c>
      <c r="P207" s="343">
        <f>N207-M207</f>
        <v>18</v>
      </c>
      <c r="Q207" s="343">
        <f ca="1">I1-N207</f>
        <v>52</v>
      </c>
      <c r="R207" s="339"/>
      <c r="S207" s="339" t="s">
        <v>489</v>
      </c>
      <c r="T207" s="339" t="str">
        <f>O207</f>
        <v>CAT - III</v>
      </c>
      <c r="U207" s="339" t="s">
        <v>464</v>
      </c>
      <c r="V207" s="339"/>
    </row>
    <row r="208" spans="1:22" x14ac:dyDescent="0.35">
      <c r="A208" s="402"/>
      <c r="B208" s="402"/>
      <c r="C208" s="405"/>
      <c r="D208" s="404"/>
      <c r="E208" s="386"/>
      <c r="F208" s="386"/>
      <c r="G208" s="414"/>
      <c r="H208" s="414"/>
      <c r="I208" s="414"/>
      <c r="J208" s="386"/>
      <c r="K208" s="386"/>
      <c r="L208" s="343" t="s">
        <v>460</v>
      </c>
      <c r="M208" s="344">
        <v>45856</v>
      </c>
      <c r="N208" s="344">
        <v>45876</v>
      </c>
      <c r="O208" s="345" t="s">
        <v>459</v>
      </c>
      <c r="P208" s="343">
        <f>N208-M208</f>
        <v>20</v>
      </c>
      <c r="Q208" s="343">
        <f ca="1">I1-N208</f>
        <v>11</v>
      </c>
      <c r="R208" s="339"/>
      <c r="S208" s="339"/>
      <c r="T208" s="386"/>
      <c r="U208" s="386"/>
      <c r="V208" s="386"/>
    </row>
    <row r="209" spans="1:22" ht="31.5" x14ac:dyDescent="0.35">
      <c r="A209" s="343">
        <v>6</v>
      </c>
      <c r="B209" s="343" t="s">
        <v>689</v>
      </c>
      <c r="C209" s="373" t="s">
        <v>690</v>
      </c>
      <c r="D209" s="374" t="s">
        <v>700</v>
      </c>
      <c r="E209" s="343" t="s">
        <v>701</v>
      </c>
      <c r="F209" s="343" t="s">
        <v>457</v>
      </c>
      <c r="G209" s="415">
        <v>45813</v>
      </c>
      <c r="H209" s="415">
        <f>G209+15</f>
        <v>45828</v>
      </c>
      <c r="I209" s="415">
        <f>M209</f>
        <v>45868</v>
      </c>
      <c r="J209" s="343">
        <f>I209-G209</f>
        <v>55</v>
      </c>
      <c r="K209" s="343">
        <f ca="1">I1-H209</f>
        <v>59</v>
      </c>
      <c r="L209" s="343" t="s">
        <v>458</v>
      </c>
      <c r="M209" s="344">
        <v>45868</v>
      </c>
      <c r="N209" s="344"/>
      <c r="O209" s="345"/>
      <c r="P209" s="343">
        <f ca="1">I1-M209</f>
        <v>19</v>
      </c>
      <c r="Q209" s="343"/>
      <c r="R209" s="343"/>
      <c r="S209" s="343" t="s">
        <v>482</v>
      </c>
      <c r="T209" s="343"/>
      <c r="U209" s="343" t="s">
        <v>461</v>
      </c>
      <c r="V209" s="343"/>
    </row>
    <row r="210" spans="1:22" ht="31.5" x14ac:dyDescent="0.35">
      <c r="A210" s="343">
        <v>7</v>
      </c>
      <c r="B210" s="343" t="s">
        <v>689</v>
      </c>
      <c r="C210" s="373" t="s">
        <v>690</v>
      </c>
      <c r="D210" s="374" t="s">
        <v>702</v>
      </c>
      <c r="E210" s="343" t="s">
        <v>703</v>
      </c>
      <c r="F210" s="343" t="s">
        <v>457</v>
      </c>
      <c r="G210" s="415">
        <v>45809</v>
      </c>
      <c r="H210" s="415">
        <f>G210+15</f>
        <v>45824</v>
      </c>
      <c r="I210" s="415">
        <f>M210</f>
        <v>45878</v>
      </c>
      <c r="J210" s="343">
        <f>I210-G210</f>
        <v>69</v>
      </c>
      <c r="K210" s="343">
        <f ca="1">I1-H210</f>
        <v>63</v>
      </c>
      <c r="L210" s="343" t="s">
        <v>458</v>
      </c>
      <c r="M210" s="344">
        <v>45878</v>
      </c>
      <c r="N210" s="344"/>
      <c r="O210" s="345"/>
      <c r="P210" s="343">
        <f ca="1">I1-M210</f>
        <v>9</v>
      </c>
      <c r="Q210" s="343"/>
      <c r="R210" s="343"/>
      <c r="S210" s="343" t="s">
        <v>482</v>
      </c>
      <c r="T210" s="343"/>
      <c r="U210" s="343" t="s">
        <v>461</v>
      </c>
      <c r="V210" s="343"/>
    </row>
    <row r="211" spans="1:22" ht="31.5" x14ac:dyDescent="0.35">
      <c r="A211" s="330">
        <v>8</v>
      </c>
      <c r="B211" s="330" t="s">
        <v>689</v>
      </c>
      <c r="C211" s="366" t="s">
        <v>690</v>
      </c>
      <c r="D211" s="367" t="s">
        <v>704</v>
      </c>
      <c r="E211" s="332" t="s">
        <v>705</v>
      </c>
      <c r="F211" s="332" t="s">
        <v>457</v>
      </c>
      <c r="G211" s="412">
        <v>45802</v>
      </c>
      <c r="H211" s="412">
        <f>G211+15</f>
        <v>45817</v>
      </c>
      <c r="I211" s="416"/>
      <c r="J211" s="330">
        <f t="shared" ref="J211:J212" ca="1" si="22">$I$1-G211</f>
        <v>85</v>
      </c>
      <c r="K211" s="332">
        <f ca="1">$I$1-H211</f>
        <v>70</v>
      </c>
      <c r="L211" s="257"/>
      <c r="M211" s="369"/>
      <c r="N211" s="369"/>
      <c r="O211" s="370"/>
      <c r="P211" s="332"/>
      <c r="Q211" s="332"/>
      <c r="R211" s="332"/>
      <c r="S211" s="332"/>
      <c r="T211" s="332"/>
      <c r="U211" s="332"/>
      <c r="V211" s="332"/>
    </row>
    <row r="212" spans="1:22" ht="31.5" x14ac:dyDescent="0.35">
      <c r="A212" s="330">
        <v>9</v>
      </c>
      <c r="B212" s="330" t="s">
        <v>689</v>
      </c>
      <c r="C212" s="366" t="s">
        <v>690</v>
      </c>
      <c r="D212" s="367" t="s">
        <v>706</v>
      </c>
      <c r="E212" s="332" t="s">
        <v>707</v>
      </c>
      <c r="F212" s="332" t="s">
        <v>457</v>
      </c>
      <c r="G212" s="412">
        <v>45797</v>
      </c>
      <c r="H212" s="412">
        <f>G212+15</f>
        <v>45812</v>
      </c>
      <c r="I212" s="416"/>
      <c r="J212" s="330">
        <f t="shared" ca="1" si="22"/>
        <v>90</v>
      </c>
      <c r="K212" s="332">
        <f ca="1">$I$1-H212</f>
        <v>75</v>
      </c>
      <c r="L212" s="257"/>
      <c r="M212" s="369"/>
      <c r="N212" s="369"/>
      <c r="O212" s="370"/>
      <c r="P212" s="332"/>
      <c r="Q212" s="332"/>
      <c r="R212" s="332"/>
      <c r="S212" s="332"/>
      <c r="T212" s="332"/>
      <c r="U212" s="332"/>
      <c r="V212" s="332"/>
    </row>
    <row r="213" spans="1:22" x14ac:dyDescent="0.35">
      <c r="A213" s="350">
        <v>10</v>
      </c>
      <c r="B213" s="350" t="s">
        <v>689</v>
      </c>
      <c r="C213" s="351" t="s">
        <v>690</v>
      </c>
      <c r="D213" s="351" t="s">
        <v>708</v>
      </c>
      <c r="E213" s="350" t="s">
        <v>709</v>
      </c>
      <c r="F213" s="350" t="s">
        <v>457</v>
      </c>
      <c r="G213" s="410">
        <v>45782</v>
      </c>
      <c r="H213" s="410">
        <f>G213+15</f>
        <v>45797</v>
      </c>
      <c r="I213" s="410">
        <v>45846</v>
      </c>
      <c r="J213" s="350">
        <f>I213-G213</f>
        <v>64</v>
      </c>
      <c r="K213" s="350">
        <f>R213-H213</f>
        <v>78</v>
      </c>
      <c r="L213" s="354" t="s">
        <v>458</v>
      </c>
      <c r="M213" s="355">
        <v>45846</v>
      </c>
      <c r="N213" s="355">
        <v>45848</v>
      </c>
      <c r="O213" s="356" t="s">
        <v>459</v>
      </c>
      <c r="P213" s="354">
        <f>N213-M213</f>
        <v>2</v>
      </c>
      <c r="Q213" s="354">
        <f>M214-N213</f>
        <v>6</v>
      </c>
      <c r="R213" s="371">
        <f>N215</f>
        <v>45875</v>
      </c>
      <c r="S213" s="350" t="s">
        <v>397</v>
      </c>
      <c r="T213" s="350" t="str">
        <f>O215</f>
        <v>CAT - I</v>
      </c>
      <c r="U213" s="350" t="s">
        <v>397</v>
      </c>
      <c r="V213" s="350"/>
    </row>
    <row r="214" spans="1:22" x14ac:dyDescent="0.35">
      <c r="A214" s="358"/>
      <c r="B214" s="358"/>
      <c r="C214" s="359"/>
      <c r="D214" s="359"/>
      <c r="E214" s="358"/>
      <c r="F214" s="358"/>
      <c r="G214" s="411"/>
      <c r="H214" s="411"/>
      <c r="I214" s="411"/>
      <c r="J214" s="358"/>
      <c r="K214" s="358"/>
      <c r="L214" s="354" t="s">
        <v>460</v>
      </c>
      <c r="M214" s="355">
        <v>45854</v>
      </c>
      <c r="N214" s="355">
        <v>45861</v>
      </c>
      <c r="O214" s="356" t="s">
        <v>459</v>
      </c>
      <c r="P214" s="354">
        <f>N214-M214</f>
        <v>7</v>
      </c>
      <c r="Q214" s="354">
        <f>M215-N214</f>
        <v>12</v>
      </c>
      <c r="R214" s="376"/>
      <c r="S214" s="358"/>
      <c r="T214" s="358"/>
      <c r="U214" s="358"/>
      <c r="V214" s="358"/>
    </row>
    <row r="215" spans="1:22" x14ac:dyDescent="0.35">
      <c r="A215" s="358"/>
      <c r="B215" s="358"/>
      <c r="C215" s="359"/>
      <c r="D215" s="359"/>
      <c r="E215" s="358"/>
      <c r="F215" s="358"/>
      <c r="G215" s="411"/>
      <c r="H215" s="411"/>
      <c r="I215" s="411"/>
      <c r="J215" s="358"/>
      <c r="K215" s="358"/>
      <c r="L215" s="354" t="s">
        <v>462</v>
      </c>
      <c r="M215" s="355">
        <v>45873</v>
      </c>
      <c r="N215" s="355">
        <v>45875</v>
      </c>
      <c r="O215" s="356" t="s">
        <v>472</v>
      </c>
      <c r="P215" s="354">
        <f>N215-M215</f>
        <v>2</v>
      </c>
      <c r="Q215" s="354"/>
      <c r="R215" s="372"/>
      <c r="S215" s="358"/>
      <c r="T215" s="358"/>
      <c r="U215" s="358"/>
      <c r="V215" s="354"/>
    </row>
    <row r="216" spans="1:22" x14ac:dyDescent="0.35">
      <c r="A216" s="339">
        <v>11</v>
      </c>
      <c r="B216" s="339" t="s">
        <v>689</v>
      </c>
      <c r="C216" s="340" t="s">
        <v>690</v>
      </c>
      <c r="D216" s="341" t="s">
        <v>710</v>
      </c>
      <c r="E216" s="339" t="s">
        <v>711</v>
      </c>
      <c r="F216" s="339" t="s">
        <v>457</v>
      </c>
      <c r="G216" s="413">
        <v>45809</v>
      </c>
      <c r="H216" s="413">
        <f>G216+15</f>
        <v>45824</v>
      </c>
      <c r="I216" s="413">
        <f>M216</f>
        <v>45859</v>
      </c>
      <c r="J216" s="339">
        <f>I216-G216</f>
        <v>50</v>
      </c>
      <c r="K216" s="339">
        <f ca="1">I1-H216</f>
        <v>63</v>
      </c>
      <c r="L216" s="343" t="s">
        <v>458</v>
      </c>
      <c r="M216" s="344">
        <v>45859</v>
      </c>
      <c r="N216" s="344">
        <v>45875</v>
      </c>
      <c r="O216" s="345" t="s">
        <v>459</v>
      </c>
      <c r="P216" s="343">
        <f>N216-M216</f>
        <v>16</v>
      </c>
      <c r="Q216" s="343">
        <f ca="1">I1-N216</f>
        <v>12</v>
      </c>
      <c r="R216" s="343"/>
      <c r="S216" s="339" t="s">
        <v>482</v>
      </c>
      <c r="T216" s="339" t="str">
        <f>O216</f>
        <v>CAT - III</v>
      </c>
      <c r="U216" s="339" t="s">
        <v>461</v>
      </c>
      <c r="V216" s="339"/>
    </row>
    <row r="217" spans="1:22" x14ac:dyDescent="0.35">
      <c r="A217" s="402"/>
      <c r="B217" s="386"/>
      <c r="C217" s="403"/>
      <c r="D217" s="404"/>
      <c r="E217" s="386"/>
      <c r="F217" s="386"/>
      <c r="G217" s="417"/>
      <c r="H217" s="417"/>
      <c r="I217" s="417"/>
      <c r="J217" s="386"/>
      <c r="K217" s="339"/>
      <c r="L217" s="343" t="s">
        <v>458</v>
      </c>
      <c r="M217" s="344">
        <v>45880</v>
      </c>
      <c r="N217" s="344"/>
      <c r="O217" s="345"/>
      <c r="P217" s="343"/>
      <c r="Q217" s="343"/>
      <c r="R217" s="343"/>
      <c r="S217" s="339"/>
      <c r="T217" s="339"/>
      <c r="U217" s="339"/>
      <c r="V217" s="339"/>
    </row>
    <row r="218" spans="1:22" x14ac:dyDescent="0.35">
      <c r="A218" s="339">
        <v>12</v>
      </c>
      <c r="B218" s="339" t="s">
        <v>689</v>
      </c>
      <c r="C218" s="418" t="s">
        <v>690</v>
      </c>
      <c r="D218" s="341" t="s">
        <v>712</v>
      </c>
      <c r="E218" s="339" t="s">
        <v>713</v>
      </c>
      <c r="F218" s="339" t="s">
        <v>457</v>
      </c>
      <c r="G218" s="413">
        <v>45792</v>
      </c>
      <c r="H218" s="413">
        <f>G218+15</f>
        <v>45807</v>
      </c>
      <c r="I218" s="413">
        <f>M218</f>
        <v>45877</v>
      </c>
      <c r="J218" s="339">
        <f>I218-G218</f>
        <v>85</v>
      </c>
      <c r="K218" s="388">
        <f ca="1">I1-H218</f>
        <v>80</v>
      </c>
      <c r="L218" s="343" t="s">
        <v>458</v>
      </c>
      <c r="M218" s="344">
        <v>45877</v>
      </c>
      <c r="N218" s="344">
        <v>45878</v>
      </c>
      <c r="O218" s="345" t="s">
        <v>459</v>
      </c>
      <c r="P218" s="343">
        <f>N218-M218</f>
        <v>1</v>
      </c>
      <c r="Q218" s="343">
        <f ca="1">I1-N218</f>
        <v>9</v>
      </c>
      <c r="R218" s="343"/>
      <c r="S218" s="343" t="s">
        <v>489</v>
      </c>
      <c r="T218" s="343" t="str">
        <f>O218</f>
        <v>CAT - III</v>
      </c>
      <c r="U218" s="343" t="s">
        <v>464</v>
      </c>
      <c r="V218" s="343"/>
    </row>
    <row r="219" spans="1:22" x14ac:dyDescent="0.35">
      <c r="A219" s="402"/>
      <c r="B219" s="402"/>
      <c r="C219" s="419"/>
      <c r="D219" s="404"/>
      <c r="E219" s="386"/>
      <c r="F219" s="386"/>
      <c r="G219" s="417"/>
      <c r="H219" s="417"/>
      <c r="I219" s="417"/>
      <c r="J219" s="386"/>
      <c r="K219" s="391"/>
      <c r="L219" s="343" t="s">
        <v>460</v>
      </c>
      <c r="M219" s="344">
        <v>45880</v>
      </c>
      <c r="N219" s="344">
        <v>45882</v>
      </c>
      <c r="O219" s="345" t="s">
        <v>481</v>
      </c>
      <c r="P219" s="343">
        <f>N219-M219</f>
        <v>2</v>
      </c>
      <c r="Q219" s="343"/>
      <c r="R219" s="343"/>
      <c r="S219" s="343"/>
      <c r="T219" s="343"/>
      <c r="U219" s="343"/>
      <c r="V219" s="343"/>
    </row>
    <row r="220" spans="1:22" ht="31.5" x14ac:dyDescent="0.35">
      <c r="A220" s="330">
        <v>13</v>
      </c>
      <c r="B220" s="330" t="s">
        <v>689</v>
      </c>
      <c r="C220" s="366" t="s">
        <v>690</v>
      </c>
      <c r="D220" s="367" t="s">
        <v>714</v>
      </c>
      <c r="E220" s="332" t="s">
        <v>715</v>
      </c>
      <c r="F220" s="332" t="s">
        <v>457</v>
      </c>
      <c r="G220" s="412">
        <v>45784</v>
      </c>
      <c r="H220" s="412">
        <f t="shared" ref="H220:H241" si="23">G220+15</f>
        <v>45799</v>
      </c>
      <c r="I220" s="416"/>
      <c r="J220" s="330">
        <f t="shared" ref="J220:K228" ca="1" si="24">$I$1-G220</f>
        <v>103</v>
      </c>
      <c r="K220" s="332">
        <f t="shared" ca="1" si="24"/>
        <v>88</v>
      </c>
      <c r="L220" s="257"/>
      <c r="M220" s="420"/>
      <c r="N220" s="420"/>
      <c r="O220" s="370"/>
      <c r="P220" s="332"/>
      <c r="Q220" s="332"/>
      <c r="R220" s="332"/>
      <c r="S220" s="332"/>
      <c r="T220" s="332"/>
      <c r="U220" s="332"/>
      <c r="V220" s="332"/>
    </row>
    <row r="221" spans="1:22" ht="31.5" x14ac:dyDescent="0.35">
      <c r="A221" s="330">
        <v>14</v>
      </c>
      <c r="B221" s="330" t="s">
        <v>689</v>
      </c>
      <c r="C221" s="366" t="s">
        <v>690</v>
      </c>
      <c r="D221" s="367" t="s">
        <v>716</v>
      </c>
      <c r="E221" s="332" t="s">
        <v>717</v>
      </c>
      <c r="F221" s="332" t="s">
        <v>457</v>
      </c>
      <c r="G221" s="412">
        <v>45809</v>
      </c>
      <c r="H221" s="412">
        <f t="shared" si="23"/>
        <v>45824</v>
      </c>
      <c r="I221" s="416"/>
      <c r="J221" s="330">
        <f t="shared" ca="1" si="24"/>
        <v>78</v>
      </c>
      <c r="K221" s="332">
        <f t="shared" ca="1" si="24"/>
        <v>63</v>
      </c>
      <c r="L221" s="257"/>
      <c r="M221" s="369"/>
      <c r="N221" s="369"/>
      <c r="O221" s="370"/>
      <c r="P221" s="332"/>
      <c r="Q221" s="332"/>
      <c r="R221" s="332"/>
      <c r="S221" s="332"/>
      <c r="T221" s="332"/>
      <c r="U221" s="332"/>
      <c r="V221" s="332"/>
    </row>
    <row r="222" spans="1:22" ht="31.5" x14ac:dyDescent="0.35">
      <c r="A222" s="330">
        <v>15</v>
      </c>
      <c r="B222" s="330" t="s">
        <v>689</v>
      </c>
      <c r="C222" s="366" t="s">
        <v>690</v>
      </c>
      <c r="D222" s="367" t="s">
        <v>718</v>
      </c>
      <c r="E222" s="332" t="s">
        <v>719</v>
      </c>
      <c r="F222" s="332" t="s">
        <v>467</v>
      </c>
      <c r="G222" s="412">
        <v>45797</v>
      </c>
      <c r="H222" s="412">
        <f t="shared" si="23"/>
        <v>45812</v>
      </c>
      <c r="I222" s="416"/>
      <c r="J222" s="330">
        <f t="shared" ca="1" si="24"/>
        <v>90</v>
      </c>
      <c r="K222" s="332">
        <f t="shared" ca="1" si="24"/>
        <v>75</v>
      </c>
      <c r="L222" s="257"/>
      <c r="M222" s="369"/>
      <c r="N222" s="369"/>
      <c r="O222" s="370"/>
      <c r="P222" s="332"/>
      <c r="Q222" s="332"/>
      <c r="R222" s="332"/>
      <c r="S222" s="332"/>
      <c r="T222" s="332"/>
      <c r="U222" s="332"/>
      <c r="V222" s="332"/>
    </row>
    <row r="223" spans="1:22" ht="31.5" x14ac:dyDescent="0.35">
      <c r="A223" s="330">
        <v>16</v>
      </c>
      <c r="B223" s="330" t="s">
        <v>689</v>
      </c>
      <c r="C223" s="366" t="s">
        <v>690</v>
      </c>
      <c r="D223" s="367" t="s">
        <v>720</v>
      </c>
      <c r="E223" s="332" t="s">
        <v>721</v>
      </c>
      <c r="F223" s="332" t="s">
        <v>467</v>
      </c>
      <c r="G223" s="412">
        <v>45797</v>
      </c>
      <c r="H223" s="412">
        <f t="shared" si="23"/>
        <v>45812</v>
      </c>
      <c r="I223" s="416"/>
      <c r="J223" s="330">
        <f t="shared" ca="1" si="24"/>
        <v>90</v>
      </c>
      <c r="K223" s="332">
        <f t="shared" ca="1" si="24"/>
        <v>75</v>
      </c>
      <c r="L223" s="257"/>
      <c r="M223" s="369"/>
      <c r="N223" s="369"/>
      <c r="O223" s="370"/>
      <c r="P223" s="332"/>
      <c r="Q223" s="332"/>
      <c r="R223" s="332"/>
      <c r="S223" s="332"/>
      <c r="T223" s="332"/>
      <c r="U223" s="332"/>
      <c r="V223" s="332"/>
    </row>
    <row r="224" spans="1:22" ht="31.5" x14ac:dyDescent="0.35">
      <c r="A224" s="330">
        <v>17</v>
      </c>
      <c r="B224" s="330" t="s">
        <v>689</v>
      </c>
      <c r="C224" s="366" t="s">
        <v>690</v>
      </c>
      <c r="D224" s="367" t="s">
        <v>722</v>
      </c>
      <c r="E224" s="332" t="s">
        <v>723</v>
      </c>
      <c r="F224" s="332" t="s">
        <v>457</v>
      </c>
      <c r="G224" s="412">
        <v>45797</v>
      </c>
      <c r="H224" s="412">
        <f t="shared" si="23"/>
        <v>45812</v>
      </c>
      <c r="I224" s="416"/>
      <c r="J224" s="330">
        <f t="shared" ca="1" si="24"/>
        <v>90</v>
      </c>
      <c r="K224" s="332">
        <f t="shared" ca="1" si="24"/>
        <v>75</v>
      </c>
      <c r="L224" s="257"/>
      <c r="M224" s="369"/>
      <c r="N224" s="369"/>
      <c r="O224" s="370"/>
      <c r="P224" s="332"/>
      <c r="Q224" s="332"/>
      <c r="R224" s="332"/>
      <c r="S224" s="332"/>
      <c r="T224" s="332"/>
      <c r="U224" s="332"/>
      <c r="V224" s="332"/>
    </row>
    <row r="225" spans="1:22" ht="31.5" x14ac:dyDescent="0.35">
      <c r="A225" s="330">
        <v>18</v>
      </c>
      <c r="B225" s="330" t="s">
        <v>689</v>
      </c>
      <c r="C225" s="366" t="s">
        <v>690</v>
      </c>
      <c r="D225" s="367" t="s">
        <v>724</v>
      </c>
      <c r="E225" s="332" t="s">
        <v>725</v>
      </c>
      <c r="F225" s="332" t="s">
        <v>467</v>
      </c>
      <c r="G225" s="412">
        <v>45805</v>
      </c>
      <c r="H225" s="412">
        <f t="shared" si="23"/>
        <v>45820</v>
      </c>
      <c r="I225" s="416"/>
      <c r="J225" s="330">
        <f t="shared" ca="1" si="24"/>
        <v>82</v>
      </c>
      <c r="K225" s="332">
        <f t="shared" ca="1" si="24"/>
        <v>67</v>
      </c>
      <c r="L225" s="257"/>
      <c r="M225" s="369"/>
      <c r="N225" s="369"/>
      <c r="O225" s="370"/>
      <c r="P225" s="332"/>
      <c r="Q225" s="332"/>
      <c r="R225" s="332"/>
      <c r="S225" s="332"/>
      <c r="T225" s="332"/>
      <c r="U225" s="332"/>
      <c r="V225" s="332"/>
    </row>
    <row r="226" spans="1:22" ht="31.5" x14ac:dyDescent="0.35">
      <c r="A226" s="330">
        <v>19</v>
      </c>
      <c r="B226" s="330" t="s">
        <v>689</v>
      </c>
      <c r="C226" s="366" t="s">
        <v>690</v>
      </c>
      <c r="D226" s="367" t="s">
        <v>726</v>
      </c>
      <c r="E226" s="332" t="s">
        <v>727</v>
      </c>
      <c r="F226" s="332" t="s">
        <v>457</v>
      </c>
      <c r="G226" s="412">
        <v>45805</v>
      </c>
      <c r="H226" s="412">
        <f t="shared" si="23"/>
        <v>45820</v>
      </c>
      <c r="I226" s="416"/>
      <c r="J226" s="330">
        <f t="shared" ca="1" si="24"/>
        <v>82</v>
      </c>
      <c r="K226" s="332">
        <f t="shared" ca="1" si="24"/>
        <v>67</v>
      </c>
      <c r="L226" s="257"/>
      <c r="M226" s="369"/>
      <c r="N226" s="369"/>
      <c r="O226" s="370"/>
      <c r="P226" s="332"/>
      <c r="Q226" s="332"/>
      <c r="R226" s="332"/>
      <c r="S226" s="332"/>
      <c r="T226" s="332"/>
      <c r="U226" s="332"/>
      <c r="V226" s="332"/>
    </row>
    <row r="227" spans="1:22" ht="31.5" x14ac:dyDescent="0.35">
      <c r="A227" s="330">
        <v>20</v>
      </c>
      <c r="B227" s="330" t="s">
        <v>689</v>
      </c>
      <c r="C227" s="366" t="s">
        <v>690</v>
      </c>
      <c r="D227" s="367" t="s">
        <v>728</v>
      </c>
      <c r="E227" s="332" t="s">
        <v>729</v>
      </c>
      <c r="F227" s="332" t="s">
        <v>467</v>
      </c>
      <c r="G227" s="412">
        <v>45834</v>
      </c>
      <c r="H227" s="412">
        <f t="shared" si="23"/>
        <v>45849</v>
      </c>
      <c r="I227" s="416"/>
      <c r="J227" s="330">
        <f t="shared" ca="1" si="24"/>
        <v>53</v>
      </c>
      <c r="K227" s="332">
        <f t="shared" ca="1" si="24"/>
        <v>38</v>
      </c>
      <c r="L227" s="257"/>
      <c r="M227" s="369"/>
      <c r="N227" s="369"/>
      <c r="O227" s="370"/>
      <c r="P227" s="332"/>
      <c r="Q227" s="332"/>
      <c r="R227" s="332"/>
      <c r="S227" s="332"/>
      <c r="T227" s="332"/>
      <c r="U227" s="332"/>
      <c r="V227" s="332"/>
    </row>
    <row r="228" spans="1:22" ht="31.5" x14ac:dyDescent="0.35">
      <c r="A228" s="330">
        <v>21</v>
      </c>
      <c r="B228" s="330" t="s">
        <v>689</v>
      </c>
      <c r="C228" s="366" t="s">
        <v>690</v>
      </c>
      <c r="D228" s="367" t="s">
        <v>730</v>
      </c>
      <c r="E228" s="332" t="s">
        <v>731</v>
      </c>
      <c r="F228" s="332" t="s">
        <v>457</v>
      </c>
      <c r="G228" s="412">
        <v>45840</v>
      </c>
      <c r="H228" s="412">
        <f t="shared" si="23"/>
        <v>45855</v>
      </c>
      <c r="I228" s="416"/>
      <c r="J228" s="330">
        <f t="shared" ca="1" si="24"/>
        <v>47</v>
      </c>
      <c r="K228" s="332">
        <f t="shared" ca="1" si="24"/>
        <v>32</v>
      </c>
      <c r="L228" s="257"/>
      <c r="M228" s="369"/>
      <c r="N228" s="369"/>
      <c r="O228" s="370"/>
      <c r="P228" s="332"/>
      <c r="Q228" s="332"/>
      <c r="R228" s="332"/>
      <c r="S228" s="332"/>
      <c r="T228" s="332"/>
      <c r="U228" s="332"/>
      <c r="V228" s="332"/>
    </row>
    <row r="229" spans="1:22" ht="31.5" x14ac:dyDescent="0.35">
      <c r="A229" s="354">
        <v>22</v>
      </c>
      <c r="B229" s="354" t="s">
        <v>689</v>
      </c>
      <c r="C229" s="363" t="s">
        <v>690</v>
      </c>
      <c r="D229" s="364" t="s">
        <v>732</v>
      </c>
      <c r="E229" s="354" t="s">
        <v>733</v>
      </c>
      <c r="F229" s="354" t="s">
        <v>467</v>
      </c>
      <c r="G229" s="421">
        <v>45813</v>
      </c>
      <c r="H229" s="421">
        <f t="shared" si="23"/>
        <v>45828</v>
      </c>
      <c r="I229" s="421">
        <v>45854</v>
      </c>
      <c r="J229" s="354">
        <f>I229-G229</f>
        <v>41</v>
      </c>
      <c r="K229" s="354">
        <f>R229-H229</f>
        <v>31</v>
      </c>
      <c r="L229" s="354" t="s">
        <v>458</v>
      </c>
      <c r="M229" s="355">
        <v>45854</v>
      </c>
      <c r="N229" s="355">
        <v>45859</v>
      </c>
      <c r="O229" s="356" t="s">
        <v>511</v>
      </c>
      <c r="P229" s="354">
        <f>N229-M229</f>
        <v>5</v>
      </c>
      <c r="Q229" s="354"/>
      <c r="R229" s="355">
        <f>N229</f>
        <v>45859</v>
      </c>
      <c r="S229" s="354" t="s">
        <v>397</v>
      </c>
      <c r="T229" s="354" t="str">
        <f>O229</f>
        <v xml:space="preserve">CAT -IV </v>
      </c>
      <c r="U229" s="354" t="s">
        <v>397</v>
      </c>
      <c r="V229" s="354"/>
    </row>
    <row r="230" spans="1:22" ht="31.5" x14ac:dyDescent="0.35">
      <c r="A230" s="343">
        <v>23</v>
      </c>
      <c r="B230" s="343" t="s">
        <v>689</v>
      </c>
      <c r="C230" s="373" t="s">
        <v>690</v>
      </c>
      <c r="D230" s="374" t="s">
        <v>734</v>
      </c>
      <c r="E230" s="343" t="s">
        <v>735</v>
      </c>
      <c r="F230" s="343" t="s">
        <v>457</v>
      </c>
      <c r="G230" s="415">
        <v>45826</v>
      </c>
      <c r="H230" s="415">
        <f t="shared" si="23"/>
        <v>45841</v>
      </c>
      <c r="I230" s="415">
        <v>45878</v>
      </c>
      <c r="J230" s="343">
        <f>I230-G230</f>
        <v>52</v>
      </c>
      <c r="K230" s="343">
        <f ca="1">I1-H230</f>
        <v>46</v>
      </c>
      <c r="L230" s="343" t="s">
        <v>458</v>
      </c>
      <c r="M230" s="344">
        <v>45878</v>
      </c>
      <c r="N230" s="344"/>
      <c r="O230" s="345"/>
      <c r="P230" s="343">
        <f ca="1">I1-M230</f>
        <v>9</v>
      </c>
      <c r="Q230" s="343"/>
      <c r="R230" s="343"/>
      <c r="S230" s="343" t="s">
        <v>482</v>
      </c>
      <c r="T230" s="343"/>
      <c r="U230" s="343" t="s">
        <v>461</v>
      </c>
      <c r="V230" s="343"/>
    </row>
    <row r="231" spans="1:22" ht="31.5" x14ac:dyDescent="0.35">
      <c r="A231" s="330">
        <v>24</v>
      </c>
      <c r="B231" s="330" t="s">
        <v>689</v>
      </c>
      <c r="C231" s="366" t="s">
        <v>690</v>
      </c>
      <c r="D231" s="367" t="s">
        <v>736</v>
      </c>
      <c r="E231" s="332" t="s">
        <v>737</v>
      </c>
      <c r="F231" s="332" t="s">
        <v>467</v>
      </c>
      <c r="G231" s="412">
        <v>45853</v>
      </c>
      <c r="H231" s="412">
        <f t="shared" si="23"/>
        <v>45868</v>
      </c>
      <c r="I231" s="416"/>
      <c r="J231" s="330">
        <f t="shared" ref="J231:J233" ca="1" si="25">$I$1-G231</f>
        <v>34</v>
      </c>
      <c r="K231" s="332">
        <f ca="1">$I$1-H231</f>
        <v>19</v>
      </c>
      <c r="L231" s="257"/>
      <c r="M231" s="369"/>
      <c r="N231" s="369"/>
      <c r="O231" s="370"/>
      <c r="P231" s="332"/>
      <c r="Q231" s="332"/>
      <c r="R231" s="332"/>
      <c r="S231" s="332"/>
      <c r="T231" s="332"/>
      <c r="U231" s="332"/>
      <c r="V231" s="332"/>
    </row>
    <row r="232" spans="1:22" ht="31.5" x14ac:dyDescent="0.35">
      <c r="A232" s="330">
        <v>25</v>
      </c>
      <c r="B232" s="330" t="s">
        <v>689</v>
      </c>
      <c r="C232" s="366" t="s">
        <v>690</v>
      </c>
      <c r="D232" s="367" t="s">
        <v>738</v>
      </c>
      <c r="E232" s="332" t="s">
        <v>739</v>
      </c>
      <c r="F232" s="332" t="s">
        <v>467</v>
      </c>
      <c r="G232" s="412">
        <v>45874</v>
      </c>
      <c r="H232" s="412">
        <f t="shared" si="23"/>
        <v>45889</v>
      </c>
      <c r="I232" s="416"/>
      <c r="J232" s="330">
        <f t="shared" ca="1" si="25"/>
        <v>13</v>
      </c>
      <c r="K232" s="332">
        <f ca="1">$I$1-H232</f>
        <v>-2</v>
      </c>
      <c r="L232" s="257"/>
      <c r="M232" s="369"/>
      <c r="N232" s="369"/>
      <c r="O232" s="370"/>
      <c r="P232" s="332"/>
      <c r="Q232" s="332"/>
      <c r="R232" s="332"/>
      <c r="S232" s="332"/>
      <c r="T232" s="332"/>
      <c r="U232" s="332"/>
      <c r="V232" s="332"/>
    </row>
    <row r="233" spans="1:22" ht="73.5" x14ac:dyDescent="0.35">
      <c r="A233" s="330">
        <v>26</v>
      </c>
      <c r="B233" s="330" t="s">
        <v>689</v>
      </c>
      <c r="C233" s="366" t="s">
        <v>690</v>
      </c>
      <c r="D233" s="367" t="s">
        <v>740</v>
      </c>
      <c r="E233" s="332" t="s">
        <v>741</v>
      </c>
      <c r="F233" s="332" t="s">
        <v>467</v>
      </c>
      <c r="G233" s="412">
        <v>45900</v>
      </c>
      <c r="H233" s="412">
        <f t="shared" si="23"/>
        <v>45915</v>
      </c>
      <c r="I233" s="416"/>
      <c r="J233" s="330">
        <f t="shared" ca="1" si="25"/>
        <v>-13</v>
      </c>
      <c r="K233" s="332">
        <f ca="1">$I$1-H233</f>
        <v>-28</v>
      </c>
      <c r="L233" s="257"/>
      <c r="M233" s="369"/>
      <c r="N233" s="369"/>
      <c r="O233" s="370"/>
      <c r="P233" s="332"/>
      <c r="Q233" s="332"/>
      <c r="R233" s="332"/>
      <c r="S233" s="332"/>
      <c r="T233" s="332"/>
      <c r="U233" s="332"/>
      <c r="V233" s="332"/>
    </row>
    <row r="234" spans="1:22" ht="31.5" x14ac:dyDescent="0.35">
      <c r="A234" s="343">
        <v>27</v>
      </c>
      <c r="B234" s="343" t="s">
        <v>689</v>
      </c>
      <c r="C234" s="373" t="s">
        <v>690</v>
      </c>
      <c r="D234" s="374" t="s">
        <v>742</v>
      </c>
      <c r="E234" s="343" t="s">
        <v>743</v>
      </c>
      <c r="F234" s="343" t="s">
        <v>457</v>
      </c>
      <c r="G234" s="415">
        <v>45834</v>
      </c>
      <c r="H234" s="415">
        <f t="shared" si="23"/>
        <v>45849</v>
      </c>
      <c r="I234" s="415">
        <f>M234</f>
        <v>45869</v>
      </c>
      <c r="J234" s="343">
        <f>I234-G234</f>
        <v>35</v>
      </c>
      <c r="K234" s="343">
        <f ca="1">I1-H234</f>
        <v>38</v>
      </c>
      <c r="L234" s="343" t="s">
        <v>458</v>
      </c>
      <c r="M234" s="344">
        <v>45869</v>
      </c>
      <c r="N234" s="344"/>
      <c r="O234" s="345"/>
      <c r="P234" s="343"/>
      <c r="Q234" s="343"/>
      <c r="R234" s="343"/>
      <c r="S234" s="343"/>
      <c r="T234" s="343"/>
      <c r="U234" s="343" t="s">
        <v>461</v>
      </c>
      <c r="V234" s="343"/>
    </row>
    <row r="235" spans="1:22" ht="31.5" x14ac:dyDescent="0.35">
      <c r="A235" s="330">
        <v>28</v>
      </c>
      <c r="B235" s="330" t="s">
        <v>689</v>
      </c>
      <c r="C235" s="366" t="s">
        <v>690</v>
      </c>
      <c r="D235" s="367" t="s">
        <v>744</v>
      </c>
      <c r="E235" s="332" t="s">
        <v>745</v>
      </c>
      <c r="F235" s="332" t="s">
        <v>457</v>
      </c>
      <c r="G235" s="412">
        <v>45814</v>
      </c>
      <c r="H235" s="412">
        <f t="shared" si="23"/>
        <v>45829</v>
      </c>
      <c r="I235" s="416"/>
      <c r="J235" s="330">
        <f t="shared" ref="J235:J238" ca="1" si="26">$I$1-G235</f>
        <v>73</v>
      </c>
      <c r="K235" s="332">
        <f ca="1">$I$1-H235</f>
        <v>58</v>
      </c>
      <c r="L235" s="257"/>
      <c r="M235" s="369"/>
      <c r="N235" s="369"/>
      <c r="O235" s="370"/>
      <c r="P235" s="332"/>
      <c r="Q235" s="332"/>
      <c r="R235" s="332"/>
      <c r="S235" s="332"/>
      <c r="T235" s="332"/>
      <c r="U235" s="332"/>
      <c r="V235" s="332"/>
    </row>
    <row r="236" spans="1:22" ht="31.5" x14ac:dyDescent="0.35">
      <c r="A236" s="330">
        <v>29</v>
      </c>
      <c r="B236" s="330" t="s">
        <v>689</v>
      </c>
      <c r="C236" s="366" t="s">
        <v>690</v>
      </c>
      <c r="D236" s="367" t="s">
        <v>746</v>
      </c>
      <c r="E236" s="332" t="s">
        <v>747</v>
      </c>
      <c r="F236" s="332" t="s">
        <v>457</v>
      </c>
      <c r="G236" s="412">
        <v>45814</v>
      </c>
      <c r="H236" s="412">
        <f t="shared" si="23"/>
        <v>45829</v>
      </c>
      <c r="I236" s="416"/>
      <c r="J236" s="330">
        <f t="shared" ca="1" si="26"/>
        <v>73</v>
      </c>
      <c r="K236" s="332">
        <f ca="1">$I$1-H236</f>
        <v>58</v>
      </c>
      <c r="L236" s="257"/>
      <c r="M236" s="369"/>
      <c r="N236" s="369"/>
      <c r="O236" s="370"/>
      <c r="P236" s="332"/>
      <c r="Q236" s="332"/>
      <c r="R236" s="332"/>
      <c r="S236" s="332"/>
      <c r="T236" s="332"/>
      <c r="U236" s="332"/>
      <c r="V236" s="332"/>
    </row>
    <row r="237" spans="1:22" ht="31.5" x14ac:dyDescent="0.35">
      <c r="A237" s="330">
        <v>30</v>
      </c>
      <c r="B237" s="330" t="s">
        <v>689</v>
      </c>
      <c r="C237" s="366" t="s">
        <v>690</v>
      </c>
      <c r="D237" s="367" t="s">
        <v>748</v>
      </c>
      <c r="E237" s="332" t="s">
        <v>749</v>
      </c>
      <c r="F237" s="332" t="s">
        <v>457</v>
      </c>
      <c r="G237" s="412">
        <v>45826</v>
      </c>
      <c r="H237" s="412">
        <f t="shared" si="23"/>
        <v>45841</v>
      </c>
      <c r="I237" s="416"/>
      <c r="J237" s="330">
        <f t="shared" ca="1" si="26"/>
        <v>61</v>
      </c>
      <c r="K237" s="332">
        <f ca="1">$I$1-H237</f>
        <v>46</v>
      </c>
      <c r="L237" s="257"/>
      <c r="M237" s="369"/>
      <c r="N237" s="369"/>
      <c r="O237" s="370"/>
      <c r="P237" s="332"/>
      <c r="Q237" s="332"/>
      <c r="R237" s="332"/>
      <c r="S237" s="332"/>
      <c r="T237" s="332"/>
      <c r="U237" s="332"/>
      <c r="V237" s="332"/>
    </row>
    <row r="238" spans="1:22" ht="31.5" x14ac:dyDescent="0.35">
      <c r="A238" s="330">
        <v>31</v>
      </c>
      <c r="B238" s="330" t="s">
        <v>689</v>
      </c>
      <c r="C238" s="366" t="s">
        <v>690</v>
      </c>
      <c r="D238" s="367" t="s">
        <v>750</v>
      </c>
      <c r="E238" s="332" t="s">
        <v>751</v>
      </c>
      <c r="F238" s="332" t="s">
        <v>457</v>
      </c>
      <c r="G238" s="412">
        <v>45834</v>
      </c>
      <c r="H238" s="412">
        <f t="shared" si="23"/>
        <v>45849</v>
      </c>
      <c r="I238" s="416"/>
      <c r="J238" s="330">
        <f t="shared" ca="1" si="26"/>
        <v>53</v>
      </c>
      <c r="K238" s="332">
        <f ca="1">$I$1-H238</f>
        <v>38</v>
      </c>
      <c r="L238" s="257"/>
      <c r="M238" s="369"/>
      <c r="N238" s="369"/>
      <c r="O238" s="370"/>
      <c r="P238" s="332"/>
      <c r="Q238" s="332"/>
      <c r="R238" s="332"/>
      <c r="S238" s="332"/>
      <c r="T238" s="332"/>
      <c r="U238" s="332"/>
      <c r="V238" s="332"/>
    </row>
    <row r="239" spans="1:22" ht="31.5" x14ac:dyDescent="0.35">
      <c r="A239" s="343">
        <v>32</v>
      </c>
      <c r="B239" s="343" t="s">
        <v>689</v>
      </c>
      <c r="C239" s="373" t="s">
        <v>690</v>
      </c>
      <c r="D239" s="374" t="s">
        <v>752</v>
      </c>
      <c r="E239" s="343" t="s">
        <v>753</v>
      </c>
      <c r="F239" s="343" t="s">
        <v>457</v>
      </c>
      <c r="G239" s="415">
        <v>45848</v>
      </c>
      <c r="H239" s="415">
        <f t="shared" si="23"/>
        <v>45863</v>
      </c>
      <c r="I239" s="415">
        <f>M239</f>
        <v>45869</v>
      </c>
      <c r="J239" s="343">
        <f>I239-G239</f>
        <v>21</v>
      </c>
      <c r="K239" s="343">
        <f ca="1">I1-H239</f>
        <v>24</v>
      </c>
      <c r="L239" s="343" t="s">
        <v>458</v>
      </c>
      <c r="M239" s="344">
        <v>45869</v>
      </c>
      <c r="N239" s="344"/>
      <c r="O239" s="345"/>
      <c r="P239" s="343">
        <f ca="1">I1-M239</f>
        <v>18</v>
      </c>
      <c r="Q239" s="343"/>
      <c r="R239" s="343"/>
      <c r="S239" s="343"/>
      <c r="T239" s="343"/>
      <c r="U239" s="343" t="s">
        <v>461</v>
      </c>
      <c r="V239" s="343"/>
    </row>
    <row r="240" spans="1:22" ht="31.5" x14ac:dyDescent="0.35">
      <c r="A240" s="330">
        <f t="shared" ref="A240:A271" si="27">A239+1</f>
        <v>33</v>
      </c>
      <c r="B240" s="330" t="s">
        <v>689</v>
      </c>
      <c r="C240" s="366" t="s">
        <v>690</v>
      </c>
      <c r="D240" s="367" t="s">
        <v>754</v>
      </c>
      <c r="E240" s="332" t="s">
        <v>755</v>
      </c>
      <c r="F240" s="332" t="s">
        <v>457</v>
      </c>
      <c r="G240" s="412">
        <v>45868</v>
      </c>
      <c r="H240" s="412">
        <f t="shared" si="23"/>
        <v>45883</v>
      </c>
      <c r="I240" s="416"/>
      <c r="J240" s="330">
        <f t="shared" ref="J240" ca="1" si="28">$I$1-G240</f>
        <v>19</v>
      </c>
      <c r="K240" s="332">
        <f ca="1">$I$1-H240</f>
        <v>4</v>
      </c>
      <c r="L240" s="257"/>
      <c r="M240" s="369"/>
      <c r="N240" s="369"/>
      <c r="O240" s="370"/>
      <c r="P240" s="332"/>
      <c r="Q240" s="332"/>
      <c r="R240" s="332"/>
      <c r="S240" s="332"/>
      <c r="T240" s="332"/>
      <c r="U240" s="332"/>
      <c r="V240" s="332"/>
    </row>
    <row r="241" spans="1:22" x14ac:dyDescent="0.35">
      <c r="A241" s="350">
        <f t="shared" si="27"/>
        <v>34</v>
      </c>
      <c r="B241" s="350" t="s">
        <v>689</v>
      </c>
      <c r="C241" s="351" t="s">
        <v>690</v>
      </c>
      <c r="D241" s="352" t="s">
        <v>756</v>
      </c>
      <c r="E241" s="350" t="s">
        <v>757</v>
      </c>
      <c r="F241" s="350" t="s">
        <v>457</v>
      </c>
      <c r="G241" s="378">
        <v>45797</v>
      </c>
      <c r="H241" s="378">
        <f t="shared" si="23"/>
        <v>45812</v>
      </c>
      <c r="I241" s="378">
        <f>M241</f>
        <v>45790</v>
      </c>
      <c r="J241" s="350">
        <f>I241-G241</f>
        <v>-7</v>
      </c>
      <c r="K241" s="350">
        <f>R241-H241</f>
        <v>63</v>
      </c>
      <c r="L241" s="354" t="s">
        <v>458</v>
      </c>
      <c r="M241" s="355">
        <v>45790</v>
      </c>
      <c r="N241" s="355">
        <v>45812</v>
      </c>
      <c r="O241" s="356" t="s">
        <v>459</v>
      </c>
      <c r="P241" s="354">
        <f>N241-M241</f>
        <v>22</v>
      </c>
      <c r="Q241" s="354">
        <f>M242-N241</f>
        <v>12</v>
      </c>
      <c r="R241" s="371">
        <f>N243</f>
        <v>45875</v>
      </c>
      <c r="S241" s="350" t="s">
        <v>397</v>
      </c>
      <c r="T241" s="350" t="str">
        <f>O243</f>
        <v>CAT - I</v>
      </c>
      <c r="U241" s="350" t="s">
        <v>397</v>
      </c>
      <c r="V241" s="350"/>
    </row>
    <row r="242" spans="1:22" x14ac:dyDescent="0.35">
      <c r="A242" s="358"/>
      <c r="B242" s="358"/>
      <c r="C242" s="379"/>
      <c r="D242" s="360"/>
      <c r="E242" s="358"/>
      <c r="F242" s="358"/>
      <c r="G242" s="422"/>
      <c r="H242" s="422"/>
      <c r="I242" s="422"/>
      <c r="J242" s="358"/>
      <c r="K242" s="358"/>
      <c r="L242" s="354" t="s">
        <v>460</v>
      </c>
      <c r="M242" s="355">
        <v>45824</v>
      </c>
      <c r="N242" s="355">
        <v>45842</v>
      </c>
      <c r="O242" s="356" t="s">
        <v>481</v>
      </c>
      <c r="P242" s="354">
        <f>N242-M242</f>
        <v>18</v>
      </c>
      <c r="Q242" s="354">
        <f>M243-N242</f>
        <v>18</v>
      </c>
      <c r="R242" s="376"/>
      <c r="S242" s="358"/>
      <c r="T242" s="358"/>
      <c r="U242" s="358"/>
      <c r="V242" s="358"/>
    </row>
    <row r="243" spans="1:22" x14ac:dyDescent="0.35">
      <c r="A243" s="358"/>
      <c r="B243" s="358"/>
      <c r="C243" s="379"/>
      <c r="D243" s="360"/>
      <c r="E243" s="358"/>
      <c r="F243" s="358"/>
      <c r="G243" s="422"/>
      <c r="H243" s="422"/>
      <c r="I243" s="422"/>
      <c r="J243" s="358"/>
      <c r="K243" s="358"/>
      <c r="L243" s="354" t="s">
        <v>462</v>
      </c>
      <c r="M243" s="355">
        <v>45860</v>
      </c>
      <c r="N243" s="355">
        <v>45875</v>
      </c>
      <c r="O243" s="356" t="s">
        <v>472</v>
      </c>
      <c r="P243" s="354">
        <f>N243-M243</f>
        <v>15</v>
      </c>
      <c r="Q243" s="354"/>
      <c r="R243" s="372"/>
      <c r="S243" s="358"/>
      <c r="T243" s="358"/>
      <c r="U243" s="358"/>
      <c r="V243" s="358"/>
    </row>
    <row r="244" spans="1:22" x14ac:dyDescent="0.35">
      <c r="A244" s="350">
        <f>A241+1</f>
        <v>35</v>
      </c>
      <c r="B244" s="350" t="s">
        <v>689</v>
      </c>
      <c r="C244" s="377" t="s">
        <v>758</v>
      </c>
      <c r="D244" s="377" t="s">
        <v>759</v>
      </c>
      <c r="E244" s="350" t="s">
        <v>760</v>
      </c>
      <c r="F244" s="350" t="s">
        <v>457</v>
      </c>
      <c r="G244" s="410">
        <v>45826</v>
      </c>
      <c r="H244" s="410">
        <f>G244+15</f>
        <v>45841</v>
      </c>
      <c r="I244" s="410">
        <v>45804</v>
      </c>
      <c r="J244" s="350">
        <f>I244-G244</f>
        <v>-22</v>
      </c>
      <c r="K244" s="350">
        <f>R244-H244</f>
        <v>35</v>
      </c>
      <c r="L244" s="354" t="s">
        <v>458</v>
      </c>
      <c r="M244" s="355">
        <v>45804</v>
      </c>
      <c r="N244" s="355">
        <v>45847</v>
      </c>
      <c r="O244" s="356" t="s">
        <v>459</v>
      </c>
      <c r="P244" s="354">
        <f>N244-M244</f>
        <v>43</v>
      </c>
      <c r="Q244" s="354">
        <f>M245-N244</f>
        <v>8</v>
      </c>
      <c r="R244" s="371">
        <f>N247</f>
        <v>45876</v>
      </c>
      <c r="S244" s="350" t="s">
        <v>397</v>
      </c>
      <c r="T244" s="350" t="str">
        <f>O247</f>
        <v>CAT - I</v>
      </c>
      <c r="U244" s="350" t="str">
        <f>S244</f>
        <v>Approved</v>
      </c>
      <c r="V244" s="350"/>
    </row>
    <row r="245" spans="1:22" x14ac:dyDescent="0.35">
      <c r="A245" s="358"/>
      <c r="B245" s="358"/>
      <c r="C245" s="358"/>
      <c r="D245" s="401"/>
      <c r="E245" s="358"/>
      <c r="F245" s="358"/>
      <c r="G245" s="411"/>
      <c r="H245" s="411"/>
      <c r="I245" s="411"/>
      <c r="J245" s="358"/>
      <c r="K245" s="358"/>
      <c r="L245" s="354" t="s">
        <v>460</v>
      </c>
      <c r="M245" s="355">
        <v>45855</v>
      </c>
      <c r="N245" s="355">
        <v>45861</v>
      </c>
      <c r="O245" s="356" t="s">
        <v>459</v>
      </c>
      <c r="P245" s="354">
        <f>N245-M245</f>
        <v>6</v>
      </c>
      <c r="Q245" s="354">
        <f>M246-N245</f>
        <v>7</v>
      </c>
      <c r="R245" s="376"/>
      <c r="S245" s="358"/>
      <c r="T245" s="358"/>
      <c r="U245" s="358"/>
      <c r="V245" s="358"/>
    </row>
    <row r="246" spans="1:22" x14ac:dyDescent="0.35">
      <c r="A246" s="358"/>
      <c r="B246" s="358"/>
      <c r="C246" s="358"/>
      <c r="D246" s="401"/>
      <c r="E246" s="358"/>
      <c r="F246" s="358"/>
      <c r="G246" s="411"/>
      <c r="H246" s="411"/>
      <c r="I246" s="411"/>
      <c r="J246" s="358"/>
      <c r="K246" s="358"/>
      <c r="L246" s="354" t="s">
        <v>462</v>
      </c>
      <c r="M246" s="355">
        <v>45868</v>
      </c>
      <c r="N246" s="355"/>
      <c r="O246" s="356"/>
      <c r="P246" s="354"/>
      <c r="Q246" s="354"/>
      <c r="R246" s="376"/>
      <c r="S246" s="358"/>
      <c r="T246" s="358"/>
      <c r="U246" s="358"/>
      <c r="V246" s="358"/>
    </row>
    <row r="247" spans="1:22" x14ac:dyDescent="0.35">
      <c r="A247" s="358"/>
      <c r="B247" s="358"/>
      <c r="C247" s="358"/>
      <c r="D247" s="401"/>
      <c r="E247" s="358"/>
      <c r="F247" s="358"/>
      <c r="G247" s="411"/>
      <c r="H247" s="411"/>
      <c r="I247" s="411"/>
      <c r="J247" s="358"/>
      <c r="K247" s="358"/>
      <c r="L247" s="354" t="s">
        <v>462</v>
      </c>
      <c r="M247" s="355">
        <v>45875</v>
      </c>
      <c r="N247" s="355">
        <v>45876</v>
      </c>
      <c r="O247" s="356" t="s">
        <v>472</v>
      </c>
      <c r="P247" s="354">
        <f>N247-M247</f>
        <v>1</v>
      </c>
      <c r="Q247" s="354"/>
      <c r="R247" s="372"/>
      <c r="S247" s="358"/>
      <c r="T247" s="358"/>
      <c r="U247" s="358"/>
      <c r="V247" s="358"/>
    </row>
    <row r="248" spans="1:22" x14ac:dyDescent="0.35">
      <c r="A248" s="330">
        <f>A244+1</f>
        <v>36</v>
      </c>
      <c r="B248" s="330" t="s">
        <v>689</v>
      </c>
      <c r="C248" s="366" t="s">
        <v>758</v>
      </c>
      <c r="D248" s="367" t="s">
        <v>761</v>
      </c>
      <c r="E248" s="332" t="s">
        <v>762</v>
      </c>
      <c r="F248" s="332" t="s">
        <v>467</v>
      </c>
      <c r="G248" s="412">
        <v>45826</v>
      </c>
      <c r="H248" s="412">
        <f t="shared" ref="H248:H262" si="29">G248+15</f>
        <v>45841</v>
      </c>
      <c r="I248" s="412"/>
      <c r="J248" s="330">
        <f t="shared" ref="J248" ca="1" si="30">$I$1-G248</f>
        <v>61</v>
      </c>
      <c r="K248" s="332">
        <f ca="1">$I$1-H248</f>
        <v>46</v>
      </c>
      <c r="L248" s="257"/>
      <c r="M248" s="369"/>
      <c r="N248" s="369"/>
      <c r="O248" s="370"/>
      <c r="P248" s="332"/>
      <c r="Q248" s="332"/>
      <c r="R248" s="332"/>
      <c r="S248" s="332"/>
      <c r="T248" s="332"/>
      <c r="U248" s="332"/>
      <c r="V248" s="332"/>
    </row>
    <row r="249" spans="1:22" x14ac:dyDescent="0.35">
      <c r="A249" s="343">
        <f t="shared" si="27"/>
        <v>37</v>
      </c>
      <c r="B249" s="343" t="s">
        <v>689</v>
      </c>
      <c r="C249" s="373" t="s">
        <v>758</v>
      </c>
      <c r="D249" s="374" t="s">
        <v>763</v>
      </c>
      <c r="E249" s="343" t="s">
        <v>764</v>
      </c>
      <c r="F249" s="343" t="s">
        <v>457</v>
      </c>
      <c r="G249" s="415">
        <f>G205</f>
        <v>45797</v>
      </c>
      <c r="H249" s="415">
        <f t="shared" si="29"/>
        <v>45812</v>
      </c>
      <c r="I249" s="415">
        <v>45817</v>
      </c>
      <c r="J249" s="343">
        <f>I249-G249</f>
        <v>20</v>
      </c>
      <c r="K249" s="343">
        <f ca="1">I1-H249</f>
        <v>75</v>
      </c>
      <c r="L249" s="343" t="s">
        <v>458</v>
      </c>
      <c r="M249" s="344">
        <v>45817</v>
      </c>
      <c r="N249" s="344">
        <v>45828</v>
      </c>
      <c r="O249" s="345" t="s">
        <v>459</v>
      </c>
      <c r="P249" s="343">
        <f>N249-M249</f>
        <v>11</v>
      </c>
      <c r="Q249" s="343">
        <f ca="1">I1-N249</f>
        <v>59</v>
      </c>
      <c r="R249" s="343"/>
      <c r="S249" s="343" t="s">
        <v>489</v>
      </c>
      <c r="T249" s="343" t="str">
        <f>O249</f>
        <v>CAT - III</v>
      </c>
      <c r="U249" s="343" t="s">
        <v>464</v>
      </c>
      <c r="V249" s="343"/>
    </row>
    <row r="250" spans="1:22" ht="21" x14ac:dyDescent="0.35">
      <c r="A250" s="343">
        <f t="shared" si="27"/>
        <v>38</v>
      </c>
      <c r="B250" s="343" t="s">
        <v>689</v>
      </c>
      <c r="C250" s="373" t="s">
        <v>758</v>
      </c>
      <c r="D250" s="374" t="s">
        <v>765</v>
      </c>
      <c r="E250" s="343" t="s">
        <v>766</v>
      </c>
      <c r="F250" s="343" t="s">
        <v>457</v>
      </c>
      <c r="G250" s="415">
        <f>G207</f>
        <v>45797</v>
      </c>
      <c r="H250" s="415">
        <f t="shared" si="29"/>
        <v>45812</v>
      </c>
      <c r="I250" s="415">
        <v>45817</v>
      </c>
      <c r="J250" s="343">
        <f>I250-G250</f>
        <v>20</v>
      </c>
      <c r="K250" s="343">
        <f ca="1">I1-H250</f>
        <v>75</v>
      </c>
      <c r="L250" s="343" t="s">
        <v>458</v>
      </c>
      <c r="M250" s="344">
        <v>45817</v>
      </c>
      <c r="N250" s="344">
        <v>45820</v>
      </c>
      <c r="O250" s="345" t="s">
        <v>459</v>
      </c>
      <c r="P250" s="343">
        <f>N250-M250</f>
        <v>3</v>
      </c>
      <c r="Q250" s="343">
        <f ca="1">I1-N250</f>
        <v>67</v>
      </c>
      <c r="R250" s="343"/>
      <c r="S250" s="343" t="s">
        <v>489</v>
      </c>
      <c r="T250" s="343" t="str">
        <f>O250</f>
        <v>CAT - III</v>
      </c>
      <c r="U250" s="343" t="s">
        <v>464</v>
      </c>
      <c r="V250" s="343"/>
    </row>
    <row r="251" spans="1:22" x14ac:dyDescent="0.35">
      <c r="A251" s="330">
        <f t="shared" si="27"/>
        <v>39</v>
      </c>
      <c r="B251" s="330" t="s">
        <v>689</v>
      </c>
      <c r="C251" s="366" t="s">
        <v>758</v>
      </c>
      <c r="D251" s="367" t="s">
        <v>767</v>
      </c>
      <c r="E251" s="332" t="s">
        <v>768</v>
      </c>
      <c r="F251" s="332" t="s">
        <v>457</v>
      </c>
      <c r="G251" s="412">
        <f>G209</f>
        <v>45813</v>
      </c>
      <c r="H251" s="412">
        <f t="shared" si="29"/>
        <v>45828</v>
      </c>
      <c r="I251" s="416"/>
      <c r="J251" s="330">
        <f t="shared" ref="J251:J255" ca="1" si="31">$I$1-G251</f>
        <v>74</v>
      </c>
      <c r="K251" s="332">
        <f ca="1">$I$1-H251</f>
        <v>59</v>
      </c>
      <c r="L251" s="257"/>
      <c r="M251" s="369"/>
      <c r="N251" s="369"/>
      <c r="O251" s="370"/>
      <c r="P251" s="332"/>
      <c r="Q251" s="332"/>
      <c r="R251" s="332"/>
      <c r="S251" s="332"/>
      <c r="T251" s="332"/>
      <c r="U251" s="332"/>
      <c r="V251" s="332"/>
    </row>
    <row r="252" spans="1:22" x14ac:dyDescent="0.35">
      <c r="A252" s="330">
        <f t="shared" si="27"/>
        <v>40</v>
      </c>
      <c r="B252" s="330" t="s">
        <v>689</v>
      </c>
      <c r="C252" s="366" t="s">
        <v>758</v>
      </c>
      <c r="D252" s="367" t="s">
        <v>769</v>
      </c>
      <c r="E252" s="332" t="s">
        <v>770</v>
      </c>
      <c r="F252" s="332" t="s">
        <v>467</v>
      </c>
      <c r="G252" s="412">
        <f>G211</f>
        <v>45802</v>
      </c>
      <c r="H252" s="412">
        <f t="shared" si="29"/>
        <v>45817</v>
      </c>
      <c r="I252" s="416"/>
      <c r="J252" s="330">
        <f t="shared" ca="1" si="31"/>
        <v>85</v>
      </c>
      <c r="K252" s="332">
        <f ca="1">$I$1-H252</f>
        <v>70</v>
      </c>
      <c r="L252" s="257"/>
      <c r="M252" s="369"/>
      <c r="N252" s="369"/>
      <c r="O252" s="370"/>
      <c r="P252" s="332"/>
      <c r="Q252" s="332"/>
      <c r="R252" s="332"/>
      <c r="S252" s="332"/>
      <c r="T252" s="332"/>
      <c r="U252" s="332"/>
      <c r="V252" s="332"/>
    </row>
    <row r="253" spans="1:22" x14ac:dyDescent="0.35">
      <c r="A253" s="330">
        <f t="shared" si="27"/>
        <v>41</v>
      </c>
      <c r="B253" s="330" t="s">
        <v>689</v>
      </c>
      <c r="C253" s="366" t="s">
        <v>758</v>
      </c>
      <c r="D253" s="367" t="s">
        <v>771</v>
      </c>
      <c r="E253" s="332" t="s">
        <v>772</v>
      </c>
      <c r="F253" s="332" t="s">
        <v>467</v>
      </c>
      <c r="G253" s="412">
        <f>G212</f>
        <v>45797</v>
      </c>
      <c r="H253" s="412">
        <f t="shared" si="29"/>
        <v>45812</v>
      </c>
      <c r="I253" s="416"/>
      <c r="J253" s="330">
        <f t="shared" ca="1" si="31"/>
        <v>90</v>
      </c>
      <c r="K253" s="332">
        <f ca="1">$I$1-H253</f>
        <v>75</v>
      </c>
      <c r="L253" s="257"/>
      <c r="M253" s="369"/>
      <c r="N253" s="369"/>
      <c r="O253" s="370"/>
      <c r="P253" s="332"/>
      <c r="Q253" s="332"/>
      <c r="R253" s="332"/>
      <c r="S253" s="332"/>
      <c r="T253" s="332"/>
      <c r="U253" s="332"/>
      <c r="V253" s="332"/>
    </row>
    <row r="254" spans="1:22" ht="21" x14ac:dyDescent="0.35">
      <c r="A254" s="330">
        <f t="shared" si="27"/>
        <v>42</v>
      </c>
      <c r="B254" s="330" t="s">
        <v>689</v>
      </c>
      <c r="C254" s="366" t="s">
        <v>758</v>
      </c>
      <c r="D254" s="367" t="s">
        <v>773</v>
      </c>
      <c r="E254" s="332" t="s">
        <v>774</v>
      </c>
      <c r="F254" s="332" t="s">
        <v>457</v>
      </c>
      <c r="G254" s="412">
        <f>G213</f>
        <v>45782</v>
      </c>
      <c r="H254" s="412">
        <f t="shared" si="29"/>
        <v>45797</v>
      </c>
      <c r="I254" s="416"/>
      <c r="J254" s="330">
        <f t="shared" ca="1" si="31"/>
        <v>105</v>
      </c>
      <c r="K254" s="332">
        <f ca="1">$I$1-H254</f>
        <v>90</v>
      </c>
      <c r="L254" s="257"/>
      <c r="M254" s="369"/>
      <c r="N254" s="369"/>
      <c r="O254" s="370"/>
      <c r="P254" s="332"/>
      <c r="Q254" s="332"/>
      <c r="R254" s="332"/>
      <c r="S254" s="332"/>
      <c r="T254" s="332"/>
      <c r="U254" s="332"/>
      <c r="V254" s="332"/>
    </row>
    <row r="255" spans="1:22" x14ac:dyDescent="0.35">
      <c r="A255" s="330">
        <f t="shared" si="27"/>
        <v>43</v>
      </c>
      <c r="B255" s="330" t="s">
        <v>689</v>
      </c>
      <c r="C255" s="366" t="s">
        <v>758</v>
      </c>
      <c r="D255" s="367" t="s">
        <v>775</v>
      </c>
      <c r="E255" s="332" t="s">
        <v>776</v>
      </c>
      <c r="F255" s="332" t="s">
        <v>457</v>
      </c>
      <c r="G255" s="412">
        <f>G216</f>
        <v>45809</v>
      </c>
      <c r="H255" s="412">
        <f t="shared" si="29"/>
        <v>45824</v>
      </c>
      <c r="I255" s="416"/>
      <c r="J255" s="330">
        <f t="shared" ca="1" si="31"/>
        <v>78</v>
      </c>
      <c r="K255" s="332">
        <f ca="1">$I$1-H255</f>
        <v>63</v>
      </c>
      <c r="L255" s="257"/>
      <c r="M255" s="369"/>
      <c r="N255" s="369"/>
      <c r="O255" s="370"/>
      <c r="P255" s="332"/>
      <c r="Q255" s="332"/>
      <c r="R255" s="332"/>
      <c r="S255" s="332"/>
      <c r="T255" s="332"/>
      <c r="U255" s="332"/>
      <c r="V255" s="332"/>
    </row>
    <row r="256" spans="1:22" x14ac:dyDescent="0.35">
      <c r="A256" s="343">
        <f t="shared" si="27"/>
        <v>44</v>
      </c>
      <c r="B256" s="343" t="s">
        <v>689</v>
      </c>
      <c r="C256" s="373" t="s">
        <v>758</v>
      </c>
      <c r="D256" s="374" t="s">
        <v>777</v>
      </c>
      <c r="E256" s="343" t="s">
        <v>778</v>
      </c>
      <c r="F256" s="343" t="s">
        <v>457</v>
      </c>
      <c r="G256" s="415">
        <f>G218</f>
        <v>45792</v>
      </c>
      <c r="H256" s="415">
        <f t="shared" si="29"/>
        <v>45807</v>
      </c>
      <c r="I256" s="415">
        <f>M256</f>
        <v>45877</v>
      </c>
      <c r="J256" s="343">
        <f>I256-G256</f>
        <v>85</v>
      </c>
      <c r="K256" s="343">
        <f ca="1">I1-H256</f>
        <v>80</v>
      </c>
      <c r="L256" s="343" t="s">
        <v>458</v>
      </c>
      <c r="M256" s="344">
        <v>45877</v>
      </c>
      <c r="N256" s="344"/>
      <c r="O256" s="345"/>
      <c r="P256" s="343"/>
      <c r="Q256" s="343"/>
      <c r="R256" s="343"/>
      <c r="S256" s="343" t="s">
        <v>482</v>
      </c>
      <c r="T256" s="343"/>
      <c r="U256" s="343" t="s">
        <v>461</v>
      </c>
      <c r="V256" s="343"/>
    </row>
    <row r="257" spans="1:22" x14ac:dyDescent="0.35">
      <c r="A257" s="330">
        <f t="shared" si="27"/>
        <v>45</v>
      </c>
      <c r="B257" s="330" t="s">
        <v>689</v>
      </c>
      <c r="C257" s="366" t="s">
        <v>758</v>
      </c>
      <c r="D257" s="367" t="s">
        <v>779</v>
      </c>
      <c r="E257" s="332" t="s">
        <v>780</v>
      </c>
      <c r="F257" s="332" t="s">
        <v>457</v>
      </c>
      <c r="G257" s="412">
        <f>G220</f>
        <v>45784</v>
      </c>
      <c r="H257" s="412">
        <f t="shared" si="29"/>
        <v>45799</v>
      </c>
      <c r="I257" s="416"/>
      <c r="J257" s="330">
        <f t="shared" ref="J257:K271" ca="1" si="32">$I$1-G257</f>
        <v>103</v>
      </c>
      <c r="K257" s="332">
        <f t="shared" ca="1" si="32"/>
        <v>88</v>
      </c>
      <c r="L257" s="257"/>
      <c r="M257" s="369"/>
      <c r="N257" s="369"/>
      <c r="O257" s="370"/>
      <c r="P257" s="332"/>
      <c r="Q257" s="332"/>
      <c r="R257" s="332"/>
      <c r="S257" s="332"/>
      <c r="T257" s="332"/>
      <c r="U257" s="332"/>
      <c r="V257" s="332"/>
    </row>
    <row r="258" spans="1:22" x14ac:dyDescent="0.35">
      <c r="A258" s="330">
        <f t="shared" si="27"/>
        <v>46</v>
      </c>
      <c r="B258" s="330" t="s">
        <v>689</v>
      </c>
      <c r="C258" s="366" t="s">
        <v>758</v>
      </c>
      <c r="D258" s="367" t="s">
        <v>781</v>
      </c>
      <c r="E258" s="332" t="s">
        <v>782</v>
      </c>
      <c r="F258" s="332" t="s">
        <v>457</v>
      </c>
      <c r="G258" s="412">
        <f>G221</f>
        <v>45809</v>
      </c>
      <c r="H258" s="412">
        <f t="shared" si="29"/>
        <v>45824</v>
      </c>
      <c r="I258" s="416"/>
      <c r="J258" s="330">
        <f t="shared" ca="1" si="32"/>
        <v>78</v>
      </c>
      <c r="K258" s="332">
        <f t="shared" ca="1" si="32"/>
        <v>63</v>
      </c>
      <c r="L258" s="257"/>
      <c r="M258" s="369"/>
      <c r="N258" s="369"/>
      <c r="O258" s="370"/>
      <c r="P258" s="332"/>
      <c r="Q258" s="332"/>
      <c r="R258" s="332"/>
      <c r="S258" s="332"/>
      <c r="T258" s="332"/>
      <c r="U258" s="332"/>
      <c r="V258" s="332"/>
    </row>
    <row r="259" spans="1:22" ht="21" x14ac:dyDescent="0.35">
      <c r="A259" s="330">
        <f t="shared" si="27"/>
        <v>47</v>
      </c>
      <c r="B259" s="330" t="s">
        <v>689</v>
      </c>
      <c r="C259" s="366" t="s">
        <v>758</v>
      </c>
      <c r="D259" s="367" t="s">
        <v>783</v>
      </c>
      <c r="E259" s="332" t="s">
        <v>784</v>
      </c>
      <c r="F259" s="332" t="s">
        <v>467</v>
      </c>
      <c r="G259" s="412">
        <f>G223</f>
        <v>45797</v>
      </c>
      <c r="H259" s="412">
        <f t="shared" si="29"/>
        <v>45812</v>
      </c>
      <c r="I259" s="416"/>
      <c r="J259" s="330">
        <f t="shared" ca="1" si="32"/>
        <v>90</v>
      </c>
      <c r="K259" s="332">
        <f t="shared" ca="1" si="32"/>
        <v>75</v>
      </c>
      <c r="L259" s="257"/>
      <c r="M259" s="369"/>
      <c r="N259" s="369"/>
      <c r="O259" s="370"/>
      <c r="P259" s="332"/>
      <c r="Q259" s="332"/>
      <c r="R259" s="332"/>
      <c r="S259" s="332"/>
      <c r="T259" s="332"/>
      <c r="U259" s="332"/>
      <c r="V259" s="332"/>
    </row>
    <row r="260" spans="1:22" x14ac:dyDescent="0.35">
      <c r="A260" s="330">
        <f t="shared" si="27"/>
        <v>48</v>
      </c>
      <c r="B260" s="330" t="s">
        <v>689</v>
      </c>
      <c r="C260" s="366" t="s">
        <v>758</v>
      </c>
      <c r="D260" s="367" t="s">
        <v>785</v>
      </c>
      <c r="E260" s="332" t="s">
        <v>786</v>
      </c>
      <c r="F260" s="332" t="s">
        <v>467</v>
      </c>
      <c r="G260" s="412">
        <v>45834</v>
      </c>
      <c r="H260" s="412">
        <f t="shared" si="29"/>
        <v>45849</v>
      </c>
      <c r="I260" s="412"/>
      <c r="J260" s="330">
        <f t="shared" ca="1" si="32"/>
        <v>53</v>
      </c>
      <c r="K260" s="332">
        <f t="shared" ca="1" si="32"/>
        <v>38</v>
      </c>
      <c r="L260" s="257"/>
      <c r="M260" s="369"/>
      <c r="N260" s="369"/>
      <c r="O260" s="370"/>
      <c r="P260" s="332"/>
      <c r="Q260" s="332"/>
      <c r="R260" s="332"/>
      <c r="S260" s="332"/>
      <c r="T260" s="332"/>
      <c r="U260" s="332"/>
      <c r="V260" s="332"/>
    </row>
    <row r="261" spans="1:22" x14ac:dyDescent="0.35">
      <c r="A261" s="330">
        <f t="shared" si="27"/>
        <v>49</v>
      </c>
      <c r="B261" s="330" t="s">
        <v>689</v>
      </c>
      <c r="C261" s="366" t="s">
        <v>758</v>
      </c>
      <c r="D261" s="367" t="s">
        <v>787</v>
      </c>
      <c r="E261" s="332" t="s">
        <v>788</v>
      </c>
      <c r="F261" s="332" t="s">
        <v>467</v>
      </c>
      <c r="G261" s="412">
        <v>45840</v>
      </c>
      <c r="H261" s="412">
        <f t="shared" si="29"/>
        <v>45855</v>
      </c>
      <c r="I261" s="412"/>
      <c r="J261" s="330">
        <f t="shared" ca="1" si="32"/>
        <v>47</v>
      </c>
      <c r="K261" s="332">
        <f t="shared" ca="1" si="32"/>
        <v>32</v>
      </c>
      <c r="L261" s="257"/>
      <c r="M261" s="369"/>
      <c r="N261" s="369"/>
      <c r="O261" s="370"/>
      <c r="P261" s="332"/>
      <c r="Q261" s="332"/>
      <c r="R261" s="332"/>
      <c r="S261" s="332"/>
      <c r="T261" s="332"/>
      <c r="U261" s="332"/>
      <c r="V261" s="332"/>
    </row>
    <row r="262" spans="1:22" ht="21" x14ac:dyDescent="0.35">
      <c r="A262" s="330">
        <f t="shared" si="27"/>
        <v>50</v>
      </c>
      <c r="B262" s="330" t="s">
        <v>689</v>
      </c>
      <c r="C262" s="366" t="s">
        <v>758</v>
      </c>
      <c r="D262" s="367" t="s">
        <v>789</v>
      </c>
      <c r="E262" s="332" t="s">
        <v>790</v>
      </c>
      <c r="F262" s="332" t="s">
        <v>467</v>
      </c>
      <c r="G262" s="412">
        <v>45826</v>
      </c>
      <c r="H262" s="412">
        <f t="shared" si="29"/>
        <v>45841</v>
      </c>
      <c r="I262" s="416"/>
      <c r="J262" s="330">
        <f t="shared" ca="1" si="32"/>
        <v>61</v>
      </c>
      <c r="K262" s="332">
        <f t="shared" ca="1" si="32"/>
        <v>46</v>
      </c>
      <c r="L262" s="423"/>
      <c r="M262" s="369"/>
      <c r="N262" s="369"/>
      <c r="O262" s="424"/>
      <c r="P262" s="332"/>
      <c r="Q262" s="332"/>
      <c r="R262" s="425"/>
      <c r="S262" s="425"/>
      <c r="T262" s="425"/>
      <c r="U262" s="425"/>
      <c r="V262" s="425"/>
    </row>
    <row r="263" spans="1:22" ht="21" x14ac:dyDescent="0.35">
      <c r="A263" s="330">
        <f t="shared" si="27"/>
        <v>51</v>
      </c>
      <c r="B263" s="330" t="s">
        <v>689</v>
      </c>
      <c r="C263" s="366" t="s">
        <v>758</v>
      </c>
      <c r="D263" s="367" t="s">
        <v>791</v>
      </c>
      <c r="E263" s="332" t="s">
        <v>792</v>
      </c>
      <c r="F263" s="332" t="s">
        <v>457</v>
      </c>
      <c r="G263" s="412"/>
      <c r="H263" s="412"/>
      <c r="I263" s="416"/>
      <c r="J263" s="330"/>
      <c r="K263" s="332"/>
      <c r="L263" s="332"/>
      <c r="M263" s="369"/>
      <c r="N263" s="369"/>
      <c r="O263" s="370"/>
      <c r="P263" s="332"/>
      <c r="Q263" s="332"/>
      <c r="R263" s="332"/>
      <c r="S263" s="332"/>
      <c r="T263" s="332"/>
      <c r="U263" s="332"/>
      <c r="V263" s="332"/>
    </row>
    <row r="264" spans="1:22" x14ac:dyDescent="0.35">
      <c r="A264" s="343">
        <f t="shared" si="27"/>
        <v>52</v>
      </c>
      <c r="B264" s="343" t="s">
        <v>689</v>
      </c>
      <c r="C264" s="373" t="s">
        <v>758</v>
      </c>
      <c r="D264" s="374" t="s">
        <v>793</v>
      </c>
      <c r="E264" s="343" t="s">
        <v>794</v>
      </c>
      <c r="F264" s="343" t="s">
        <v>457</v>
      </c>
      <c r="G264" s="415">
        <f>G230</f>
        <v>45826</v>
      </c>
      <c r="H264" s="415">
        <f t="shared" ref="H264:H272" si="33">G264+15</f>
        <v>45841</v>
      </c>
      <c r="I264" s="415">
        <f>M264</f>
        <v>45878</v>
      </c>
      <c r="J264" s="343">
        <f>I264-G264</f>
        <v>52</v>
      </c>
      <c r="K264" s="343">
        <f ca="1">I1-H264</f>
        <v>46</v>
      </c>
      <c r="L264" s="343" t="s">
        <v>458</v>
      </c>
      <c r="M264" s="344">
        <v>45878</v>
      </c>
      <c r="N264" s="344"/>
      <c r="O264" s="345"/>
      <c r="P264" s="343">
        <f ca="1">I1-M264</f>
        <v>9</v>
      </c>
      <c r="Q264" s="343"/>
      <c r="R264" s="343"/>
      <c r="S264" s="343"/>
      <c r="T264" s="343"/>
      <c r="U264" s="343" t="s">
        <v>461</v>
      </c>
      <c r="V264" s="343"/>
    </row>
    <row r="265" spans="1:22" ht="21" x14ac:dyDescent="0.35">
      <c r="A265" s="330">
        <f t="shared" si="27"/>
        <v>53</v>
      </c>
      <c r="B265" s="330" t="s">
        <v>689</v>
      </c>
      <c r="C265" s="366" t="s">
        <v>758</v>
      </c>
      <c r="D265" s="367" t="s">
        <v>795</v>
      </c>
      <c r="E265" s="332" t="s">
        <v>796</v>
      </c>
      <c r="F265" s="331" t="s">
        <v>467</v>
      </c>
      <c r="G265" s="412">
        <v>45826</v>
      </c>
      <c r="H265" s="412">
        <f t="shared" si="33"/>
        <v>45841</v>
      </c>
      <c r="I265" s="416"/>
      <c r="J265" s="330">
        <f t="shared" ca="1" si="32"/>
        <v>61</v>
      </c>
      <c r="K265" s="426">
        <f ca="1">I1-H264</f>
        <v>46</v>
      </c>
      <c r="L265" s="332"/>
      <c r="M265" s="369"/>
      <c r="N265" s="369"/>
      <c r="O265" s="370"/>
      <c r="P265" s="332"/>
      <c r="Q265" s="332"/>
      <c r="R265" s="332"/>
      <c r="S265" s="332"/>
      <c r="T265" s="332"/>
      <c r="U265" s="332"/>
      <c r="V265" s="332"/>
    </row>
    <row r="266" spans="1:22" x14ac:dyDescent="0.35">
      <c r="A266" s="330">
        <f t="shared" si="27"/>
        <v>54</v>
      </c>
      <c r="B266" s="330" t="s">
        <v>689</v>
      </c>
      <c r="C266" s="366" t="s">
        <v>758</v>
      </c>
      <c r="D266" s="367" t="s">
        <v>797</v>
      </c>
      <c r="E266" s="332" t="s">
        <v>798</v>
      </c>
      <c r="F266" s="332" t="s">
        <v>457</v>
      </c>
      <c r="G266" s="412">
        <v>45797</v>
      </c>
      <c r="H266" s="412">
        <f t="shared" si="33"/>
        <v>45812</v>
      </c>
      <c r="I266" s="416"/>
      <c r="J266" s="330">
        <f t="shared" ca="1" si="32"/>
        <v>90</v>
      </c>
      <c r="K266" s="332">
        <f ca="1">I1-H266</f>
        <v>75</v>
      </c>
      <c r="L266" s="332"/>
      <c r="M266" s="369"/>
      <c r="N266" s="369"/>
      <c r="O266" s="370"/>
      <c r="P266" s="332"/>
      <c r="Q266" s="332"/>
      <c r="R266" s="332"/>
      <c r="S266" s="332"/>
      <c r="T266" s="332"/>
      <c r="U266" s="332"/>
      <c r="V266" s="332"/>
    </row>
    <row r="267" spans="1:22" x14ac:dyDescent="0.35">
      <c r="A267" s="345">
        <f t="shared" si="27"/>
        <v>55</v>
      </c>
      <c r="B267" s="343" t="s">
        <v>689</v>
      </c>
      <c r="C267" s="373" t="s">
        <v>758</v>
      </c>
      <c r="D267" s="374" t="s">
        <v>799</v>
      </c>
      <c r="E267" s="343" t="s">
        <v>800</v>
      </c>
      <c r="F267" s="343" t="s">
        <v>457</v>
      </c>
      <c r="G267" s="415">
        <f>G234</f>
        <v>45834</v>
      </c>
      <c r="H267" s="415">
        <f t="shared" si="33"/>
        <v>45849</v>
      </c>
      <c r="I267" s="415">
        <f>M267</f>
        <v>45869</v>
      </c>
      <c r="J267" s="343">
        <f>I267-G267</f>
        <v>35</v>
      </c>
      <c r="K267" s="343">
        <f ca="1">I1-H267</f>
        <v>38</v>
      </c>
      <c r="L267" s="343" t="s">
        <v>458</v>
      </c>
      <c r="M267" s="344">
        <v>45869</v>
      </c>
      <c r="N267" s="344"/>
      <c r="O267" s="345"/>
      <c r="P267" s="343">
        <f ca="1">I1-M267</f>
        <v>18</v>
      </c>
      <c r="Q267" s="343"/>
      <c r="R267" s="343"/>
      <c r="S267" s="343"/>
      <c r="T267" s="343"/>
      <c r="U267" s="343" t="s">
        <v>461</v>
      </c>
      <c r="V267" s="343"/>
    </row>
    <row r="268" spans="1:22" x14ac:dyDescent="0.35">
      <c r="A268" s="375"/>
      <c r="B268" s="330" t="s">
        <v>689</v>
      </c>
      <c r="C268" s="366" t="s">
        <v>758</v>
      </c>
      <c r="D268" s="367" t="s">
        <v>801</v>
      </c>
      <c r="E268" s="332" t="s">
        <v>802</v>
      </c>
      <c r="F268" s="332" t="s">
        <v>467</v>
      </c>
      <c r="G268" s="412">
        <v>45868</v>
      </c>
      <c r="H268" s="412">
        <f t="shared" si="33"/>
        <v>45883</v>
      </c>
      <c r="I268" s="416"/>
      <c r="J268" s="330">
        <f t="shared" ca="1" si="32"/>
        <v>19</v>
      </c>
      <c r="K268" s="332">
        <f ca="1">$I$1-H268</f>
        <v>4</v>
      </c>
      <c r="L268" s="257"/>
      <c r="M268" s="369"/>
      <c r="N268" s="369"/>
      <c r="O268" s="370"/>
      <c r="P268" s="332"/>
      <c r="Q268" s="332"/>
      <c r="R268" s="332"/>
      <c r="S268" s="332"/>
      <c r="T268" s="332"/>
      <c r="U268" s="332"/>
      <c r="V268" s="332"/>
    </row>
    <row r="269" spans="1:22" x14ac:dyDescent="0.35">
      <c r="A269" s="330">
        <f>A267+1</f>
        <v>56</v>
      </c>
      <c r="B269" s="330" t="s">
        <v>689</v>
      </c>
      <c r="C269" s="366" t="s">
        <v>758</v>
      </c>
      <c r="D269" s="367" t="s">
        <v>803</v>
      </c>
      <c r="E269" s="332" t="s">
        <v>804</v>
      </c>
      <c r="F269" s="332" t="s">
        <v>467</v>
      </c>
      <c r="G269" s="412">
        <v>45899</v>
      </c>
      <c r="H269" s="412">
        <f t="shared" si="33"/>
        <v>45914</v>
      </c>
      <c r="I269" s="416"/>
      <c r="J269" s="330">
        <f t="shared" ca="1" si="32"/>
        <v>-12</v>
      </c>
      <c r="K269" s="332">
        <f ca="1">$I$1-H269</f>
        <v>-27</v>
      </c>
      <c r="L269" s="257"/>
      <c r="M269" s="369"/>
      <c r="N269" s="369"/>
      <c r="O269" s="370"/>
      <c r="P269" s="332"/>
      <c r="Q269" s="332"/>
      <c r="R269" s="332"/>
      <c r="S269" s="332"/>
      <c r="T269" s="332"/>
      <c r="U269" s="332"/>
      <c r="V269" s="332"/>
    </row>
    <row r="270" spans="1:22" ht="21" x14ac:dyDescent="0.35">
      <c r="A270" s="330">
        <f t="shared" si="27"/>
        <v>57</v>
      </c>
      <c r="B270" s="330" t="s">
        <v>689</v>
      </c>
      <c r="C270" s="366" t="s">
        <v>758</v>
      </c>
      <c r="D270" s="367" t="s">
        <v>805</v>
      </c>
      <c r="E270" s="332" t="s">
        <v>806</v>
      </c>
      <c r="F270" s="332" t="s">
        <v>467</v>
      </c>
      <c r="G270" s="412">
        <v>45899</v>
      </c>
      <c r="H270" s="412">
        <f t="shared" si="33"/>
        <v>45914</v>
      </c>
      <c r="I270" s="416"/>
      <c r="J270" s="330">
        <f t="shared" ca="1" si="32"/>
        <v>-12</v>
      </c>
      <c r="K270" s="332">
        <f ca="1">$I$1-H270</f>
        <v>-27</v>
      </c>
      <c r="L270" s="257"/>
      <c r="M270" s="369"/>
      <c r="N270" s="369"/>
      <c r="O270" s="370"/>
      <c r="P270" s="332"/>
      <c r="Q270" s="332"/>
      <c r="R270" s="332"/>
      <c r="S270" s="332"/>
      <c r="T270" s="332"/>
      <c r="U270" s="332"/>
      <c r="V270" s="332"/>
    </row>
    <row r="271" spans="1:22" x14ac:dyDescent="0.35">
      <c r="A271" s="330">
        <f t="shared" si="27"/>
        <v>58</v>
      </c>
      <c r="B271" s="330" t="s">
        <v>689</v>
      </c>
      <c r="C271" s="366" t="s">
        <v>758</v>
      </c>
      <c r="D271" s="367" t="s">
        <v>807</v>
      </c>
      <c r="E271" s="332" t="s">
        <v>808</v>
      </c>
      <c r="F271" s="332" t="s">
        <v>457</v>
      </c>
      <c r="G271" s="412">
        <f>G239</f>
        <v>45848</v>
      </c>
      <c r="H271" s="412">
        <f t="shared" si="33"/>
        <v>45863</v>
      </c>
      <c r="I271" s="416"/>
      <c r="J271" s="330">
        <f t="shared" ca="1" si="32"/>
        <v>39</v>
      </c>
      <c r="K271" s="332">
        <f ca="1">$I$1-H271</f>
        <v>24</v>
      </c>
      <c r="L271" s="257"/>
      <c r="M271" s="369"/>
      <c r="N271" s="369"/>
      <c r="O271" s="370"/>
      <c r="P271" s="332"/>
      <c r="Q271" s="332"/>
      <c r="R271" s="332"/>
      <c r="S271" s="332"/>
      <c r="T271" s="332"/>
      <c r="U271" s="332"/>
      <c r="V271" s="332"/>
    </row>
    <row r="272" spans="1:22" x14ac:dyDescent="0.35">
      <c r="A272" s="339">
        <v>59</v>
      </c>
      <c r="B272" s="339" t="s">
        <v>689</v>
      </c>
      <c r="C272" s="340" t="s">
        <v>758</v>
      </c>
      <c r="D272" s="341" t="s">
        <v>809</v>
      </c>
      <c r="E272" s="339" t="s">
        <v>810</v>
      </c>
      <c r="F272" s="339" t="s">
        <v>457</v>
      </c>
      <c r="G272" s="427">
        <v>45793</v>
      </c>
      <c r="H272" s="427">
        <f t="shared" si="33"/>
        <v>45808</v>
      </c>
      <c r="I272" s="427">
        <v>45793</v>
      </c>
      <c r="J272" s="339">
        <f>I272-G272</f>
        <v>0</v>
      </c>
      <c r="K272" s="339">
        <f ca="1">I1-H272</f>
        <v>79</v>
      </c>
      <c r="L272" s="343" t="s">
        <v>458</v>
      </c>
      <c r="M272" s="344">
        <v>45793</v>
      </c>
      <c r="N272" s="344">
        <v>45807</v>
      </c>
      <c r="O272" s="345" t="s">
        <v>459</v>
      </c>
      <c r="P272" s="343">
        <f>N272-M272</f>
        <v>14</v>
      </c>
      <c r="Q272" s="343">
        <f ca="1">I1-N272</f>
        <v>80</v>
      </c>
      <c r="R272" s="339"/>
      <c r="S272" s="339" t="s">
        <v>482</v>
      </c>
      <c r="T272" s="339" t="str">
        <f>O272</f>
        <v>CAT - III</v>
      </c>
      <c r="U272" s="339" t="s">
        <v>464</v>
      </c>
      <c r="V272" s="339">
        <f ca="1">I1-N273</f>
        <v>24</v>
      </c>
    </row>
    <row r="273" spans="1:22" x14ac:dyDescent="0.35">
      <c r="A273" s="402"/>
      <c r="B273" s="402"/>
      <c r="C273" s="403"/>
      <c r="D273" s="404"/>
      <c r="E273" s="386"/>
      <c r="F273" s="386"/>
      <c r="G273" s="386"/>
      <c r="H273" s="386"/>
      <c r="I273" s="428"/>
      <c r="J273" s="386"/>
      <c r="K273" s="386"/>
      <c r="L273" s="343" t="s">
        <v>460</v>
      </c>
      <c r="M273" s="344">
        <v>45862</v>
      </c>
      <c r="N273" s="344">
        <v>45863</v>
      </c>
      <c r="O273" s="345" t="s">
        <v>459</v>
      </c>
      <c r="P273" s="343">
        <f>M273-N272</f>
        <v>55</v>
      </c>
      <c r="Q273" s="343">
        <f>N273-M273</f>
        <v>1</v>
      </c>
      <c r="R273" s="339"/>
      <c r="S273" s="386"/>
      <c r="T273" s="386"/>
      <c r="U273" s="386"/>
      <c r="V273" s="386"/>
    </row>
    <row r="274" spans="1:22" x14ac:dyDescent="0.35">
      <c r="A274" s="330">
        <v>60</v>
      </c>
      <c r="B274" s="330" t="s">
        <v>689</v>
      </c>
      <c r="C274" s="366" t="s">
        <v>758</v>
      </c>
      <c r="D274" s="367" t="s">
        <v>811</v>
      </c>
      <c r="E274" s="332" t="s">
        <v>812</v>
      </c>
      <c r="F274" s="426" t="s">
        <v>457</v>
      </c>
      <c r="G274" s="412">
        <v>45900</v>
      </c>
      <c r="H274" s="412">
        <f>G274+15</f>
        <v>45915</v>
      </c>
      <c r="I274" s="416"/>
      <c r="J274" s="330">
        <f t="shared" ref="J274" ca="1" si="34">$I$1-G274</f>
        <v>-13</v>
      </c>
      <c r="K274" s="332">
        <f ca="1">$I$1-H274</f>
        <v>-28</v>
      </c>
      <c r="L274" s="257"/>
      <c r="M274" s="369"/>
      <c r="N274" s="369"/>
      <c r="O274" s="370"/>
      <c r="P274" s="332"/>
      <c r="Q274" s="332"/>
      <c r="R274" s="332"/>
      <c r="S274" s="332"/>
      <c r="T274" s="332"/>
      <c r="U274" s="332"/>
      <c r="V274" s="332"/>
    </row>
    <row r="275" spans="1:22" x14ac:dyDescent="0.35">
      <c r="A275" s="343">
        <v>61</v>
      </c>
      <c r="B275" s="343" t="s">
        <v>689</v>
      </c>
      <c r="C275" s="373" t="s">
        <v>758</v>
      </c>
      <c r="D275" s="374" t="s">
        <v>813</v>
      </c>
      <c r="E275" s="343" t="s">
        <v>814</v>
      </c>
      <c r="F275" s="429" t="s">
        <v>457</v>
      </c>
      <c r="G275" s="415">
        <f>G210</f>
        <v>45809</v>
      </c>
      <c r="H275" s="415">
        <f>G275+15</f>
        <v>45824</v>
      </c>
      <c r="I275" s="415">
        <f>M275</f>
        <v>45878</v>
      </c>
      <c r="J275" s="343">
        <f>I275-G275</f>
        <v>69</v>
      </c>
      <c r="K275" s="429">
        <f ca="1">I1-H275</f>
        <v>63</v>
      </c>
      <c r="L275" s="343" t="s">
        <v>458</v>
      </c>
      <c r="M275" s="344">
        <v>45878</v>
      </c>
      <c r="N275" s="344"/>
      <c r="O275" s="345"/>
      <c r="P275" s="343"/>
      <c r="Q275" s="343"/>
      <c r="R275" s="343"/>
      <c r="S275" s="343"/>
      <c r="T275" s="343"/>
      <c r="U275" s="343" t="s">
        <v>461</v>
      </c>
      <c r="V275" s="343"/>
    </row>
    <row r="276" spans="1:22" x14ac:dyDescent="0.35">
      <c r="A276" s="350">
        <v>62</v>
      </c>
      <c r="B276" s="350" t="s">
        <v>689</v>
      </c>
      <c r="C276" s="351" t="s">
        <v>758</v>
      </c>
      <c r="D276" s="352" t="s">
        <v>815</v>
      </c>
      <c r="E276" s="350" t="s">
        <v>814</v>
      </c>
      <c r="F276" s="350" t="s">
        <v>457</v>
      </c>
      <c r="G276" s="410">
        <v>45803</v>
      </c>
      <c r="H276" s="410">
        <f>G276+15</f>
        <v>45818</v>
      </c>
      <c r="I276" s="410">
        <v>45803</v>
      </c>
      <c r="J276" s="350">
        <f>I276-G276</f>
        <v>0</v>
      </c>
      <c r="K276" s="350">
        <f>R276-H276</f>
        <v>21</v>
      </c>
      <c r="L276" s="354" t="s">
        <v>458</v>
      </c>
      <c r="M276" s="355">
        <v>45803</v>
      </c>
      <c r="N276" s="355">
        <v>45810</v>
      </c>
      <c r="O276" s="356" t="s">
        <v>459</v>
      </c>
      <c r="P276" s="354">
        <f>N276-M276</f>
        <v>7</v>
      </c>
      <c r="Q276" s="354">
        <f>M277-N276</f>
        <v>8</v>
      </c>
      <c r="R276" s="353">
        <f>N278</f>
        <v>45839</v>
      </c>
      <c r="S276" s="350" t="s">
        <v>482</v>
      </c>
      <c r="T276" s="350" t="str">
        <f>O278</f>
        <v>CAT - I</v>
      </c>
      <c r="U276" s="350" t="s">
        <v>397</v>
      </c>
      <c r="V276" s="350">
        <f ca="1">V1-N277</f>
        <v>67</v>
      </c>
    </row>
    <row r="277" spans="1:22" x14ac:dyDescent="0.35">
      <c r="A277" s="346"/>
      <c r="B277" s="346"/>
      <c r="C277" s="347"/>
      <c r="D277" s="348"/>
      <c r="E277" s="346"/>
      <c r="F277" s="346"/>
      <c r="G277" s="417"/>
      <c r="H277" s="417"/>
      <c r="I277" s="417"/>
      <c r="J277" s="346"/>
      <c r="K277" s="346"/>
      <c r="L277" s="354" t="s">
        <v>460</v>
      </c>
      <c r="M277" s="355">
        <v>45818</v>
      </c>
      <c r="N277" s="355">
        <v>45820</v>
      </c>
      <c r="O277" s="356" t="s">
        <v>459</v>
      </c>
      <c r="P277" s="354">
        <f>N277-M277</f>
        <v>2</v>
      </c>
      <c r="Q277" s="354">
        <f ca="1">I1-N277</f>
        <v>67</v>
      </c>
      <c r="R277" s="346"/>
      <c r="S277" s="346"/>
      <c r="T277" s="346"/>
      <c r="U277" s="346"/>
      <c r="V277" s="346"/>
    </row>
    <row r="278" spans="1:22" x14ac:dyDescent="0.35">
      <c r="A278" s="346"/>
      <c r="B278" s="346"/>
      <c r="C278" s="347"/>
      <c r="D278" s="348"/>
      <c r="E278" s="346"/>
      <c r="F278" s="346"/>
      <c r="G278" s="417"/>
      <c r="H278" s="417"/>
      <c r="I278" s="417"/>
      <c r="J278" s="346"/>
      <c r="K278" s="346"/>
      <c r="L278" s="354" t="s">
        <v>462</v>
      </c>
      <c r="M278" s="355">
        <v>45835</v>
      </c>
      <c r="N278" s="355">
        <v>45839</v>
      </c>
      <c r="O278" s="356" t="s">
        <v>472</v>
      </c>
      <c r="P278" s="354"/>
      <c r="Q278" s="354"/>
      <c r="R278" s="346"/>
      <c r="S278" s="346"/>
      <c r="T278" s="346"/>
      <c r="U278" s="346"/>
      <c r="V278" s="330"/>
    </row>
  </sheetData>
  <mergeCells count="841">
    <mergeCell ref="T276:T278"/>
    <mergeCell ref="U276:U278"/>
    <mergeCell ref="V276:V277"/>
    <mergeCell ref="H276:H278"/>
    <mergeCell ref="I276:I278"/>
    <mergeCell ref="J276:J278"/>
    <mergeCell ref="K276:K278"/>
    <mergeCell ref="R276:R278"/>
    <mergeCell ref="S276:S278"/>
    <mergeCell ref="T272:T273"/>
    <mergeCell ref="U272:U273"/>
    <mergeCell ref="V272:V273"/>
    <mergeCell ref="A276:A278"/>
    <mergeCell ref="B276:B278"/>
    <mergeCell ref="C276:C278"/>
    <mergeCell ref="D276:D278"/>
    <mergeCell ref="E276:E278"/>
    <mergeCell ref="F276:F278"/>
    <mergeCell ref="G276:G278"/>
    <mergeCell ref="H272:H273"/>
    <mergeCell ref="I272:I273"/>
    <mergeCell ref="J272:J273"/>
    <mergeCell ref="K272:K273"/>
    <mergeCell ref="R272:R273"/>
    <mergeCell ref="S272:S273"/>
    <mergeCell ref="T244:T247"/>
    <mergeCell ref="U244:U247"/>
    <mergeCell ref="V244:V247"/>
    <mergeCell ref="A272:A273"/>
    <mergeCell ref="B272:B273"/>
    <mergeCell ref="C272:C273"/>
    <mergeCell ref="D272:D273"/>
    <mergeCell ref="E272:E273"/>
    <mergeCell ref="F272:F273"/>
    <mergeCell ref="G272:G273"/>
    <mergeCell ref="H244:H247"/>
    <mergeCell ref="I244:I247"/>
    <mergeCell ref="J244:J247"/>
    <mergeCell ref="K244:K247"/>
    <mergeCell ref="R244:R247"/>
    <mergeCell ref="S244:S247"/>
    <mergeCell ref="T241:T243"/>
    <mergeCell ref="U241:U243"/>
    <mergeCell ref="V241:V243"/>
    <mergeCell ref="A244:A247"/>
    <mergeCell ref="B244:B247"/>
    <mergeCell ref="C244:C247"/>
    <mergeCell ref="D244:D247"/>
    <mergeCell ref="E244:E247"/>
    <mergeCell ref="F244:F247"/>
    <mergeCell ref="G244:G247"/>
    <mergeCell ref="H241:H243"/>
    <mergeCell ref="I241:I243"/>
    <mergeCell ref="J241:J243"/>
    <mergeCell ref="K241:K243"/>
    <mergeCell ref="R241:R243"/>
    <mergeCell ref="S241:S243"/>
    <mergeCell ref="I218:I219"/>
    <mergeCell ref="J218:J219"/>
    <mergeCell ref="K218:K219"/>
    <mergeCell ref="A241:A243"/>
    <mergeCell ref="B241:B243"/>
    <mergeCell ref="C241:C243"/>
    <mergeCell ref="D241:D243"/>
    <mergeCell ref="E241:E243"/>
    <mergeCell ref="F241:F243"/>
    <mergeCell ref="G241:G243"/>
    <mergeCell ref="U216:U217"/>
    <mergeCell ref="V216:V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H216:H217"/>
    <mergeCell ref="I216:I217"/>
    <mergeCell ref="J216:J217"/>
    <mergeCell ref="K216:K217"/>
    <mergeCell ref="S216:S217"/>
    <mergeCell ref="T216:T217"/>
    <mergeCell ref="T213:T215"/>
    <mergeCell ref="U213:U215"/>
    <mergeCell ref="V213:V214"/>
    <mergeCell ref="A216:A217"/>
    <mergeCell ref="B216:B217"/>
    <mergeCell ref="C216:C217"/>
    <mergeCell ref="D216:D217"/>
    <mergeCell ref="E216:E217"/>
    <mergeCell ref="F216:F217"/>
    <mergeCell ref="G216:G217"/>
    <mergeCell ref="H213:H215"/>
    <mergeCell ref="I213:I215"/>
    <mergeCell ref="J213:J215"/>
    <mergeCell ref="K213:K215"/>
    <mergeCell ref="R213:R215"/>
    <mergeCell ref="S213:S215"/>
    <mergeCell ref="T207:T208"/>
    <mergeCell ref="U207:U208"/>
    <mergeCell ref="V207:V208"/>
    <mergeCell ref="A213:A215"/>
    <mergeCell ref="B213:B215"/>
    <mergeCell ref="C213:C215"/>
    <mergeCell ref="D213:D215"/>
    <mergeCell ref="E213:E215"/>
    <mergeCell ref="F213:F215"/>
    <mergeCell ref="G213:G215"/>
    <mergeCell ref="H207:H208"/>
    <mergeCell ref="I207:I208"/>
    <mergeCell ref="J207:J208"/>
    <mergeCell ref="K207:K208"/>
    <mergeCell ref="R207:R208"/>
    <mergeCell ref="S207:S208"/>
    <mergeCell ref="T205:T206"/>
    <mergeCell ref="U205:U206"/>
    <mergeCell ref="V205:V206"/>
    <mergeCell ref="A207:A208"/>
    <mergeCell ref="B207:B208"/>
    <mergeCell ref="C207:C208"/>
    <mergeCell ref="D207:D208"/>
    <mergeCell ref="E207:E208"/>
    <mergeCell ref="F207:F208"/>
    <mergeCell ref="G207:G208"/>
    <mergeCell ref="G205:G206"/>
    <mergeCell ref="H205:H206"/>
    <mergeCell ref="I205:I206"/>
    <mergeCell ref="J205:J206"/>
    <mergeCell ref="K205:K206"/>
    <mergeCell ref="S205:S206"/>
    <mergeCell ref="S202:S203"/>
    <mergeCell ref="T202:T203"/>
    <mergeCell ref="U202:U203"/>
    <mergeCell ref="V202:V203"/>
    <mergeCell ref="A205:A206"/>
    <mergeCell ref="B205:B206"/>
    <mergeCell ref="C205:C206"/>
    <mergeCell ref="D205:D206"/>
    <mergeCell ref="E205:E206"/>
    <mergeCell ref="F205:F206"/>
    <mergeCell ref="G202:G203"/>
    <mergeCell ref="H202:H203"/>
    <mergeCell ref="I202:I203"/>
    <mergeCell ref="J202:J203"/>
    <mergeCell ref="K202:K203"/>
    <mergeCell ref="R202:R203"/>
    <mergeCell ref="S199:S201"/>
    <mergeCell ref="T199:T201"/>
    <mergeCell ref="U199:U201"/>
    <mergeCell ref="V199:V201"/>
    <mergeCell ref="A202:A203"/>
    <mergeCell ref="B202:B203"/>
    <mergeCell ref="C202:C203"/>
    <mergeCell ref="D202:D203"/>
    <mergeCell ref="E202:E203"/>
    <mergeCell ref="F202:F203"/>
    <mergeCell ref="G199:G201"/>
    <mergeCell ref="H199:H201"/>
    <mergeCell ref="I199:I201"/>
    <mergeCell ref="J199:J201"/>
    <mergeCell ref="K199:K201"/>
    <mergeCell ref="R199:R201"/>
    <mergeCell ref="S194:S196"/>
    <mergeCell ref="T194:T196"/>
    <mergeCell ref="U194:U196"/>
    <mergeCell ref="V194:V196"/>
    <mergeCell ref="A199:A200"/>
    <mergeCell ref="B199:B201"/>
    <mergeCell ref="C199:C201"/>
    <mergeCell ref="D199:D201"/>
    <mergeCell ref="E199:E201"/>
    <mergeCell ref="F199:F201"/>
    <mergeCell ref="G194:G196"/>
    <mergeCell ref="H194:H196"/>
    <mergeCell ref="I194:I196"/>
    <mergeCell ref="J194:J196"/>
    <mergeCell ref="K194:K196"/>
    <mergeCell ref="R194:R196"/>
    <mergeCell ref="S191:S193"/>
    <mergeCell ref="T191:T193"/>
    <mergeCell ref="U191:U193"/>
    <mergeCell ref="V191:V193"/>
    <mergeCell ref="A194:A196"/>
    <mergeCell ref="B194:B196"/>
    <mergeCell ref="C194:C196"/>
    <mergeCell ref="D194:D196"/>
    <mergeCell ref="E194:E196"/>
    <mergeCell ref="F194:F196"/>
    <mergeCell ref="G191:G193"/>
    <mergeCell ref="H191:H193"/>
    <mergeCell ref="I191:I193"/>
    <mergeCell ref="J191:J193"/>
    <mergeCell ref="K191:K193"/>
    <mergeCell ref="R191:R193"/>
    <mergeCell ref="S189:S190"/>
    <mergeCell ref="T189:T190"/>
    <mergeCell ref="U189:U190"/>
    <mergeCell ref="V189:V190"/>
    <mergeCell ref="A191:A193"/>
    <mergeCell ref="B191:B193"/>
    <mergeCell ref="C191:C193"/>
    <mergeCell ref="D191:D193"/>
    <mergeCell ref="E191:E193"/>
    <mergeCell ref="F191:F193"/>
    <mergeCell ref="G189:G190"/>
    <mergeCell ref="H189:H190"/>
    <mergeCell ref="I189:I190"/>
    <mergeCell ref="J189:J190"/>
    <mergeCell ref="K189:K190"/>
    <mergeCell ref="R189:R190"/>
    <mergeCell ref="A189:A190"/>
    <mergeCell ref="B189:B190"/>
    <mergeCell ref="C189:C190"/>
    <mergeCell ref="D189:D190"/>
    <mergeCell ref="E189:E190"/>
    <mergeCell ref="F189:F190"/>
    <mergeCell ref="J186:J188"/>
    <mergeCell ref="K186:K188"/>
    <mergeCell ref="R186:R188"/>
    <mergeCell ref="S186:S188"/>
    <mergeCell ref="T186:T188"/>
    <mergeCell ref="U186:U188"/>
    <mergeCell ref="V182:V183"/>
    <mergeCell ref="A186:A188"/>
    <mergeCell ref="B186:B188"/>
    <mergeCell ref="C186:C188"/>
    <mergeCell ref="D186:D188"/>
    <mergeCell ref="E186:E188"/>
    <mergeCell ref="F186:F188"/>
    <mergeCell ref="G186:G188"/>
    <mergeCell ref="H186:H188"/>
    <mergeCell ref="I186:I188"/>
    <mergeCell ref="I182:I183"/>
    <mergeCell ref="J182:J183"/>
    <mergeCell ref="K182:K183"/>
    <mergeCell ref="S182:S183"/>
    <mergeCell ref="T182:T183"/>
    <mergeCell ref="U182:U183"/>
    <mergeCell ref="U176:U180"/>
    <mergeCell ref="V176:V180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76:I180"/>
    <mergeCell ref="J176:J180"/>
    <mergeCell ref="K176:K180"/>
    <mergeCell ref="R176:R180"/>
    <mergeCell ref="S176:S180"/>
    <mergeCell ref="T176:T180"/>
    <mergeCell ref="U174:U175"/>
    <mergeCell ref="V174:V175"/>
    <mergeCell ref="A176:A180"/>
    <mergeCell ref="B176:B180"/>
    <mergeCell ref="C176:C180"/>
    <mergeCell ref="D176:D180"/>
    <mergeCell ref="E176:E180"/>
    <mergeCell ref="F176:F180"/>
    <mergeCell ref="G176:G180"/>
    <mergeCell ref="H176:H180"/>
    <mergeCell ref="I174:I175"/>
    <mergeCell ref="J174:J175"/>
    <mergeCell ref="K174:K175"/>
    <mergeCell ref="R174:R175"/>
    <mergeCell ref="S174:S175"/>
    <mergeCell ref="T174:T175"/>
    <mergeCell ref="U152:U154"/>
    <mergeCell ref="V152:V154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H152:H154"/>
    <mergeCell ref="I152:I154"/>
    <mergeCell ref="J152:J154"/>
    <mergeCell ref="K152:K154"/>
    <mergeCell ref="S152:S154"/>
    <mergeCell ref="T152:T154"/>
    <mergeCell ref="T148:T149"/>
    <mergeCell ref="U148:U149"/>
    <mergeCell ref="V148:V149"/>
    <mergeCell ref="A152:A154"/>
    <mergeCell ref="B152:B154"/>
    <mergeCell ref="C152:C154"/>
    <mergeCell ref="D152:D154"/>
    <mergeCell ref="E152:E154"/>
    <mergeCell ref="F152:F154"/>
    <mergeCell ref="G152:G154"/>
    <mergeCell ref="G148:G149"/>
    <mergeCell ref="H148:H149"/>
    <mergeCell ref="I148:I149"/>
    <mergeCell ref="J148:J149"/>
    <mergeCell ref="K148:K149"/>
    <mergeCell ref="S148:S149"/>
    <mergeCell ref="S144:S146"/>
    <mergeCell ref="T144:T146"/>
    <mergeCell ref="U144:U146"/>
    <mergeCell ref="V144:V145"/>
    <mergeCell ref="A148:A149"/>
    <mergeCell ref="B148:B149"/>
    <mergeCell ref="C148:C149"/>
    <mergeCell ref="D148:D149"/>
    <mergeCell ref="E148:E149"/>
    <mergeCell ref="F148:F149"/>
    <mergeCell ref="G144:G147"/>
    <mergeCell ref="H144:H147"/>
    <mergeCell ref="I144:I147"/>
    <mergeCell ref="J144:J147"/>
    <mergeCell ref="K144:K147"/>
    <mergeCell ref="R144:R146"/>
    <mergeCell ref="S140:S143"/>
    <mergeCell ref="T140:T143"/>
    <mergeCell ref="U140:U143"/>
    <mergeCell ref="V140:V143"/>
    <mergeCell ref="A144:A147"/>
    <mergeCell ref="B144:B147"/>
    <mergeCell ref="C144:C147"/>
    <mergeCell ref="D144:D147"/>
    <mergeCell ref="E144:E147"/>
    <mergeCell ref="F144:F147"/>
    <mergeCell ref="G140:G143"/>
    <mergeCell ref="H140:H143"/>
    <mergeCell ref="I140:I143"/>
    <mergeCell ref="J140:J143"/>
    <mergeCell ref="K140:K143"/>
    <mergeCell ref="R140:R143"/>
    <mergeCell ref="R138:R139"/>
    <mergeCell ref="S138:S139"/>
    <mergeCell ref="T138:T139"/>
    <mergeCell ref="U138:U139"/>
    <mergeCell ref="A140:A143"/>
    <mergeCell ref="B140:B143"/>
    <mergeCell ref="C140:C143"/>
    <mergeCell ref="D140:D143"/>
    <mergeCell ref="E140:E143"/>
    <mergeCell ref="F140:F143"/>
    <mergeCell ref="F138:F139"/>
    <mergeCell ref="G138:G139"/>
    <mergeCell ref="H138:H139"/>
    <mergeCell ref="I138:I139"/>
    <mergeCell ref="J138:J139"/>
    <mergeCell ref="K138:K139"/>
    <mergeCell ref="R136:R137"/>
    <mergeCell ref="S136:S137"/>
    <mergeCell ref="T136:T137"/>
    <mergeCell ref="U136:U137"/>
    <mergeCell ref="V136:V137"/>
    <mergeCell ref="A138:A139"/>
    <mergeCell ref="B138:B139"/>
    <mergeCell ref="C138:C139"/>
    <mergeCell ref="D138:D139"/>
    <mergeCell ref="E138:E139"/>
    <mergeCell ref="F136:F137"/>
    <mergeCell ref="G136:G137"/>
    <mergeCell ref="H136:H137"/>
    <mergeCell ref="I136:I137"/>
    <mergeCell ref="J136:J137"/>
    <mergeCell ref="K136:K137"/>
    <mergeCell ref="R132:R135"/>
    <mergeCell ref="S132:S135"/>
    <mergeCell ref="T132:T135"/>
    <mergeCell ref="U132:U135"/>
    <mergeCell ref="V132:V135"/>
    <mergeCell ref="A136:A137"/>
    <mergeCell ref="B136:B137"/>
    <mergeCell ref="C136:C137"/>
    <mergeCell ref="D136:D137"/>
    <mergeCell ref="E136:E137"/>
    <mergeCell ref="F132:F135"/>
    <mergeCell ref="G132:G135"/>
    <mergeCell ref="H132:H135"/>
    <mergeCell ref="I132:I135"/>
    <mergeCell ref="J132:J135"/>
    <mergeCell ref="K132:K135"/>
    <mergeCell ref="R127:R128"/>
    <mergeCell ref="S127:S128"/>
    <mergeCell ref="T127:T128"/>
    <mergeCell ref="U127:U128"/>
    <mergeCell ref="V127:V128"/>
    <mergeCell ref="A132:A135"/>
    <mergeCell ref="B132:B135"/>
    <mergeCell ref="C132:C135"/>
    <mergeCell ref="D132:D135"/>
    <mergeCell ref="E132:E135"/>
    <mergeCell ref="F127:F128"/>
    <mergeCell ref="G127:G128"/>
    <mergeCell ref="H127:H128"/>
    <mergeCell ref="I127:I128"/>
    <mergeCell ref="J127:J128"/>
    <mergeCell ref="K127:K128"/>
    <mergeCell ref="R123:R126"/>
    <mergeCell ref="S123:S126"/>
    <mergeCell ref="T123:T126"/>
    <mergeCell ref="U123:U126"/>
    <mergeCell ref="V123:V126"/>
    <mergeCell ref="A127:A128"/>
    <mergeCell ref="B127:B128"/>
    <mergeCell ref="C127:C128"/>
    <mergeCell ref="D127:D128"/>
    <mergeCell ref="E127:E128"/>
    <mergeCell ref="F123:F126"/>
    <mergeCell ref="G123:G126"/>
    <mergeCell ref="H123:H126"/>
    <mergeCell ref="I123:I126"/>
    <mergeCell ref="J123:J126"/>
    <mergeCell ref="K123:K126"/>
    <mergeCell ref="R102:R103"/>
    <mergeCell ref="S102:S103"/>
    <mergeCell ref="T102:T103"/>
    <mergeCell ref="U102:U103"/>
    <mergeCell ref="V102:V103"/>
    <mergeCell ref="A123:A126"/>
    <mergeCell ref="B123:B126"/>
    <mergeCell ref="C123:C126"/>
    <mergeCell ref="D123:D126"/>
    <mergeCell ref="E123:E126"/>
    <mergeCell ref="G102:G103"/>
    <mergeCell ref="H102:H103"/>
    <mergeCell ref="I102:I103"/>
    <mergeCell ref="J102:J103"/>
    <mergeCell ref="K102:K103"/>
    <mergeCell ref="L102:L103"/>
    <mergeCell ref="S99:S101"/>
    <mergeCell ref="T99:T101"/>
    <mergeCell ref="U99:U101"/>
    <mergeCell ref="V99:V101"/>
    <mergeCell ref="A102:A103"/>
    <mergeCell ref="B102:B103"/>
    <mergeCell ref="C102:C103"/>
    <mergeCell ref="D102:D103"/>
    <mergeCell ref="E102:E103"/>
    <mergeCell ref="F102:F103"/>
    <mergeCell ref="G99:G101"/>
    <mergeCell ref="H99:H101"/>
    <mergeCell ref="I99:I101"/>
    <mergeCell ref="J99:J101"/>
    <mergeCell ref="K99:K101"/>
    <mergeCell ref="R99:R101"/>
    <mergeCell ref="S97:S98"/>
    <mergeCell ref="T97:T98"/>
    <mergeCell ref="U97:U98"/>
    <mergeCell ref="V97:V98"/>
    <mergeCell ref="A99:A101"/>
    <mergeCell ref="B99:B101"/>
    <mergeCell ref="C99:C101"/>
    <mergeCell ref="D99:D101"/>
    <mergeCell ref="E99:E101"/>
    <mergeCell ref="F99:F101"/>
    <mergeCell ref="G97:G98"/>
    <mergeCell ref="H97:H98"/>
    <mergeCell ref="I97:I98"/>
    <mergeCell ref="J97:J98"/>
    <mergeCell ref="K97:K98"/>
    <mergeCell ref="R97:R98"/>
    <mergeCell ref="J88:J89"/>
    <mergeCell ref="K88:K89"/>
    <mergeCell ref="S88:S89"/>
    <mergeCell ref="U88:U89"/>
    <mergeCell ref="A97:A98"/>
    <mergeCell ref="B97:B98"/>
    <mergeCell ref="C97:C98"/>
    <mergeCell ref="D97:D98"/>
    <mergeCell ref="E97:E98"/>
    <mergeCell ref="F97:F98"/>
    <mergeCell ref="U86:U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H86:H87"/>
    <mergeCell ref="I86:I87"/>
    <mergeCell ref="J86:J87"/>
    <mergeCell ref="K86:K87"/>
    <mergeCell ref="S86:S87"/>
    <mergeCell ref="T86:T87"/>
    <mergeCell ref="B86:B87"/>
    <mergeCell ref="C86:C87"/>
    <mergeCell ref="D86:D87"/>
    <mergeCell ref="E86:E87"/>
    <mergeCell ref="F86:F87"/>
    <mergeCell ref="G86:G87"/>
    <mergeCell ref="I84:I85"/>
    <mergeCell ref="J84:J85"/>
    <mergeCell ref="K84:K85"/>
    <mergeCell ref="S84:S85"/>
    <mergeCell ref="T84:T85"/>
    <mergeCell ref="U84:U85"/>
    <mergeCell ref="T82:T83"/>
    <mergeCell ref="U82:U83"/>
    <mergeCell ref="A84:A85"/>
    <mergeCell ref="B84:B85"/>
    <mergeCell ref="C84:C85"/>
    <mergeCell ref="D84:D85"/>
    <mergeCell ref="E84:E85"/>
    <mergeCell ref="F84:F85"/>
    <mergeCell ref="G84:G85"/>
    <mergeCell ref="H84:H85"/>
    <mergeCell ref="G82:G83"/>
    <mergeCell ref="H82:H83"/>
    <mergeCell ref="I82:I83"/>
    <mergeCell ref="J82:J83"/>
    <mergeCell ref="K82:K83"/>
    <mergeCell ref="S82:S83"/>
    <mergeCell ref="S78:S81"/>
    <mergeCell ref="T78:T81"/>
    <mergeCell ref="U78:U81"/>
    <mergeCell ref="V78:V80"/>
    <mergeCell ref="A82:A83"/>
    <mergeCell ref="B82:B83"/>
    <mergeCell ref="C82:C83"/>
    <mergeCell ref="D82:D83"/>
    <mergeCell ref="E82:E83"/>
    <mergeCell ref="F82:F83"/>
    <mergeCell ref="G78:G81"/>
    <mergeCell ref="H78:H81"/>
    <mergeCell ref="I78:I81"/>
    <mergeCell ref="J78:J81"/>
    <mergeCell ref="K78:K81"/>
    <mergeCell ref="R78:R81"/>
    <mergeCell ref="A78:A81"/>
    <mergeCell ref="B78:B81"/>
    <mergeCell ref="C78:C81"/>
    <mergeCell ref="D78:D81"/>
    <mergeCell ref="E78:E81"/>
    <mergeCell ref="F78:F81"/>
    <mergeCell ref="J75:J77"/>
    <mergeCell ref="K75:K77"/>
    <mergeCell ref="R75:R77"/>
    <mergeCell ref="S75:S77"/>
    <mergeCell ref="T75:T77"/>
    <mergeCell ref="U75:U77"/>
    <mergeCell ref="V72:V74"/>
    <mergeCell ref="A75:A77"/>
    <mergeCell ref="B75:B77"/>
    <mergeCell ref="C75:C77"/>
    <mergeCell ref="D75:D77"/>
    <mergeCell ref="E75:E77"/>
    <mergeCell ref="F75:F77"/>
    <mergeCell ref="G75:G77"/>
    <mergeCell ref="H75:H77"/>
    <mergeCell ref="I75:I77"/>
    <mergeCell ref="J72:J74"/>
    <mergeCell ref="K72:K74"/>
    <mergeCell ref="R72:R74"/>
    <mergeCell ref="S72:S74"/>
    <mergeCell ref="T72:T74"/>
    <mergeCell ref="U72:U74"/>
    <mergeCell ref="V64:V65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76 F3 F266:F272 F220:F241 F7 F184:F187 F155:F174 F44 F26:F29 F136 F194 F15 F99 F216 F46 F127 F86:F88 F189:F191 F9:F10 F32 F12:F13 F138 F197:F199 F104:F123 F84 F52 F23 F17:F19 F54:F57 F34 F36 F207 F140 F204:F205 F218 F78 F209:F213 F62:F72 F150:F152 F202 F129:F132 F248:F264 F181:F182 F244 F148 F82 F144 F102 F90:F97" xr:uid="{6CD805D4-6AA3-4FE4-9339-985320B84F15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C15" sqref="C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833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823</v>
      </c>
      <c r="D10" s="244">
        <v>45757</v>
      </c>
      <c r="E10" s="244">
        <v>45838</v>
      </c>
      <c r="F10" s="246" t="s">
        <v>7</v>
      </c>
    </row>
    <row r="11" spans="1:6" x14ac:dyDescent="0.4">
      <c r="A11" s="247">
        <v>10</v>
      </c>
      <c r="B11" s="254" t="s">
        <v>352</v>
      </c>
      <c r="C11" s="256"/>
      <c r="D11" s="251">
        <v>45783</v>
      </c>
      <c r="E11" s="251">
        <v>45845</v>
      </c>
      <c r="F11" s="252"/>
    </row>
    <row r="12" spans="1:6" x14ac:dyDescent="0.4">
      <c r="A12" s="247">
        <v>11</v>
      </c>
      <c r="B12" s="254" t="s">
        <v>353</v>
      </c>
      <c r="C12" s="256"/>
      <c r="D12" s="251">
        <v>45768</v>
      </c>
      <c r="E12" s="251">
        <v>45845</v>
      </c>
      <c r="F12" s="252"/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820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831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832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23" sqref="E2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818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822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824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825</v>
      </c>
      <c r="C28" s="239"/>
      <c r="D28" s="238">
        <v>45836</v>
      </c>
      <c r="E28" s="237" t="s">
        <v>817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270" t="s">
        <v>94</v>
      </c>
      <c r="C1" s="271"/>
      <c r="D1" s="272"/>
      <c r="E1" s="22"/>
    </row>
    <row r="2" spans="1:351" s="23" customFormat="1" x14ac:dyDescent="0.35">
      <c r="A2" s="24" t="s">
        <v>64</v>
      </c>
      <c r="B2" s="273" t="s">
        <v>95</v>
      </c>
      <c r="C2" s="274"/>
      <c r="D2" s="275"/>
      <c r="E2" s="22"/>
    </row>
    <row r="3" spans="1:351" s="23" customFormat="1" ht="16.5" thickBot="1" x14ac:dyDescent="0.4">
      <c r="A3" s="25" t="s">
        <v>65</v>
      </c>
      <c r="B3" s="276">
        <f>'[1]Project Overview'!P1</f>
        <v>45702</v>
      </c>
      <c r="C3" s="277"/>
      <c r="D3" s="27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279" t="s">
        <v>66</v>
      </c>
      <c r="B5" s="279" t="s">
        <v>67</v>
      </c>
      <c r="C5" s="280" t="s">
        <v>68</v>
      </c>
      <c r="D5" s="279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279"/>
      <c r="B6" s="279"/>
      <c r="C6" s="281"/>
      <c r="D6" s="279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282"/>
      <c r="C8" s="282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283"/>
      <c r="C9" s="283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282"/>
      <c r="C10" s="282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283"/>
      <c r="C11" s="283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284"/>
      <c r="C13" s="284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284"/>
      <c r="C14" s="284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284"/>
      <c r="C15" s="284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284"/>
      <c r="C16" s="284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284"/>
      <c r="C17" s="284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284"/>
      <c r="C18" s="284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284"/>
      <c r="C19" s="284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284"/>
      <c r="C20" s="284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284"/>
      <c r="C21" s="284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284"/>
      <c r="C22" s="284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284"/>
      <c r="C23" s="284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284"/>
      <c r="C24" s="284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284"/>
      <c r="C25" s="284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284"/>
      <c r="C26" s="284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284"/>
      <c r="C27" s="284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284"/>
      <c r="C28" s="284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284"/>
      <c r="C29" s="284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284"/>
      <c r="C30" s="284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284"/>
      <c r="C31" s="284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284"/>
      <c r="C32" s="284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284"/>
      <c r="C33" s="284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285"/>
      <c r="C34" s="285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286"/>
      <c r="C35" s="286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286"/>
      <c r="C36" s="286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284"/>
      <c r="C37" s="284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284"/>
      <c r="C38" s="284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284"/>
      <c r="C39" s="284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285"/>
      <c r="C40" s="285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286"/>
      <c r="C41" s="286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286"/>
      <c r="C42" s="286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285"/>
      <c r="C43" s="284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286"/>
      <c r="C44" s="284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286"/>
      <c r="C45" s="284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285"/>
      <c r="C46" s="285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286"/>
      <c r="C47" s="286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287"/>
      <c r="C48" s="287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286"/>
      <c r="C49" s="286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286"/>
      <c r="C50" s="286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286"/>
      <c r="C51" s="286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285"/>
      <c r="C52" s="285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286"/>
      <c r="C53" s="286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286"/>
      <c r="C54" s="287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285"/>
      <c r="C55" s="285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286"/>
      <c r="C56" s="286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286"/>
      <c r="C57" s="286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286"/>
      <c r="C58" s="286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286"/>
      <c r="C59" s="286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287"/>
      <c r="C60" s="287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285"/>
      <c r="C61" s="285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286"/>
      <c r="C62" s="286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286"/>
      <c r="C63" s="286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286"/>
      <c r="C64" s="286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286"/>
      <c r="C65" s="286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287"/>
      <c r="C66" s="287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285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286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286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286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286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287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285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286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286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286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286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287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285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286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286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286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286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287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285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286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286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286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286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287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285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286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286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286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286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287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285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286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286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286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286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287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285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286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286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286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286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287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285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286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286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286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286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287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285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286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286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286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286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287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285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286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286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286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286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287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285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286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286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287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284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284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284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284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284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284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284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284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284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288" t="s">
        <v>94</v>
      </c>
      <c r="C1" s="289"/>
      <c r="D1" s="290"/>
      <c r="E1" s="22"/>
    </row>
    <row r="2" spans="1:326" s="23" customFormat="1" x14ac:dyDescent="0.35">
      <c r="A2" s="71" t="s">
        <v>64</v>
      </c>
      <c r="B2" s="291" t="s">
        <v>95</v>
      </c>
      <c r="C2" s="292"/>
      <c r="D2" s="293"/>
      <c r="E2" s="22"/>
    </row>
    <row r="3" spans="1:326" s="23" customFormat="1" ht="20.149999999999999" customHeight="1" thickBot="1" x14ac:dyDescent="0.4">
      <c r="A3" s="73" t="s">
        <v>65</v>
      </c>
      <c r="B3" s="294">
        <v>45703</v>
      </c>
      <c r="C3" s="295"/>
      <c r="D3" s="29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297" t="s">
        <v>66</v>
      </c>
      <c r="B5" s="297" t="s">
        <v>67</v>
      </c>
      <c r="C5" s="297" t="s">
        <v>68</v>
      </c>
      <c r="D5" s="297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297"/>
      <c r="B6" s="297"/>
      <c r="C6" s="297"/>
      <c r="D6" s="297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00" t="s">
        <v>400</v>
      </c>
      <c r="C7" s="300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00"/>
      <c r="C8" s="300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00"/>
      <c r="C9" s="300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00"/>
      <c r="C10" s="300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298" t="s">
        <v>274</v>
      </c>
      <c r="C11" s="301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298"/>
      <c r="C12" s="301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298"/>
      <c r="C13" s="301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298"/>
      <c r="C14" s="301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298"/>
      <c r="C15" s="301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298" t="s">
        <v>280</v>
      </c>
      <c r="C16" s="299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298"/>
      <c r="C17" s="299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298" t="s">
        <v>282</v>
      </c>
      <c r="C18" s="301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298"/>
      <c r="C19" s="301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298"/>
      <c r="C20" s="301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298"/>
      <c r="C21" s="301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298"/>
      <c r="C22" s="301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298" t="s">
        <v>286</v>
      </c>
      <c r="C23" s="301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298"/>
      <c r="C24" s="301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298"/>
      <c r="C25" s="301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298"/>
      <c r="C26" s="301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298"/>
      <c r="C27" s="301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02" t="s">
        <v>288</v>
      </c>
      <c r="C28" s="303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02"/>
      <c r="C29" s="303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02"/>
      <c r="C30" s="303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02"/>
      <c r="C31" s="303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02"/>
      <c r="C32" s="303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02"/>
      <c r="C33" s="303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02" t="s">
        <v>292</v>
      </c>
      <c r="C34" s="303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02"/>
      <c r="C35" s="303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02"/>
      <c r="C36" s="303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02"/>
      <c r="C37" s="303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02" t="s">
        <v>294</v>
      </c>
      <c r="C38" s="303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02"/>
      <c r="C39" s="303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02"/>
      <c r="C40" s="303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02"/>
      <c r="C41" s="303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02"/>
      <c r="C42" s="303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02" t="s">
        <v>86</v>
      </c>
      <c r="C43" s="303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02"/>
      <c r="C44" s="303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02"/>
      <c r="C45" s="303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02"/>
      <c r="C46" s="303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02"/>
      <c r="C47" s="303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EW4" activePane="bottomRight" state="frozen"/>
      <selection activeCell="B1" sqref="B1"/>
      <selection pane="topRight" activeCell="Q1" sqref="Q1"/>
      <selection pane="bottomLeft" activeCell="B4" sqref="B4"/>
      <selection pane="bottomRight" activeCell="FB16" sqref="FB16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5" width="4.54296875" style="56" bestFit="1" customWidth="1"/>
    <col min="166" max="166" width="4.90625" style="56" bestFit="1" customWidth="1"/>
    <col min="167" max="167" width="4.54296875" style="56" bestFit="1" customWidth="1"/>
    <col min="168" max="168" width="5.08984375" style="56" bestFit="1" customWidth="1"/>
    <col min="169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45887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309" t="s">
        <v>96</v>
      </c>
      <c r="C2" s="310" t="s">
        <v>97</v>
      </c>
      <c r="D2" s="311" t="s">
        <v>98</v>
      </c>
      <c r="E2" s="306" t="s">
        <v>306</v>
      </c>
      <c r="F2" s="306" t="s">
        <v>307</v>
      </c>
      <c r="G2" s="316" t="s">
        <v>431</v>
      </c>
      <c r="H2" s="306" t="s">
        <v>426</v>
      </c>
      <c r="I2" s="306" t="s">
        <v>427</v>
      </c>
      <c r="J2" s="310" t="s">
        <v>3</v>
      </c>
      <c r="K2" s="304" t="s">
        <v>1</v>
      </c>
      <c r="L2" s="308" t="s">
        <v>100</v>
      </c>
      <c r="M2" s="314" t="s">
        <v>403</v>
      </c>
      <c r="N2" s="306" t="s">
        <v>102</v>
      </c>
      <c r="O2" s="306" t="s">
        <v>103</v>
      </c>
      <c r="P2" s="306" t="s">
        <v>255</v>
      </c>
      <c r="Q2" s="304" t="s">
        <v>104</v>
      </c>
      <c r="R2" s="304" t="s">
        <v>105</v>
      </c>
      <c r="S2" s="305" t="s">
        <v>254</v>
      </c>
      <c r="T2" s="320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309"/>
      <c r="C3" s="310"/>
      <c r="D3" s="311"/>
      <c r="E3" s="306"/>
      <c r="F3" s="306"/>
      <c r="G3" s="317"/>
      <c r="H3" s="306"/>
      <c r="I3" s="306"/>
      <c r="J3" s="310"/>
      <c r="K3" s="304"/>
      <c r="L3" s="308"/>
      <c r="M3" s="315"/>
      <c r="N3" s="306"/>
      <c r="O3" s="306"/>
      <c r="P3" s="306"/>
      <c r="Q3" s="304"/>
      <c r="R3" s="304"/>
      <c r="S3" s="305"/>
      <c r="T3" s="320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307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0.85498547918683454</v>
      </c>
      <c r="Q4" s="204">
        <f>S4</f>
        <v>883.2</v>
      </c>
      <c r="R4" s="204">
        <f t="shared" ref="R4:R27" si="6">K4-Q4</f>
        <v>149.79999999999995</v>
      </c>
      <c r="S4" s="157">
        <f t="shared" ref="S4:S35" si="7">SUM(U4:XFD4)</f>
        <v>883.2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0</v>
      </c>
      <c r="FA4" s="23">
        <v>3</v>
      </c>
      <c r="FB4" s="23">
        <v>0</v>
      </c>
      <c r="FC4" s="23">
        <v>0</v>
      </c>
      <c r="FD4" s="23">
        <v>0</v>
      </c>
      <c r="FE4" s="23">
        <v>0</v>
      </c>
      <c r="FF4" s="23">
        <v>0</v>
      </c>
    </row>
    <row r="5" spans="2:172" s="23" customFormat="1" x14ac:dyDescent="0.35">
      <c r="B5" s="307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0.85169409486931269</v>
      </c>
      <c r="Q5" s="204">
        <f>S5</f>
        <v>879.8</v>
      </c>
      <c r="R5" s="204">
        <f t="shared" si="6"/>
        <v>153.20000000000005</v>
      </c>
      <c r="S5" s="157">
        <f t="shared" si="7"/>
        <v>879.8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0</v>
      </c>
      <c r="FA5" s="23">
        <v>3</v>
      </c>
      <c r="FB5" s="23">
        <v>0</v>
      </c>
      <c r="FC5" s="23">
        <v>0</v>
      </c>
      <c r="FD5" s="23">
        <v>0</v>
      </c>
      <c r="FE5" s="23">
        <v>0</v>
      </c>
      <c r="FF5" s="23">
        <v>0</v>
      </c>
    </row>
    <row r="6" spans="2:172" x14ac:dyDescent="0.4">
      <c r="B6" s="307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</row>
    <row r="7" spans="2:172" x14ac:dyDescent="0.4">
      <c r="B7" s="307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</row>
    <row r="8" spans="2:172" x14ac:dyDescent="0.4">
      <c r="B8" s="307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</row>
    <row r="9" spans="2:172" x14ac:dyDescent="0.4">
      <c r="B9" s="307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</row>
    <row r="10" spans="2:172" x14ac:dyDescent="0.4">
      <c r="B10" s="307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</row>
    <row r="11" spans="2:172" x14ac:dyDescent="0.4">
      <c r="B11" s="307"/>
      <c r="C11" s="60">
        <v>8</v>
      </c>
      <c r="D11" s="225" t="s">
        <v>818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</row>
    <row r="12" spans="2:172" x14ac:dyDescent="0.4">
      <c r="B12" s="307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0.12899570815450645</v>
      </c>
      <c r="Q12" s="204">
        <f>S12</f>
        <v>15028</v>
      </c>
      <c r="R12" s="204">
        <f t="shared" si="6"/>
        <v>101472</v>
      </c>
      <c r="S12" s="65">
        <f t="shared" si="7"/>
        <v>15028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0</v>
      </c>
      <c r="FD12" s="56">
        <v>0</v>
      </c>
      <c r="FE12" s="56">
        <v>0</v>
      </c>
      <c r="FF12" s="56">
        <v>0</v>
      </c>
    </row>
    <row r="13" spans="2:172" x14ac:dyDescent="0.4">
      <c r="B13" s="307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6.3150214592274684E-2</v>
      </c>
      <c r="Q13" s="204">
        <f t="shared" ref="Q13:Q14" si="11">S13</f>
        <v>7357</v>
      </c>
      <c r="R13" s="204">
        <f t="shared" si="6"/>
        <v>109143</v>
      </c>
      <c r="S13" s="65">
        <f t="shared" si="7"/>
        <v>7357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0</v>
      </c>
      <c r="FD13" s="56">
        <v>0</v>
      </c>
      <c r="FE13" s="56">
        <v>0</v>
      </c>
      <c r="FF13" s="56">
        <v>0</v>
      </c>
    </row>
    <row r="14" spans="2:172" x14ac:dyDescent="0.4">
      <c r="B14" s="307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4467</v>
      </c>
      <c r="R14" s="204">
        <f t="shared" si="6"/>
        <v>112033</v>
      </c>
      <c r="S14" s="65">
        <f t="shared" si="7"/>
        <v>4467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0</v>
      </c>
      <c r="FD14" s="56">
        <v>0</v>
      </c>
      <c r="FE14" s="56">
        <v>0</v>
      </c>
      <c r="FF14" s="56">
        <v>0</v>
      </c>
    </row>
    <row r="15" spans="2:172" x14ac:dyDescent="0.4">
      <c r="B15" s="307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0</v>
      </c>
      <c r="R15" s="204">
        <f t="shared" si="6"/>
        <v>116500</v>
      </c>
      <c r="S15" s="65">
        <f t="shared" si="7"/>
        <v>0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0</v>
      </c>
      <c r="FE15" s="56">
        <v>0</v>
      </c>
      <c r="FF15" s="56">
        <v>0</v>
      </c>
    </row>
    <row r="16" spans="2:172" x14ac:dyDescent="0.4">
      <c r="B16" s="307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0</v>
      </c>
      <c r="R16" s="204">
        <f t="shared" si="6"/>
        <v>26</v>
      </c>
      <c r="S16" s="65">
        <f t="shared" si="7"/>
        <v>0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0</v>
      </c>
      <c r="FE16" s="56">
        <v>0</v>
      </c>
      <c r="FF16" s="56">
        <v>0</v>
      </c>
    </row>
    <row r="17" spans="2:162" x14ac:dyDescent="0.4">
      <c r="B17" s="307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</row>
    <row r="18" spans="2:162" x14ac:dyDescent="0.4">
      <c r="B18" s="307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</row>
    <row r="19" spans="2:162" x14ac:dyDescent="0.4">
      <c r="B19" s="307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</row>
    <row r="20" spans="2:162" x14ac:dyDescent="0.4">
      <c r="B20" s="307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</row>
    <row r="21" spans="2:162" x14ac:dyDescent="0.4">
      <c r="B21" s="307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</row>
    <row r="22" spans="2:162" x14ac:dyDescent="0.4">
      <c r="B22" s="307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</row>
    <row r="23" spans="2:162" x14ac:dyDescent="0.4">
      <c r="B23" s="307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</row>
    <row r="24" spans="2:162" x14ac:dyDescent="0.4">
      <c r="B24" s="307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</row>
    <row r="25" spans="2:162" x14ac:dyDescent="0.4">
      <c r="B25" s="307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</row>
    <row r="26" spans="2:162" x14ac:dyDescent="0.4">
      <c r="B26" s="307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</row>
    <row r="27" spans="2:162" x14ac:dyDescent="0.4">
      <c r="B27" s="307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</row>
    <row r="28" spans="2:162" x14ac:dyDescent="0.4">
      <c r="B28" s="318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</row>
    <row r="29" spans="2:162" x14ac:dyDescent="0.4">
      <c r="B29" s="319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</row>
    <row r="30" spans="2:162" x14ac:dyDescent="0.4">
      <c r="B30" s="319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</row>
    <row r="31" spans="2:162" x14ac:dyDescent="0.4">
      <c r="B31" s="319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</row>
    <row r="32" spans="2:162" x14ac:dyDescent="0.4">
      <c r="B32" s="319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</row>
    <row r="33" spans="2:162" x14ac:dyDescent="0.4">
      <c r="B33" s="319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</row>
    <row r="34" spans="2:162" x14ac:dyDescent="0.4">
      <c r="B34" s="319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0.25223809523809526</v>
      </c>
      <c r="Q34" s="204">
        <f t="shared" si="15"/>
        <v>5297</v>
      </c>
      <c r="R34" s="204">
        <f t="shared" si="22"/>
        <v>15703</v>
      </c>
      <c r="S34" s="65">
        <f t="shared" si="7"/>
        <v>5297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</row>
    <row r="35" spans="2:162" x14ac:dyDescent="0.4">
      <c r="B35" s="319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0.189</v>
      </c>
      <c r="Q35" s="204">
        <f t="shared" si="15"/>
        <v>3969</v>
      </c>
      <c r="R35" s="204">
        <f t="shared" si="22"/>
        <v>17031</v>
      </c>
      <c r="S35" s="65">
        <f t="shared" si="7"/>
        <v>3969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0</v>
      </c>
      <c r="FD35" s="56">
        <v>0</v>
      </c>
      <c r="FE35" s="56">
        <v>0</v>
      </c>
      <c r="FF35" s="56">
        <v>0</v>
      </c>
    </row>
    <row r="36" spans="2:162" x14ac:dyDescent="0.4">
      <c r="B36" s="319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2.7619047619047619E-2</v>
      </c>
      <c r="Q36" s="204">
        <f t="shared" si="15"/>
        <v>580</v>
      </c>
      <c r="R36" s="204">
        <f t="shared" si="22"/>
        <v>20420</v>
      </c>
      <c r="S36" s="65">
        <f t="shared" ref="S36:S67" si="26">SUM(U36:XFD36)</f>
        <v>580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</row>
    <row r="37" spans="2:162" x14ac:dyDescent="0.4">
      <c r="B37" s="319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</row>
    <row r="38" spans="2:162" x14ac:dyDescent="0.4">
      <c r="B38" s="319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</row>
    <row r="39" spans="2:162" x14ac:dyDescent="0.4">
      <c r="B39" s="319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</row>
    <row r="40" spans="2:162" x14ac:dyDescent="0.4">
      <c r="B40" s="319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</row>
    <row r="41" spans="2:162" ht="29" x14ac:dyDescent="0.4">
      <c r="B41" s="307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2" x14ac:dyDescent="0.4">
      <c r="B42" s="307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2" x14ac:dyDescent="0.4">
      <c r="B43" s="307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2" x14ac:dyDescent="0.4">
      <c r="B44" s="307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2" ht="29" x14ac:dyDescent="0.4">
      <c r="B45" s="307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2" x14ac:dyDescent="0.4">
      <c r="B46" s="307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2" x14ac:dyDescent="0.4">
      <c r="B47" s="307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2" x14ac:dyDescent="0.4">
      <c r="B48" s="307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307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307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307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307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307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307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307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307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307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307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307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307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307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307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307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307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307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307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307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307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307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307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307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307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307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307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307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307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307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307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307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307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307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307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307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307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307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307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307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307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307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307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307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307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307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307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307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307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321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321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321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321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321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321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321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321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321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321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321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321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321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321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321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321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321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321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321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321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321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321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321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321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312"/>
    </row>
    <row r="122" spans="2:110" x14ac:dyDescent="0.4">
      <c r="B122" s="313"/>
    </row>
    <row r="123" spans="2:110" x14ac:dyDescent="0.4">
      <c r="B123" s="313"/>
    </row>
    <row r="124" spans="2:110" x14ac:dyDescent="0.4">
      <c r="B124" s="313"/>
    </row>
    <row r="125" spans="2:110" x14ac:dyDescent="0.4">
      <c r="B125" s="313"/>
    </row>
    <row r="126" spans="2:110" x14ac:dyDescent="0.4">
      <c r="B126" s="313"/>
    </row>
    <row r="127" spans="2:110" x14ac:dyDescent="0.4">
      <c r="B127" s="313"/>
    </row>
    <row r="128" spans="2:110" x14ac:dyDescent="0.4">
      <c r="B128" s="313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322" t="s">
        <v>297</v>
      </c>
      <c r="B1" s="323"/>
      <c r="C1" s="323"/>
      <c r="D1" s="323"/>
      <c r="E1" s="323"/>
      <c r="F1" s="324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45887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309" t="s">
        <v>96</v>
      </c>
      <c r="C2" s="310" t="s">
        <v>97</v>
      </c>
      <c r="D2" s="306" t="s">
        <v>98</v>
      </c>
      <c r="E2" s="316" t="s">
        <v>306</v>
      </c>
      <c r="F2" s="316" t="s">
        <v>307</v>
      </c>
      <c r="G2" s="316" t="s">
        <v>308</v>
      </c>
      <c r="H2" s="316" t="s">
        <v>309</v>
      </c>
      <c r="I2" s="310" t="s">
        <v>99</v>
      </c>
      <c r="J2" s="304" t="s">
        <v>1</v>
      </c>
      <c r="K2" s="325" t="s">
        <v>100</v>
      </c>
      <c r="L2" s="325" t="s">
        <v>101</v>
      </c>
      <c r="M2" s="306" t="s">
        <v>102</v>
      </c>
      <c r="N2" s="306" t="s">
        <v>103</v>
      </c>
      <c r="O2" s="306" t="s">
        <v>255</v>
      </c>
      <c r="P2" s="304" t="s">
        <v>104</v>
      </c>
      <c r="Q2" s="304" t="s">
        <v>105</v>
      </c>
      <c r="R2" s="305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309"/>
      <c r="C3" s="310"/>
      <c r="D3" s="306"/>
      <c r="E3" s="317"/>
      <c r="F3" s="317"/>
      <c r="G3" s="317"/>
      <c r="H3" s="317"/>
      <c r="I3" s="310"/>
      <c r="J3" s="304"/>
      <c r="K3" s="326"/>
      <c r="L3" s="326"/>
      <c r="M3" s="306"/>
      <c r="N3" s="306"/>
      <c r="O3" s="306"/>
      <c r="P3" s="304"/>
      <c r="Q3" s="304"/>
      <c r="R3" s="305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307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307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307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307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307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307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307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307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307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307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307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307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307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307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307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307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307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307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307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307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307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307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307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307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307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307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307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307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307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307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307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307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307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307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307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307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307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307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307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307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307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307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307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307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307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307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307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307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307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307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307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307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307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307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307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307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307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307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307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307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307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307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307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307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307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307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307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307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307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307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307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307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307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307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307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307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307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307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307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307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307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307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307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307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307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307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307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307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307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307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307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307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307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307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307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307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307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307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307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307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307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307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307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307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307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307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307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307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307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307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307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307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307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307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307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307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307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307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307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307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307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307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307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307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307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321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321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321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321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321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321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321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321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321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321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321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321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321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321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321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321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321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321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321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321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321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321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321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321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321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321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321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2025-08-18T05:25:14Z</dcterms:modified>
</cp:coreProperties>
</file>